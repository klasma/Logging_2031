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45362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45362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45362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45362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45362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45362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45362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45362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45362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45362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45362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45362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45362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45362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45362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45362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45362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45362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45362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45362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45362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45362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45362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45362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45362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45362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45362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45362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45362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45362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45362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45362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45362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45362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45362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45362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45362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45362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45362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10247-2023</t>
        </is>
      </c>
      <c r="B41" s="1" t="n">
        <v>44986</v>
      </c>
      <c r="C41" s="1" t="n">
        <v>45362</v>
      </c>
      <c r="D41" t="inlineStr">
        <is>
          <t>DALARNAS LÄN</t>
        </is>
      </c>
      <c r="E41" t="inlineStr">
        <is>
          <t>RÄTTVIK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HYPERLINK("https://klasma.github.io/Logging_2031/artfynd/A 10247-2023 artfynd.xlsx", "A 10247-2023")</f>
        <v/>
      </c>
      <c r="T41">
        <f>HYPERLINK("https://klasma.github.io/Logging_2031/kartor/A 10247-2023 karta.png", "A 10247-2023")</f>
        <v/>
      </c>
      <c r="V41">
        <f>HYPERLINK("https://klasma.github.io/Logging_2031/klagomål/A 10247-2023 FSC-klagomål.docx", "A 10247-2023")</f>
        <v/>
      </c>
      <c r="W41">
        <f>HYPERLINK("https://klasma.github.io/Logging_2031/klagomålsmail/A 10247-2023 FSC-klagomål mail.docx", "A 10247-2023")</f>
        <v/>
      </c>
      <c r="X41">
        <f>HYPERLINK("https://klasma.github.io/Logging_2031/tillsyn/A 10247-2023 tillsynsbegäran.docx", "A 10247-2023")</f>
        <v/>
      </c>
      <c r="Y41">
        <f>HYPERLINK("https://klasma.github.io/Logging_2031/tillsynsmail/A 10247-2023 tillsynsbegäran mail.docx", "A 10247-2023")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45362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45362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45524-2023</t>
        </is>
      </c>
      <c r="B44" s="1" t="n">
        <v>45194</v>
      </c>
      <c r="C44" s="1" t="n">
        <v>45362</v>
      </c>
      <c r="D44" t="inlineStr">
        <is>
          <t>DALARNAS LÄN</t>
        </is>
      </c>
      <c r="E44" t="inlineStr">
        <is>
          <t>RÄTTVIK</t>
        </is>
      </c>
      <c r="G44" t="n">
        <v>16.1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45524-2023 artfynd.xlsx", "A 45524-2023")</f>
        <v/>
      </c>
      <c r="T44">
        <f>HYPERLINK("https://klasma.github.io/Logging_2031/kartor/A 45524-2023 karta.png", "A 45524-2023")</f>
        <v/>
      </c>
      <c r="V44">
        <f>HYPERLINK("https://klasma.github.io/Logging_2031/klagomål/A 45524-2023 FSC-klagomål.docx", "A 45524-2023")</f>
        <v/>
      </c>
      <c r="W44">
        <f>HYPERLINK("https://klasma.github.io/Logging_2031/klagomålsmail/A 45524-2023 FSC-klagomål mail.docx", "A 45524-2023")</f>
        <v/>
      </c>
      <c r="X44">
        <f>HYPERLINK("https://klasma.github.io/Logging_2031/tillsyn/A 45524-2023 tillsynsbegäran.docx", "A 45524-2023")</f>
        <v/>
      </c>
      <c r="Y44">
        <f>HYPERLINK("https://klasma.github.io/Logging_2031/tillsynsmail/A 45524-2023 tillsynsbegäran mail.docx", "A 45524-2023")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45362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37137-2018</t>
        </is>
      </c>
      <c r="B46" s="1" t="n">
        <v>43333</v>
      </c>
      <c r="C46" s="1" t="n">
        <v>45362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41769-2018</t>
        </is>
      </c>
      <c r="B47" s="1" t="n">
        <v>43348</v>
      </c>
      <c r="C47" s="1" t="n">
        <v>45362</v>
      </c>
      <c r="D47" t="inlineStr">
        <is>
          <t>DALARNAS LÄN</t>
        </is>
      </c>
      <c r="E47" t="inlineStr">
        <is>
          <t>RÄTTVIK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44586-2018</t>
        </is>
      </c>
      <c r="B48" s="1" t="n">
        <v>43356</v>
      </c>
      <c r="C48" s="1" t="n">
        <v>45362</v>
      </c>
      <c r="D48" t="inlineStr">
        <is>
          <t>DALARNAS LÄN</t>
        </is>
      </c>
      <c r="E48" t="inlineStr">
        <is>
          <t>RÄTTVIK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44496-2018</t>
        </is>
      </c>
      <c r="B49" s="1" t="n">
        <v>43361</v>
      </c>
      <c r="C49" s="1" t="n">
        <v>45362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45856-2018</t>
        </is>
      </c>
      <c r="B50" s="1" t="n">
        <v>43362</v>
      </c>
      <c r="C50" s="1" t="n">
        <v>45362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45887-2018</t>
        </is>
      </c>
      <c r="B51" s="1" t="n">
        <v>43362</v>
      </c>
      <c r="C51" s="1" t="n">
        <v>45362</v>
      </c>
      <c r="D51" t="inlineStr">
        <is>
          <t>DALARNAS LÄN</t>
        </is>
      </c>
      <c r="E51" t="inlineStr">
        <is>
          <t>RÄTTVIK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45834-2018</t>
        </is>
      </c>
      <c r="B52" s="1" t="n">
        <v>43362</v>
      </c>
      <c r="C52" s="1" t="n">
        <v>45362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45878-2018</t>
        </is>
      </c>
      <c r="B53" s="1" t="n">
        <v>43362</v>
      </c>
      <c r="C53" s="1" t="n">
        <v>45362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46866-2018</t>
        </is>
      </c>
      <c r="B54" s="1" t="n">
        <v>43367</v>
      </c>
      <c r="C54" s="1" t="n">
        <v>45362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47657-2018</t>
        </is>
      </c>
      <c r="B55" s="1" t="n">
        <v>43369</v>
      </c>
      <c r="C55" s="1" t="n">
        <v>45362</v>
      </c>
      <c r="D55" t="inlineStr">
        <is>
          <t>DALARNAS LÄN</t>
        </is>
      </c>
      <c r="E55" t="inlineStr">
        <is>
          <t>RÄTTVIK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48731-2018</t>
        </is>
      </c>
      <c r="B56" s="1" t="n">
        <v>43373</v>
      </c>
      <c r="C56" s="1" t="n">
        <v>45362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51148-2018</t>
        </is>
      </c>
      <c r="B57" s="1" t="n">
        <v>43378</v>
      </c>
      <c r="C57" s="1" t="n">
        <v>45362</v>
      </c>
      <c r="D57" t="inlineStr">
        <is>
          <t>DALARNAS LÄN</t>
        </is>
      </c>
      <c r="E57" t="inlineStr">
        <is>
          <t>RÄTTVIK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51716-2018</t>
        </is>
      </c>
      <c r="B58" s="1" t="n">
        <v>43381</v>
      </c>
      <c r="C58" s="1" t="n">
        <v>45362</v>
      </c>
      <c r="D58" t="inlineStr">
        <is>
          <t>DALARNAS LÄN</t>
        </is>
      </c>
      <c r="E58" t="inlineStr">
        <is>
          <t>RÄTTVIK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51443-2018</t>
        </is>
      </c>
      <c r="B59" s="1" t="n">
        <v>43381</v>
      </c>
      <c r="C59" s="1" t="n">
        <v>45362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53710-2018</t>
        </is>
      </c>
      <c r="B60" s="1" t="n">
        <v>43388</v>
      </c>
      <c r="C60" s="1" t="n">
        <v>45362</v>
      </c>
      <c r="D60" t="inlineStr">
        <is>
          <t>DALARNAS LÄN</t>
        </is>
      </c>
      <c r="E60" t="inlineStr">
        <is>
          <t>RÄTTVIK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63915-2018</t>
        </is>
      </c>
      <c r="B61" s="1" t="n">
        <v>43388</v>
      </c>
      <c r="C61" s="1" t="n">
        <v>45362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63932-2018</t>
        </is>
      </c>
      <c r="B62" s="1" t="n">
        <v>43388</v>
      </c>
      <c r="C62" s="1" t="n">
        <v>45362</v>
      </c>
      <c r="D62" t="inlineStr">
        <is>
          <t>DALARNAS LÄN</t>
        </is>
      </c>
      <c r="E62" t="inlineStr">
        <is>
          <t>RÄTTVIK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53848-2018</t>
        </is>
      </c>
      <c r="B63" s="1" t="n">
        <v>43391</v>
      </c>
      <c r="C63" s="1" t="n">
        <v>45362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58081-2018</t>
        </is>
      </c>
      <c r="B64" s="1" t="n">
        <v>43398</v>
      </c>
      <c r="C64" s="1" t="n">
        <v>45362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58716-2018</t>
        </is>
      </c>
      <c r="B65" s="1" t="n">
        <v>43399</v>
      </c>
      <c r="C65" s="1" t="n">
        <v>45362</v>
      </c>
      <c r="D65" t="inlineStr">
        <is>
          <t>DALARNAS LÄN</t>
        </is>
      </c>
      <c r="E65" t="inlineStr">
        <is>
          <t>RÄTTVIK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60434-2018</t>
        </is>
      </c>
      <c r="B66" s="1" t="n">
        <v>43401</v>
      </c>
      <c r="C66" s="1" t="n">
        <v>45362</v>
      </c>
      <c r="D66" t="inlineStr">
        <is>
          <t>DALARNAS LÄN</t>
        </is>
      </c>
      <c r="E66" t="inlineStr">
        <is>
          <t>RÄTTVIK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60506-2018</t>
        </is>
      </c>
      <c r="B67" s="1" t="n">
        <v>43405</v>
      </c>
      <c r="C67" s="1" t="n">
        <v>45362</v>
      </c>
      <c r="D67" t="inlineStr">
        <is>
          <t>DALARNAS LÄN</t>
        </is>
      </c>
      <c r="E67" t="inlineStr">
        <is>
          <t>RÄTTVIK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59546-2018</t>
        </is>
      </c>
      <c r="B68" s="1" t="n">
        <v>43405</v>
      </c>
      <c r="C68" s="1" t="n">
        <v>45362</v>
      </c>
      <c r="D68" t="inlineStr">
        <is>
          <t>DALARNAS LÄN</t>
        </is>
      </c>
      <c r="E68" t="inlineStr">
        <is>
          <t>RÄTTVIK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58783-2018</t>
        </is>
      </c>
      <c r="B69" s="1" t="n">
        <v>43410</v>
      </c>
      <c r="C69" s="1" t="n">
        <v>45362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58782-2018</t>
        </is>
      </c>
      <c r="B70" s="1" t="n">
        <v>43410</v>
      </c>
      <c r="C70" s="1" t="n">
        <v>45362</v>
      </c>
      <c r="D70" t="inlineStr">
        <is>
          <t>DALARNAS LÄN</t>
        </is>
      </c>
      <c r="E70" t="inlineStr">
        <is>
          <t>RÄTTVIK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60909-2018</t>
        </is>
      </c>
      <c r="B71" s="1" t="n">
        <v>43411</v>
      </c>
      <c r="C71" s="1" t="n">
        <v>45362</v>
      </c>
      <c r="D71" t="inlineStr">
        <is>
          <t>DALARNAS LÄN</t>
        </is>
      </c>
      <c r="E71" t="inlineStr">
        <is>
          <t>RÄTTVIK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61244-2018</t>
        </is>
      </c>
      <c r="B72" s="1" t="n">
        <v>43412</v>
      </c>
      <c r="C72" s="1" t="n">
        <v>45362</v>
      </c>
      <c r="D72" t="inlineStr">
        <is>
          <t>DALARNAS LÄN</t>
        </is>
      </c>
      <c r="E72" t="inlineStr">
        <is>
          <t>RÄTTVIK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62557-2018</t>
        </is>
      </c>
      <c r="B73" s="1" t="n">
        <v>43416</v>
      </c>
      <c r="C73" s="1" t="n">
        <v>45362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62103-2018</t>
        </is>
      </c>
      <c r="B74" s="1" t="n">
        <v>43416</v>
      </c>
      <c r="C74" s="1" t="n">
        <v>45362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62078-2018</t>
        </is>
      </c>
      <c r="B75" s="1" t="n">
        <v>43416</v>
      </c>
      <c r="C75" s="1" t="n">
        <v>45362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59580-2018</t>
        </is>
      </c>
      <c r="B76" s="1" t="n">
        <v>43419</v>
      </c>
      <c r="C76" s="1" t="n">
        <v>45362</v>
      </c>
      <c r="D76" t="inlineStr">
        <is>
          <t>DALARNAS LÄN</t>
        </is>
      </c>
      <c r="E76" t="inlineStr">
        <is>
          <t>RÄTTVIK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64315-2018</t>
        </is>
      </c>
      <c r="B77" s="1" t="n">
        <v>43419</v>
      </c>
      <c r="C77" s="1" t="n">
        <v>45362</v>
      </c>
      <c r="D77" t="inlineStr">
        <is>
          <t>DALARNAS LÄN</t>
        </is>
      </c>
      <c r="E77" t="inlineStr">
        <is>
          <t>RÄTTVIK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61110-2018</t>
        </is>
      </c>
      <c r="B78" s="1" t="n">
        <v>43423</v>
      </c>
      <c r="C78" s="1" t="n">
        <v>45362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61216-2018</t>
        </is>
      </c>
      <c r="B79" s="1" t="n">
        <v>43423</v>
      </c>
      <c r="C79" s="1" t="n">
        <v>45362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61189-2018</t>
        </is>
      </c>
      <c r="B80" s="1" t="n">
        <v>43423</v>
      </c>
      <c r="C80" s="1" t="n">
        <v>45362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61581-2018</t>
        </is>
      </c>
      <c r="B81" s="1" t="n">
        <v>43424</v>
      </c>
      <c r="C81" s="1" t="n">
        <v>45362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65461-2018</t>
        </is>
      </c>
      <c r="B82" s="1" t="n">
        <v>43425</v>
      </c>
      <c r="C82" s="1" t="n">
        <v>45362</v>
      </c>
      <c r="D82" t="inlineStr">
        <is>
          <t>DALARNAS LÄN</t>
        </is>
      </c>
      <c r="E82" t="inlineStr">
        <is>
          <t>RÄTTVIK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63360-2018</t>
        </is>
      </c>
      <c r="B83" s="1" t="n">
        <v>43427</v>
      </c>
      <c r="C83" s="1" t="n">
        <v>45362</v>
      </c>
      <c r="D83" t="inlineStr">
        <is>
          <t>DALARNAS LÄN</t>
        </is>
      </c>
      <c r="E83" t="inlineStr">
        <is>
          <t>RÄTTVIK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63723-2018</t>
        </is>
      </c>
      <c r="B84" s="1" t="n">
        <v>43428</v>
      </c>
      <c r="C84" s="1" t="n">
        <v>45362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63722-2018</t>
        </is>
      </c>
      <c r="B85" s="1" t="n">
        <v>43428</v>
      </c>
      <c r="C85" s="1" t="n">
        <v>45362</v>
      </c>
      <c r="D85" t="inlineStr">
        <is>
          <t>DALARNAS LÄN</t>
        </is>
      </c>
      <c r="E85" t="inlineStr">
        <is>
          <t>RÄTTVIK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66412-2018</t>
        </is>
      </c>
      <c r="B86" s="1" t="n">
        <v>43430</v>
      </c>
      <c r="C86" s="1" t="n">
        <v>45362</v>
      </c>
      <c r="D86" t="inlineStr">
        <is>
          <t>DALARNAS LÄN</t>
        </is>
      </c>
      <c r="E86" t="inlineStr">
        <is>
          <t>RÄTTVIK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66654-2018</t>
        </is>
      </c>
      <c r="B87" s="1" t="n">
        <v>43430</v>
      </c>
      <c r="C87" s="1" t="n">
        <v>45362</v>
      </c>
      <c r="D87" t="inlineStr">
        <is>
          <t>DALARNAS LÄN</t>
        </is>
      </c>
      <c r="E87" t="inlineStr">
        <is>
          <t>RÄTTVIK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64287-2018</t>
        </is>
      </c>
      <c r="B88" s="1" t="n">
        <v>43430</v>
      </c>
      <c r="C88" s="1" t="n">
        <v>45362</v>
      </c>
      <c r="D88" t="inlineStr">
        <is>
          <t>DALARNAS LÄN</t>
        </is>
      </c>
      <c r="E88" t="inlineStr">
        <is>
          <t>RÄTTVIK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64015-2018</t>
        </is>
      </c>
      <c r="B89" s="1" t="n">
        <v>43430</v>
      </c>
      <c r="C89" s="1" t="n">
        <v>45362</v>
      </c>
      <c r="D89" t="inlineStr">
        <is>
          <t>DALARNAS LÄN</t>
        </is>
      </c>
      <c r="E89" t="inlineStr">
        <is>
          <t>RÄTTVIK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64605-2018</t>
        </is>
      </c>
      <c r="B90" s="1" t="n">
        <v>43431</v>
      </c>
      <c r="C90" s="1" t="n">
        <v>45362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67413-2018</t>
        </is>
      </c>
      <c r="B91" s="1" t="n">
        <v>43432</v>
      </c>
      <c r="C91" s="1" t="n">
        <v>45362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67412-2018</t>
        </is>
      </c>
      <c r="B92" s="1" t="n">
        <v>43432</v>
      </c>
      <c r="C92" s="1" t="n">
        <v>45362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66027-2018</t>
        </is>
      </c>
      <c r="B93" s="1" t="n">
        <v>43434</v>
      </c>
      <c r="C93" s="1" t="n">
        <v>45362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66026-2018</t>
        </is>
      </c>
      <c r="B94" s="1" t="n">
        <v>43434</v>
      </c>
      <c r="C94" s="1" t="n">
        <v>45362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68445-2018</t>
        </is>
      </c>
      <c r="B95" s="1" t="n">
        <v>43438</v>
      </c>
      <c r="C95" s="1" t="n">
        <v>45362</v>
      </c>
      <c r="D95" t="inlineStr">
        <is>
          <t>DALARNAS LÄN</t>
        </is>
      </c>
      <c r="E95" t="inlineStr">
        <is>
          <t>RÄTTVIK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68040-2018</t>
        </is>
      </c>
      <c r="B96" s="1" t="n">
        <v>43441</v>
      </c>
      <c r="C96" s="1" t="n">
        <v>45362</v>
      </c>
      <c r="D96" t="inlineStr">
        <is>
          <t>DALARNAS LÄN</t>
        </is>
      </c>
      <c r="E96" t="inlineStr">
        <is>
          <t>RÄTTVIK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70530-2018</t>
        </is>
      </c>
      <c r="B97" s="1" t="n">
        <v>43447</v>
      </c>
      <c r="C97" s="1" t="n">
        <v>45362</v>
      </c>
      <c r="D97" t="inlineStr">
        <is>
          <t>DALARNAS LÄN</t>
        </is>
      </c>
      <c r="E97" t="inlineStr">
        <is>
          <t>RÄTTVIK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70882-2018</t>
        </is>
      </c>
      <c r="B98" s="1" t="n">
        <v>43448</v>
      </c>
      <c r="C98" s="1" t="n">
        <v>45362</v>
      </c>
      <c r="D98" t="inlineStr">
        <is>
          <t>DALARNAS LÄN</t>
        </is>
      </c>
      <c r="E98" t="inlineStr">
        <is>
          <t>RÄTTVIK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70725-2018</t>
        </is>
      </c>
      <c r="B99" s="1" t="n">
        <v>43451</v>
      </c>
      <c r="C99" s="1" t="n">
        <v>45362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71299-2018</t>
        </is>
      </c>
      <c r="B100" s="1" t="n">
        <v>43451</v>
      </c>
      <c r="C100" s="1" t="n">
        <v>45362</v>
      </c>
      <c r="D100" t="inlineStr">
        <is>
          <t>DALARNAS LÄN</t>
        </is>
      </c>
      <c r="E100" t="inlineStr">
        <is>
          <t>RÄTTVIK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71333-2018</t>
        </is>
      </c>
      <c r="B101" s="1" t="n">
        <v>43451</v>
      </c>
      <c r="C101" s="1" t="n">
        <v>45362</v>
      </c>
      <c r="D101" t="inlineStr">
        <is>
          <t>DALARNAS LÄN</t>
        </is>
      </c>
      <c r="E101" t="inlineStr">
        <is>
          <t>RÄTTVIK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71010-2018</t>
        </is>
      </c>
      <c r="B102" s="1" t="n">
        <v>43452</v>
      </c>
      <c r="C102" s="1" t="n">
        <v>45362</v>
      </c>
      <c r="D102" t="inlineStr">
        <is>
          <t>DALARNAS LÄN</t>
        </is>
      </c>
      <c r="E102" t="inlineStr">
        <is>
          <t>RÄTTVIK</t>
        </is>
      </c>
      <c r="G102" t="n">
        <v>21.2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71761-2018</t>
        </is>
      </c>
      <c r="B103" s="1" t="n">
        <v>43454</v>
      </c>
      <c r="C103" s="1" t="n">
        <v>45362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71762-2018</t>
        </is>
      </c>
      <c r="B104" s="1" t="n">
        <v>43454</v>
      </c>
      <c r="C104" s="1" t="n">
        <v>45362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71803-2018</t>
        </is>
      </c>
      <c r="B105" s="1" t="n">
        <v>43454</v>
      </c>
      <c r="C105" s="1" t="n">
        <v>45362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518-2019</t>
        </is>
      </c>
      <c r="B106" s="1" t="n">
        <v>43455</v>
      </c>
      <c r="C106" s="1" t="n">
        <v>45362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1671-2019</t>
        </is>
      </c>
      <c r="B107" s="1" t="n">
        <v>43461</v>
      </c>
      <c r="C107" s="1" t="n">
        <v>45362</v>
      </c>
      <c r="D107" t="inlineStr">
        <is>
          <t>DALARNAS LÄN</t>
        </is>
      </c>
      <c r="E107" t="inlineStr">
        <is>
          <t>RÄTTVIK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763-2019</t>
        </is>
      </c>
      <c r="B108" s="1" t="n">
        <v>43471</v>
      </c>
      <c r="C108" s="1" t="n">
        <v>45362</v>
      </c>
      <c r="D108" t="inlineStr">
        <is>
          <t>DALARNAS LÄN</t>
        </is>
      </c>
      <c r="E108" t="inlineStr">
        <is>
          <t>RÄTTVIK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2769-2019</t>
        </is>
      </c>
      <c r="B109" s="1" t="n">
        <v>43472</v>
      </c>
      <c r="C109" s="1" t="n">
        <v>45362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2694-2019</t>
        </is>
      </c>
      <c r="B110" s="1" t="n">
        <v>43472</v>
      </c>
      <c r="C110" s="1" t="n">
        <v>45362</v>
      </c>
      <c r="D110" t="inlineStr">
        <is>
          <t>DALARNAS LÄN</t>
        </is>
      </c>
      <c r="E110" t="inlineStr">
        <is>
          <t>RÄTTVIK</t>
        </is>
      </c>
      <c r="F110" t="inlineStr">
        <is>
          <t>Övriga statliga verk och myndigheter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1331-2019</t>
        </is>
      </c>
      <c r="B111" s="1" t="n">
        <v>43473</v>
      </c>
      <c r="C111" s="1" t="n">
        <v>45362</v>
      </c>
      <c r="D111" t="inlineStr">
        <is>
          <t>DALARNAS LÄN</t>
        </is>
      </c>
      <c r="E111" t="inlineStr">
        <is>
          <t>RÄTTVIK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3892-2019</t>
        </is>
      </c>
      <c r="B112" s="1" t="n">
        <v>43475</v>
      </c>
      <c r="C112" s="1" t="n">
        <v>45362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5187-2019</t>
        </is>
      </c>
      <c r="B113" s="1" t="n">
        <v>43481</v>
      </c>
      <c r="C113" s="1" t="n">
        <v>45362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7266-2019</t>
        </is>
      </c>
      <c r="B114" s="1" t="n">
        <v>43490</v>
      </c>
      <c r="C114" s="1" t="n">
        <v>45362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6839-2019</t>
        </is>
      </c>
      <c r="B115" s="1" t="n">
        <v>43495</v>
      </c>
      <c r="C115" s="1" t="n">
        <v>45362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7612-2019</t>
        </is>
      </c>
      <c r="B116" s="1" t="n">
        <v>43499</v>
      </c>
      <c r="C116" s="1" t="n">
        <v>45362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8440-2019</t>
        </is>
      </c>
      <c r="B117" s="1" t="n">
        <v>43500</v>
      </c>
      <c r="C117" s="1" t="n">
        <v>45362</v>
      </c>
      <c r="D117" t="inlineStr">
        <is>
          <t>DALARNAS LÄN</t>
        </is>
      </c>
      <c r="E117" t="inlineStr">
        <is>
          <t>RÄTTVIK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10606-2019</t>
        </is>
      </c>
      <c r="B118" s="1" t="n">
        <v>43511</v>
      </c>
      <c r="C118" s="1" t="n">
        <v>45362</v>
      </c>
      <c r="D118" t="inlineStr">
        <is>
          <t>DALARNAS LÄN</t>
        </is>
      </c>
      <c r="E118" t="inlineStr">
        <is>
          <t>RÄTTVIK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10518-2019</t>
        </is>
      </c>
      <c r="B119" s="1" t="n">
        <v>43511</v>
      </c>
      <c r="C119" s="1" t="n">
        <v>45362</v>
      </c>
      <c r="D119" t="inlineStr">
        <is>
          <t>DALARNAS LÄN</t>
        </is>
      </c>
      <c r="E119" t="inlineStr">
        <is>
          <t>RÄTTVIK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10658-2019</t>
        </is>
      </c>
      <c r="B120" s="1" t="n">
        <v>43514</v>
      </c>
      <c r="C120" s="1" t="n">
        <v>45362</v>
      </c>
      <c r="D120" t="inlineStr">
        <is>
          <t>DALARNAS LÄN</t>
        </is>
      </c>
      <c r="E120" t="inlineStr">
        <is>
          <t>RÄTTVIK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11611-2019</t>
        </is>
      </c>
      <c r="B121" s="1" t="n">
        <v>43517</v>
      </c>
      <c r="C121" s="1" t="n">
        <v>45362</v>
      </c>
      <c r="D121" t="inlineStr">
        <is>
          <t>DALARNAS LÄN</t>
        </is>
      </c>
      <c r="E121" t="inlineStr">
        <is>
          <t>RÄTTVIK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12575-2019</t>
        </is>
      </c>
      <c r="B122" s="1" t="n">
        <v>43524</v>
      </c>
      <c r="C122" s="1" t="n">
        <v>45362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16596-2019</t>
        </is>
      </c>
      <c r="B123" s="1" t="n">
        <v>43546</v>
      </c>
      <c r="C123" s="1" t="n">
        <v>45362</v>
      </c>
      <c r="D123" t="inlineStr">
        <is>
          <t>DALARNAS LÄN</t>
        </is>
      </c>
      <c r="E123" t="inlineStr">
        <is>
          <t>RÄTTVIK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17561-2019</t>
        </is>
      </c>
      <c r="B124" s="1" t="n">
        <v>43553</v>
      </c>
      <c r="C124" s="1" t="n">
        <v>45362</v>
      </c>
      <c r="D124" t="inlineStr">
        <is>
          <t>DALARNAS LÄN</t>
        </is>
      </c>
      <c r="E124" t="inlineStr">
        <is>
          <t>RÄTTVIK</t>
        </is>
      </c>
      <c r="F124" t="inlineStr">
        <is>
          <t>Bergvik skog väst AB</t>
        </is>
      </c>
      <c r="G124" t="n">
        <v>23.5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17429-2019</t>
        </is>
      </c>
      <c r="B125" s="1" t="n">
        <v>43553</v>
      </c>
      <c r="C125" s="1" t="n">
        <v>45362</v>
      </c>
      <c r="D125" t="inlineStr">
        <is>
          <t>DALARNAS LÄN</t>
        </is>
      </c>
      <c r="E125" t="inlineStr">
        <is>
          <t>RÄTTVIK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17921-2019</t>
        </is>
      </c>
      <c r="B126" s="1" t="n">
        <v>43554</v>
      </c>
      <c r="C126" s="1" t="n">
        <v>45362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18098-2019</t>
        </is>
      </c>
      <c r="B127" s="1" t="n">
        <v>43556</v>
      </c>
      <c r="C127" s="1" t="n">
        <v>45362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18534-2019</t>
        </is>
      </c>
      <c r="B128" s="1" t="n">
        <v>43559</v>
      </c>
      <c r="C128" s="1" t="n">
        <v>45362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43.7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19150-2019</t>
        </is>
      </c>
      <c r="B129" s="1" t="n">
        <v>43564</v>
      </c>
      <c r="C129" s="1" t="n">
        <v>45362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19754-2019</t>
        </is>
      </c>
      <c r="B130" s="1" t="n">
        <v>43566</v>
      </c>
      <c r="C130" s="1" t="n">
        <v>45362</v>
      </c>
      <c r="D130" t="inlineStr">
        <is>
          <t>DALARNAS LÄN</t>
        </is>
      </c>
      <c r="E130" t="inlineStr">
        <is>
          <t>RÄTTVIK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20044-2019</t>
        </is>
      </c>
      <c r="B131" s="1" t="n">
        <v>43570</v>
      </c>
      <c r="C131" s="1" t="n">
        <v>45362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20032-2019</t>
        </is>
      </c>
      <c r="B132" s="1" t="n">
        <v>43570</v>
      </c>
      <c r="C132" s="1" t="n">
        <v>45362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20311-2019</t>
        </is>
      </c>
      <c r="B133" s="1" t="n">
        <v>43570</v>
      </c>
      <c r="C133" s="1" t="n">
        <v>45362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21455-2019</t>
        </is>
      </c>
      <c r="B134" s="1" t="n">
        <v>43580</v>
      </c>
      <c r="C134" s="1" t="n">
        <v>45362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21947-2019</t>
        </is>
      </c>
      <c r="B135" s="1" t="n">
        <v>43584</v>
      </c>
      <c r="C135" s="1" t="n">
        <v>45362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22347-2019</t>
        </is>
      </c>
      <c r="B136" s="1" t="n">
        <v>43585</v>
      </c>
      <c r="C136" s="1" t="n">
        <v>45362</v>
      </c>
      <c r="D136" t="inlineStr">
        <is>
          <t>DALARNAS LÄN</t>
        </is>
      </c>
      <c r="E136" t="inlineStr">
        <is>
          <t>RÄTTVIK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22560-2019</t>
        </is>
      </c>
      <c r="B137" s="1" t="n">
        <v>43587</v>
      </c>
      <c r="C137" s="1" t="n">
        <v>45362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23176-2019</t>
        </is>
      </c>
      <c r="B138" s="1" t="n">
        <v>43592</v>
      </c>
      <c r="C138" s="1" t="n">
        <v>45362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23154-2019</t>
        </is>
      </c>
      <c r="B139" s="1" t="n">
        <v>43592</v>
      </c>
      <c r="C139" s="1" t="n">
        <v>45362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23374-2019</t>
        </is>
      </c>
      <c r="B140" s="1" t="n">
        <v>43592</v>
      </c>
      <c r="C140" s="1" t="n">
        <v>45362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24266-2019</t>
        </is>
      </c>
      <c r="B141" s="1" t="n">
        <v>43599</v>
      </c>
      <c r="C141" s="1" t="n">
        <v>45362</v>
      </c>
      <c r="D141" t="inlineStr">
        <is>
          <t>DALARNAS LÄN</t>
        </is>
      </c>
      <c r="E141" t="inlineStr">
        <is>
          <t>RÄTTVIK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26973-2019</t>
        </is>
      </c>
      <c r="B142" s="1" t="n">
        <v>43609</v>
      </c>
      <c r="C142" s="1" t="n">
        <v>45362</v>
      </c>
      <c r="D142" t="inlineStr">
        <is>
          <t>DALARNAS LÄN</t>
        </is>
      </c>
      <c r="E142" t="inlineStr">
        <is>
          <t>RÄTTVIK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27960-2019</t>
        </is>
      </c>
      <c r="B143" s="1" t="n">
        <v>43612</v>
      </c>
      <c r="C143" s="1" t="n">
        <v>45362</v>
      </c>
      <c r="D143" t="inlineStr">
        <is>
          <t>DALARNAS LÄN</t>
        </is>
      </c>
      <c r="E143" t="inlineStr">
        <is>
          <t>RÄTTVIK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27188-2019</t>
        </is>
      </c>
      <c r="B144" s="1" t="n">
        <v>43612</v>
      </c>
      <c r="C144" s="1" t="n">
        <v>45362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27959-2019</t>
        </is>
      </c>
      <c r="B145" s="1" t="n">
        <v>43612</v>
      </c>
      <c r="C145" s="1" t="n">
        <v>45362</v>
      </c>
      <c r="D145" t="inlineStr">
        <is>
          <t>DALARNAS LÄN</t>
        </is>
      </c>
      <c r="E145" t="inlineStr">
        <is>
          <t>RÄTTVIK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26347-2019</t>
        </is>
      </c>
      <c r="B146" s="1" t="n">
        <v>43612</v>
      </c>
      <c r="C146" s="1" t="n">
        <v>45362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28870-2019</t>
        </is>
      </c>
      <c r="B147" s="1" t="n">
        <v>43616</v>
      </c>
      <c r="C147" s="1" t="n">
        <v>45362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27722-2019</t>
        </is>
      </c>
      <c r="B148" s="1" t="n">
        <v>43619</v>
      </c>
      <c r="C148" s="1" t="n">
        <v>45362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29022-2019</t>
        </is>
      </c>
      <c r="B149" s="1" t="n">
        <v>43621</v>
      </c>
      <c r="C149" s="1" t="n">
        <v>45362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29200-2019</t>
        </is>
      </c>
      <c r="B150" s="1" t="n">
        <v>43623</v>
      </c>
      <c r="C150" s="1" t="n">
        <v>45362</v>
      </c>
      <c r="D150" t="inlineStr">
        <is>
          <t>DALARNAS LÄN</t>
        </is>
      </c>
      <c r="E150" t="inlineStr">
        <is>
          <t>RÄTTVIK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29012-2019</t>
        </is>
      </c>
      <c r="B151" s="1" t="n">
        <v>43628</v>
      </c>
      <c r="C151" s="1" t="n">
        <v>45362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28948-2019</t>
        </is>
      </c>
      <c r="B152" s="1" t="n">
        <v>43628</v>
      </c>
      <c r="C152" s="1" t="n">
        <v>45362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29880-2019</t>
        </is>
      </c>
      <c r="B153" s="1" t="n">
        <v>43629</v>
      </c>
      <c r="C153" s="1" t="n">
        <v>45362</v>
      </c>
      <c r="D153" t="inlineStr">
        <is>
          <t>DALARNAS LÄN</t>
        </is>
      </c>
      <c r="E153" t="inlineStr">
        <is>
          <t>RÄTTVIK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29638-2019</t>
        </is>
      </c>
      <c r="B154" s="1" t="n">
        <v>43630</v>
      </c>
      <c r="C154" s="1" t="n">
        <v>45362</v>
      </c>
      <c r="D154" t="inlineStr">
        <is>
          <t>DALARNAS LÄN</t>
        </is>
      </c>
      <c r="E154" t="inlineStr">
        <is>
          <t>RÄTTVIK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29842-2019</t>
        </is>
      </c>
      <c r="B155" s="1" t="n">
        <v>43633</v>
      </c>
      <c r="C155" s="1" t="n">
        <v>45362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30250-2019</t>
        </is>
      </c>
      <c r="B156" s="1" t="n">
        <v>43633</v>
      </c>
      <c r="C156" s="1" t="n">
        <v>45362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31549-2019</t>
        </is>
      </c>
      <c r="B157" s="1" t="n">
        <v>43641</v>
      </c>
      <c r="C157" s="1" t="n">
        <v>45362</v>
      </c>
      <c r="D157" t="inlineStr">
        <is>
          <t>DALARNAS LÄN</t>
        </is>
      </c>
      <c r="E157" t="inlineStr">
        <is>
          <t>RÄTTVIK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32158-2019</t>
        </is>
      </c>
      <c r="B158" s="1" t="n">
        <v>43643</v>
      </c>
      <c r="C158" s="1" t="n">
        <v>45362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32157-2019</t>
        </is>
      </c>
      <c r="B159" s="1" t="n">
        <v>43643</v>
      </c>
      <c r="C159" s="1" t="n">
        <v>45362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34149-2019</t>
        </is>
      </c>
      <c r="B160" s="1" t="n">
        <v>43647</v>
      </c>
      <c r="C160" s="1" t="n">
        <v>45362</v>
      </c>
      <c r="D160" t="inlineStr">
        <is>
          <t>DALARNAS LÄN</t>
        </is>
      </c>
      <c r="E160" t="inlineStr">
        <is>
          <t>RÄTTVIK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35215-2019</t>
        </is>
      </c>
      <c r="B161" s="1" t="n">
        <v>43651</v>
      </c>
      <c r="C161" s="1" t="n">
        <v>45362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35211-2019</t>
        </is>
      </c>
      <c r="B162" s="1" t="n">
        <v>43651</v>
      </c>
      <c r="C162" s="1" t="n">
        <v>45362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34329-2019</t>
        </is>
      </c>
      <c r="B163" s="1" t="n">
        <v>43656</v>
      </c>
      <c r="C163" s="1" t="n">
        <v>45362</v>
      </c>
      <c r="D163" t="inlineStr">
        <is>
          <t>DALARNAS LÄN</t>
        </is>
      </c>
      <c r="E163" t="inlineStr">
        <is>
          <t>RÄTTVIK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36028-2019</t>
        </is>
      </c>
      <c r="B164" s="1" t="n">
        <v>43657</v>
      </c>
      <c r="C164" s="1" t="n">
        <v>45362</v>
      </c>
      <c r="D164" t="inlineStr">
        <is>
          <t>DALARNAS LÄN</t>
        </is>
      </c>
      <c r="E164" t="inlineStr">
        <is>
          <t>RÄTTVIK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36382-2019</t>
        </is>
      </c>
      <c r="B165" s="1" t="n">
        <v>43662</v>
      </c>
      <c r="C165" s="1" t="n">
        <v>45362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36380-2019</t>
        </is>
      </c>
      <c r="B166" s="1" t="n">
        <v>43662</v>
      </c>
      <c r="C166" s="1" t="n">
        <v>45362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35410-2019</t>
        </is>
      </c>
      <c r="B167" s="1" t="n">
        <v>43663</v>
      </c>
      <c r="C167" s="1" t="n">
        <v>45362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HYPERLINK("https://klasma.github.io/Logging_2031/knärot/A 35410-2019 karta knärot.png", "A 35410-2019")</f>
        <v/>
      </c>
      <c r="V167">
        <f>HYPERLINK("https://klasma.github.io/Logging_2031/klagomål/A 35410-2019 FSC-klagomål.docx", "A 35410-2019")</f>
        <v/>
      </c>
      <c r="W167">
        <f>HYPERLINK("https://klasma.github.io/Logging_2031/klagomålsmail/A 35410-2019 FSC-klagomål mail.docx", "A 35410-2019")</f>
        <v/>
      </c>
      <c r="X167">
        <f>HYPERLINK("https://klasma.github.io/Logging_2031/tillsyn/A 35410-2019 tillsynsbegäran.docx", "A 35410-2019")</f>
        <v/>
      </c>
      <c r="Y167">
        <f>HYPERLINK("https://klasma.github.io/Logging_2031/tillsynsmail/A 35410-2019 tillsynsbegäran mail.docx", "A 35410-2019")</f>
        <v/>
      </c>
    </row>
    <row r="168" ht="15" customHeight="1">
      <c r="A168" t="inlineStr">
        <is>
          <t>A 35418-2019</t>
        </is>
      </c>
      <c r="B168" s="1" t="n">
        <v>43663</v>
      </c>
      <c r="C168" s="1" t="n">
        <v>45362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35423-2019</t>
        </is>
      </c>
      <c r="B169" s="1" t="n">
        <v>43663</v>
      </c>
      <c r="C169" s="1" t="n">
        <v>45362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35408-2019</t>
        </is>
      </c>
      <c r="B170" s="1" t="n">
        <v>43663</v>
      </c>
      <c r="C170" s="1" t="n">
        <v>45362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37678-2019</t>
        </is>
      </c>
      <c r="B171" s="1" t="n">
        <v>43682</v>
      </c>
      <c r="C171" s="1" t="n">
        <v>45362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38748-2019</t>
        </is>
      </c>
      <c r="B172" s="1" t="n">
        <v>43686</v>
      </c>
      <c r="C172" s="1" t="n">
        <v>45362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39556-2019</t>
        </is>
      </c>
      <c r="B173" s="1" t="n">
        <v>43686</v>
      </c>
      <c r="C173" s="1" t="n">
        <v>45362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39005-2019</t>
        </is>
      </c>
      <c r="B174" s="1" t="n">
        <v>43689</v>
      </c>
      <c r="C174" s="1" t="n">
        <v>45362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40304-2019</t>
        </is>
      </c>
      <c r="B175" s="1" t="n">
        <v>43690</v>
      </c>
      <c r="C175" s="1" t="n">
        <v>45362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40853-2019</t>
        </is>
      </c>
      <c r="B176" s="1" t="n">
        <v>43697</v>
      </c>
      <c r="C176" s="1" t="n">
        <v>45362</v>
      </c>
      <c r="D176" t="inlineStr">
        <is>
          <t>DALARNAS LÄN</t>
        </is>
      </c>
      <c r="E176" t="inlineStr">
        <is>
          <t>RÄTTVIK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42846-2019</t>
        </is>
      </c>
      <c r="B177" s="1" t="n">
        <v>43700</v>
      </c>
      <c r="C177" s="1" t="n">
        <v>45362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42949-2019</t>
        </is>
      </c>
      <c r="B178" s="1" t="n">
        <v>43705</v>
      </c>
      <c r="C178" s="1" t="n">
        <v>45362</v>
      </c>
      <c r="D178" t="inlineStr">
        <is>
          <t>DALARNAS LÄN</t>
        </is>
      </c>
      <c r="E178" t="inlineStr">
        <is>
          <t>RÄTTVIK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44376-2019</t>
        </is>
      </c>
      <c r="B179" s="1" t="n">
        <v>43711</v>
      </c>
      <c r="C179" s="1" t="n">
        <v>45362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44697-2019</t>
        </is>
      </c>
      <c r="B180" s="1" t="n">
        <v>43712</v>
      </c>
      <c r="C180" s="1" t="n">
        <v>45362</v>
      </c>
      <c r="D180" t="inlineStr">
        <is>
          <t>DALARNAS LÄN</t>
        </is>
      </c>
      <c r="E180" t="inlineStr">
        <is>
          <t>RÄTTVIK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45991-2019</t>
        </is>
      </c>
      <c r="B181" s="1" t="n">
        <v>43713</v>
      </c>
      <c r="C181" s="1" t="n">
        <v>45362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46214-2019</t>
        </is>
      </c>
      <c r="B182" s="1" t="n">
        <v>43714</v>
      </c>
      <c r="C182" s="1" t="n">
        <v>45362</v>
      </c>
      <c r="D182" t="inlineStr">
        <is>
          <t>DALARNAS LÄN</t>
        </is>
      </c>
      <c r="E182" t="inlineStr">
        <is>
          <t>RÄTTVIK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46213-2019</t>
        </is>
      </c>
      <c r="B183" s="1" t="n">
        <v>43714</v>
      </c>
      <c r="C183" s="1" t="n">
        <v>45362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46525-2019</t>
        </is>
      </c>
      <c r="B184" s="1" t="n">
        <v>43717</v>
      </c>
      <c r="C184" s="1" t="n">
        <v>45362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45598-2019</t>
        </is>
      </c>
      <c r="B185" s="1" t="n">
        <v>43718</v>
      </c>
      <c r="C185" s="1" t="n">
        <v>45362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47036-2019</t>
        </is>
      </c>
      <c r="B186" s="1" t="n">
        <v>43720</v>
      </c>
      <c r="C186" s="1" t="n">
        <v>45362</v>
      </c>
      <c r="D186" t="inlineStr">
        <is>
          <t>DALARNAS LÄN</t>
        </is>
      </c>
      <c r="E186" t="inlineStr">
        <is>
          <t>RÄTTVIK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47650-2019</t>
        </is>
      </c>
      <c r="B187" s="1" t="n">
        <v>43724</v>
      </c>
      <c r="C187" s="1" t="n">
        <v>45362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48518-2019</t>
        </is>
      </c>
      <c r="B188" s="1" t="n">
        <v>43726</v>
      </c>
      <c r="C188" s="1" t="n">
        <v>45362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48541-2019</t>
        </is>
      </c>
      <c r="B189" s="1" t="n">
        <v>43727</v>
      </c>
      <c r="C189" s="1" t="n">
        <v>45362</v>
      </c>
      <c r="D189" t="inlineStr">
        <is>
          <t>DALARNAS LÄN</t>
        </is>
      </c>
      <c r="E189" t="inlineStr">
        <is>
          <t>RÄTTVIK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48548-2019</t>
        </is>
      </c>
      <c r="B190" s="1" t="n">
        <v>43727</v>
      </c>
      <c r="C190" s="1" t="n">
        <v>45362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48537-2019</t>
        </is>
      </c>
      <c r="B191" s="1" t="n">
        <v>43727</v>
      </c>
      <c r="C191" s="1" t="n">
        <v>45362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51369-2019</t>
        </is>
      </c>
      <c r="B192" s="1" t="n">
        <v>43732</v>
      </c>
      <c r="C192" s="1" t="n">
        <v>45362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50213-2019</t>
        </is>
      </c>
      <c r="B193" s="1" t="n">
        <v>43734</v>
      </c>
      <c r="C193" s="1" t="n">
        <v>45362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51773-2019</t>
        </is>
      </c>
      <c r="B194" s="1" t="n">
        <v>43734</v>
      </c>
      <c r="C194" s="1" t="n">
        <v>45362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50362-2019</t>
        </is>
      </c>
      <c r="B195" s="1" t="n">
        <v>43734</v>
      </c>
      <c r="C195" s="1" t="n">
        <v>45362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50460-2019</t>
        </is>
      </c>
      <c r="B196" s="1" t="n">
        <v>43735</v>
      </c>
      <c r="C196" s="1" t="n">
        <v>45362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50471-2019</t>
        </is>
      </c>
      <c r="B197" s="1" t="n">
        <v>43735</v>
      </c>
      <c r="C197" s="1" t="n">
        <v>45362</v>
      </c>
      <c r="D197" t="inlineStr">
        <is>
          <t>DALARNAS LÄN</t>
        </is>
      </c>
      <c r="E197" t="inlineStr">
        <is>
          <t>RÄTTVIK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51526-2019</t>
        </is>
      </c>
      <c r="B198" s="1" t="n">
        <v>43740</v>
      </c>
      <c r="C198" s="1" t="n">
        <v>45362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51536-2019</t>
        </is>
      </c>
      <c r="B199" s="1" t="n">
        <v>43740</v>
      </c>
      <c r="C199" s="1" t="n">
        <v>45362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52865-2019</t>
        </is>
      </c>
      <c r="B200" s="1" t="n">
        <v>43740</v>
      </c>
      <c r="C200" s="1" t="n">
        <v>45362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53060-2019</t>
        </is>
      </c>
      <c r="B201" s="1" t="n">
        <v>43740</v>
      </c>
      <c r="C201" s="1" t="n">
        <v>45362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52221-2019</t>
        </is>
      </c>
      <c r="B202" s="1" t="n">
        <v>43742</v>
      </c>
      <c r="C202" s="1" t="n">
        <v>45362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53998-2019</t>
        </is>
      </c>
      <c r="B203" s="1" t="n">
        <v>43742</v>
      </c>
      <c r="C203" s="1" t="n">
        <v>45362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53099-2019</t>
        </is>
      </c>
      <c r="B204" s="1" t="n">
        <v>43747</v>
      </c>
      <c r="C204" s="1" t="n">
        <v>45362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56609-2019</t>
        </is>
      </c>
      <c r="B205" s="1" t="n">
        <v>43758</v>
      </c>
      <c r="C205" s="1" t="n">
        <v>45362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57663-2019</t>
        </is>
      </c>
      <c r="B206" s="1" t="n">
        <v>43761</v>
      </c>
      <c r="C206" s="1" t="n">
        <v>45362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58514-2019</t>
        </is>
      </c>
      <c r="B207" s="1" t="n">
        <v>43766</v>
      </c>
      <c r="C207" s="1" t="n">
        <v>45362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57490-2019</t>
        </is>
      </c>
      <c r="B208" s="1" t="n">
        <v>43767</v>
      </c>
      <c r="C208" s="1" t="n">
        <v>45362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57951-2019</t>
        </is>
      </c>
      <c r="B209" s="1" t="n">
        <v>43769</v>
      </c>
      <c r="C209" s="1" t="n">
        <v>45362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59171-2019</t>
        </is>
      </c>
      <c r="B210" s="1" t="n">
        <v>43770</v>
      </c>
      <c r="C210" s="1" t="n">
        <v>45362</v>
      </c>
      <c r="D210" t="inlineStr">
        <is>
          <t>DALARNAS LÄN</t>
        </is>
      </c>
      <c r="E210" t="inlineStr">
        <is>
          <t>RÄTTVIK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59176-2019</t>
        </is>
      </c>
      <c r="B211" s="1" t="n">
        <v>43770</v>
      </c>
      <c r="C211" s="1" t="n">
        <v>45362</v>
      </c>
      <c r="D211" t="inlineStr">
        <is>
          <t>DALARNAS LÄN</t>
        </is>
      </c>
      <c r="E211" t="inlineStr">
        <is>
          <t>RÄTTVIK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59301-2019</t>
        </is>
      </c>
      <c r="B212" s="1" t="n">
        <v>43773</v>
      </c>
      <c r="C212" s="1" t="n">
        <v>45362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59816-2019</t>
        </is>
      </c>
      <c r="B213" s="1" t="n">
        <v>43775</v>
      </c>
      <c r="C213" s="1" t="n">
        <v>45362</v>
      </c>
      <c r="D213" t="inlineStr">
        <is>
          <t>DALARNAS LÄN</t>
        </is>
      </c>
      <c r="E213" t="inlineStr">
        <is>
          <t>RÄTTVIK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60578-2019</t>
        </is>
      </c>
      <c r="B214" s="1" t="n">
        <v>43776</v>
      </c>
      <c r="C214" s="1" t="n">
        <v>45362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60474-2019</t>
        </is>
      </c>
      <c r="B215" s="1" t="n">
        <v>43776</v>
      </c>
      <c r="C215" s="1" t="n">
        <v>45362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60575-2019</t>
        </is>
      </c>
      <c r="B216" s="1" t="n">
        <v>43776</v>
      </c>
      <c r="C216" s="1" t="n">
        <v>45362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60473-2019</t>
        </is>
      </c>
      <c r="B217" s="1" t="n">
        <v>43776</v>
      </c>
      <c r="C217" s="1" t="n">
        <v>45362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60467-2019</t>
        </is>
      </c>
      <c r="B218" s="1" t="n">
        <v>43780</v>
      </c>
      <c r="C218" s="1" t="n">
        <v>45362</v>
      </c>
      <c r="D218" t="inlineStr">
        <is>
          <t>DALARNAS LÄN</t>
        </is>
      </c>
      <c r="E218" t="inlineStr">
        <is>
          <t>RÄTTVIK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61112-2019</t>
        </is>
      </c>
      <c r="B219" s="1" t="n">
        <v>43780</v>
      </c>
      <c r="C219" s="1" t="n">
        <v>45362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61115-2019</t>
        </is>
      </c>
      <c r="B220" s="1" t="n">
        <v>43780</v>
      </c>
      <c r="C220" s="1" t="n">
        <v>45362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61117-2019</t>
        </is>
      </c>
      <c r="B221" s="1" t="n">
        <v>43780</v>
      </c>
      <c r="C221" s="1" t="n">
        <v>45362</v>
      </c>
      <c r="D221" t="inlineStr">
        <is>
          <t>DALARNAS LÄN</t>
        </is>
      </c>
      <c r="E221" t="inlineStr">
        <is>
          <t>RÄTTVIK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61257-2019</t>
        </is>
      </c>
      <c r="B222" s="1" t="n">
        <v>43783</v>
      </c>
      <c r="C222" s="1" t="n">
        <v>45362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62807-2019</t>
        </is>
      </c>
      <c r="B223" s="1" t="n">
        <v>43784</v>
      </c>
      <c r="C223" s="1" t="n">
        <v>45362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62738-2019</t>
        </is>
      </c>
      <c r="B224" s="1" t="n">
        <v>43786</v>
      </c>
      <c r="C224" s="1" t="n">
        <v>45362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65199-2019</t>
        </is>
      </c>
      <c r="B225" s="1" t="n">
        <v>43797</v>
      </c>
      <c r="C225" s="1" t="n">
        <v>45362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66771-2019</t>
        </is>
      </c>
      <c r="B226" s="1" t="n">
        <v>43804</v>
      </c>
      <c r="C226" s="1" t="n">
        <v>45362</v>
      </c>
      <c r="D226" t="inlineStr">
        <is>
          <t>DALARNAS LÄN</t>
        </is>
      </c>
      <c r="E226" t="inlineStr">
        <is>
          <t>RÄTTVIK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67053-2019</t>
        </is>
      </c>
      <c r="B227" s="1" t="n">
        <v>43805</v>
      </c>
      <c r="C227" s="1" t="n">
        <v>45362</v>
      </c>
      <c r="D227" t="inlineStr">
        <is>
          <t>DALARNAS LÄN</t>
        </is>
      </c>
      <c r="E227" t="inlineStr">
        <is>
          <t>RÄTTVIK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67049-2019</t>
        </is>
      </c>
      <c r="B228" s="1" t="n">
        <v>43805</v>
      </c>
      <c r="C228" s="1" t="n">
        <v>45362</v>
      </c>
      <c r="D228" t="inlineStr">
        <is>
          <t>DALARNAS LÄN</t>
        </is>
      </c>
      <c r="E228" t="inlineStr">
        <is>
          <t>RÄTTVIK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67308-2019</t>
        </is>
      </c>
      <c r="B229" s="1" t="n">
        <v>43812</v>
      </c>
      <c r="C229" s="1" t="n">
        <v>45362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67404-2019</t>
        </is>
      </c>
      <c r="B230" s="1" t="n">
        <v>43812</v>
      </c>
      <c r="C230" s="1" t="n">
        <v>45362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68806-2019</t>
        </is>
      </c>
      <c r="B231" s="1" t="n">
        <v>43815</v>
      </c>
      <c r="C231" s="1" t="n">
        <v>45362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67503-2019</t>
        </is>
      </c>
      <c r="B232" s="1" t="n">
        <v>43815</v>
      </c>
      <c r="C232" s="1" t="n">
        <v>45362</v>
      </c>
      <c r="D232" t="inlineStr">
        <is>
          <t>DALARNAS LÄN</t>
        </is>
      </c>
      <c r="E232" t="inlineStr">
        <is>
          <t>RÄTTVIK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69097-2019</t>
        </is>
      </c>
      <c r="B233" s="1" t="n">
        <v>43829</v>
      </c>
      <c r="C233" s="1" t="n">
        <v>45362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1771-2020</t>
        </is>
      </c>
      <c r="B234" s="1" t="n">
        <v>43833</v>
      </c>
      <c r="C234" s="1" t="n">
        <v>45362</v>
      </c>
      <c r="D234" t="inlineStr">
        <is>
          <t>DALARNAS LÄN</t>
        </is>
      </c>
      <c r="E234" t="inlineStr">
        <is>
          <t>RÄTTVIK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449-2020</t>
        </is>
      </c>
      <c r="B235" s="1" t="n">
        <v>43837</v>
      </c>
      <c r="C235" s="1" t="n">
        <v>45362</v>
      </c>
      <c r="D235" t="inlineStr">
        <is>
          <t>DALARNAS LÄN</t>
        </is>
      </c>
      <c r="E235" t="inlineStr">
        <is>
          <t>RÄTTVIK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946-2020</t>
        </is>
      </c>
      <c r="B236" s="1" t="n">
        <v>43839</v>
      </c>
      <c r="C236" s="1" t="n">
        <v>45362</v>
      </c>
      <c r="D236" t="inlineStr">
        <is>
          <t>DALARNAS LÄN</t>
        </is>
      </c>
      <c r="E236" t="inlineStr">
        <is>
          <t>RÄTTVIK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1137-2020</t>
        </is>
      </c>
      <c r="B237" s="1" t="n">
        <v>43840</v>
      </c>
      <c r="C237" s="1" t="n">
        <v>45362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2556-2020</t>
        </is>
      </c>
      <c r="B238" s="1" t="n">
        <v>43843</v>
      </c>
      <c r="C238" s="1" t="n">
        <v>45362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3404-2020</t>
        </is>
      </c>
      <c r="B239" s="1" t="n">
        <v>43845</v>
      </c>
      <c r="C239" s="1" t="n">
        <v>45362</v>
      </c>
      <c r="D239" t="inlineStr">
        <is>
          <t>DALARNAS LÄN</t>
        </is>
      </c>
      <c r="E239" t="inlineStr">
        <is>
          <t>RÄTTVIK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4485-2020</t>
        </is>
      </c>
      <c r="B240" s="1" t="n">
        <v>43850</v>
      </c>
      <c r="C240" s="1" t="n">
        <v>45362</v>
      </c>
      <c r="D240" t="inlineStr">
        <is>
          <t>DALARNAS LÄN</t>
        </is>
      </c>
      <c r="E240" t="inlineStr">
        <is>
          <t>RÄTTVIK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3942-2020</t>
        </is>
      </c>
      <c r="B241" s="1" t="n">
        <v>43854</v>
      </c>
      <c r="C241" s="1" t="n">
        <v>45362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4036-2020</t>
        </is>
      </c>
      <c r="B242" s="1" t="n">
        <v>43857</v>
      </c>
      <c r="C242" s="1" t="n">
        <v>45362</v>
      </c>
      <c r="D242" t="inlineStr">
        <is>
          <t>DALARNAS LÄN</t>
        </is>
      </c>
      <c r="E242" t="inlineStr">
        <is>
          <t>RÄTTVIK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4280-2020</t>
        </is>
      </c>
      <c r="B243" s="1" t="n">
        <v>43857</v>
      </c>
      <c r="C243" s="1" t="n">
        <v>45362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5311-2020</t>
        </is>
      </c>
      <c r="B244" s="1" t="n">
        <v>43857</v>
      </c>
      <c r="C244" s="1" t="n">
        <v>45362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5761-2020</t>
        </is>
      </c>
      <c r="B245" s="1" t="n">
        <v>43864</v>
      </c>
      <c r="C245" s="1" t="n">
        <v>45362</v>
      </c>
      <c r="D245" t="inlineStr">
        <is>
          <t>DALARNAS LÄN</t>
        </is>
      </c>
      <c r="E245" t="inlineStr">
        <is>
          <t>RÄTTVIK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5755-2020</t>
        </is>
      </c>
      <c r="B246" s="1" t="n">
        <v>43864</v>
      </c>
      <c r="C246" s="1" t="n">
        <v>45362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6034-2020</t>
        </is>
      </c>
      <c r="B247" s="1" t="n">
        <v>43864</v>
      </c>
      <c r="C247" s="1" t="n">
        <v>45362</v>
      </c>
      <c r="D247" t="inlineStr">
        <is>
          <t>DALARNAS LÄN</t>
        </is>
      </c>
      <c r="E247" t="inlineStr">
        <is>
          <t>RÄTTVIK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6772-2020</t>
        </is>
      </c>
      <c r="B248" s="1" t="n">
        <v>43867</v>
      </c>
      <c r="C248" s="1" t="n">
        <v>45362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7402-2020</t>
        </is>
      </c>
      <c r="B249" s="1" t="n">
        <v>43871</v>
      </c>
      <c r="C249" s="1" t="n">
        <v>45362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7519-2020</t>
        </is>
      </c>
      <c r="B250" s="1" t="n">
        <v>43872</v>
      </c>
      <c r="C250" s="1" t="n">
        <v>45362</v>
      </c>
      <c r="D250" t="inlineStr">
        <is>
          <t>DALARNAS LÄN</t>
        </is>
      </c>
      <c r="E250" t="inlineStr">
        <is>
          <t>RÄTTVIK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8030-2020</t>
        </is>
      </c>
      <c r="B251" s="1" t="n">
        <v>43873</v>
      </c>
      <c r="C251" s="1" t="n">
        <v>45362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8216-2020</t>
        </is>
      </c>
      <c r="B252" s="1" t="n">
        <v>43873</v>
      </c>
      <c r="C252" s="1" t="n">
        <v>45362</v>
      </c>
      <c r="D252" t="inlineStr">
        <is>
          <t>DALARNAS LÄN</t>
        </is>
      </c>
      <c r="E252" t="inlineStr">
        <is>
          <t>RÄTTVIK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8212-2020</t>
        </is>
      </c>
      <c r="B253" s="1" t="n">
        <v>43873</v>
      </c>
      <c r="C253" s="1" t="n">
        <v>45362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8204-2020</t>
        </is>
      </c>
      <c r="B254" s="1" t="n">
        <v>43874</v>
      </c>
      <c r="C254" s="1" t="n">
        <v>45362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8704-2020</t>
        </is>
      </c>
      <c r="B255" s="1" t="n">
        <v>43878</v>
      </c>
      <c r="C255" s="1" t="n">
        <v>45362</v>
      </c>
      <c r="D255" t="inlineStr">
        <is>
          <t>DALARNAS LÄN</t>
        </is>
      </c>
      <c r="E255" t="inlineStr">
        <is>
          <t>RÄTTVIK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9161-2020</t>
        </is>
      </c>
      <c r="B256" s="1" t="n">
        <v>43879</v>
      </c>
      <c r="C256" s="1" t="n">
        <v>45362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9466-2020</t>
        </is>
      </c>
      <c r="B257" s="1" t="n">
        <v>43880</v>
      </c>
      <c r="C257" s="1" t="n">
        <v>45362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11863-2020</t>
        </is>
      </c>
      <c r="B258" s="1" t="n">
        <v>43894</v>
      </c>
      <c r="C258" s="1" t="n">
        <v>45362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11999-2020</t>
        </is>
      </c>
      <c r="B259" s="1" t="n">
        <v>43894</v>
      </c>
      <c r="C259" s="1" t="n">
        <v>45362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14737-2020</t>
        </is>
      </c>
      <c r="B260" s="1" t="n">
        <v>43902</v>
      </c>
      <c r="C260" s="1" t="n">
        <v>45362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16187-2020</t>
        </is>
      </c>
      <c r="B261" s="1" t="n">
        <v>43917</v>
      </c>
      <c r="C261" s="1" t="n">
        <v>45362</v>
      </c>
      <c r="D261" t="inlineStr">
        <is>
          <t>DALARNAS LÄN</t>
        </is>
      </c>
      <c r="E261" t="inlineStr">
        <is>
          <t>RÄTTVIK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16189-2020</t>
        </is>
      </c>
      <c r="B262" s="1" t="n">
        <v>43917</v>
      </c>
      <c r="C262" s="1" t="n">
        <v>45362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16710-2020</t>
        </is>
      </c>
      <c r="B263" s="1" t="n">
        <v>43920</v>
      </c>
      <c r="C263" s="1" t="n">
        <v>45362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16723-2020</t>
        </is>
      </c>
      <c r="B264" s="1" t="n">
        <v>43920</v>
      </c>
      <c r="C264" s="1" t="n">
        <v>45362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16839-2020</t>
        </is>
      </c>
      <c r="B265" s="1" t="n">
        <v>43921</v>
      </c>
      <c r="C265" s="1" t="n">
        <v>45362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17279-2020</t>
        </is>
      </c>
      <c r="B266" s="1" t="n">
        <v>43922</v>
      </c>
      <c r="C266" s="1" t="n">
        <v>45362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17234-2020</t>
        </is>
      </c>
      <c r="B267" s="1" t="n">
        <v>43922</v>
      </c>
      <c r="C267" s="1" t="n">
        <v>45362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18140-2020</t>
        </is>
      </c>
      <c r="B268" s="1" t="n">
        <v>43924</v>
      </c>
      <c r="C268" s="1" t="n">
        <v>45362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18141-2020</t>
        </is>
      </c>
      <c r="B269" s="1" t="n">
        <v>43924</v>
      </c>
      <c r="C269" s="1" t="n">
        <v>45362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18396-2020</t>
        </is>
      </c>
      <c r="B270" s="1" t="n">
        <v>43927</v>
      </c>
      <c r="C270" s="1" t="n">
        <v>45362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18385-2020</t>
        </is>
      </c>
      <c r="B271" s="1" t="n">
        <v>43927</v>
      </c>
      <c r="C271" s="1" t="n">
        <v>45362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18324-2020</t>
        </is>
      </c>
      <c r="B272" s="1" t="n">
        <v>43928</v>
      </c>
      <c r="C272" s="1" t="n">
        <v>45362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18327-2020</t>
        </is>
      </c>
      <c r="B273" s="1" t="n">
        <v>43928</v>
      </c>
      <c r="C273" s="1" t="n">
        <v>45362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18754-2020</t>
        </is>
      </c>
      <c r="B274" s="1" t="n">
        <v>43930</v>
      </c>
      <c r="C274" s="1" t="n">
        <v>45362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19.7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18798-2020</t>
        </is>
      </c>
      <c r="B275" s="1" t="n">
        <v>43933</v>
      </c>
      <c r="C275" s="1" t="n">
        <v>45362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18797-2020</t>
        </is>
      </c>
      <c r="B276" s="1" t="n">
        <v>43933</v>
      </c>
      <c r="C276" s="1" t="n">
        <v>45362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19115-2020</t>
        </is>
      </c>
      <c r="B277" s="1" t="n">
        <v>43935</v>
      </c>
      <c r="C277" s="1" t="n">
        <v>45362</v>
      </c>
      <c r="D277" t="inlineStr">
        <is>
          <t>DALARNAS LÄN</t>
        </is>
      </c>
      <c r="E277" t="inlineStr">
        <is>
          <t>RÄTTVIK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19278-2020</t>
        </is>
      </c>
      <c r="B278" s="1" t="n">
        <v>43937</v>
      </c>
      <c r="C278" s="1" t="n">
        <v>45362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19870-2020</t>
        </is>
      </c>
      <c r="B279" s="1" t="n">
        <v>43941</v>
      </c>
      <c r="C279" s="1" t="n">
        <v>45362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19877-2020</t>
        </is>
      </c>
      <c r="B280" s="1" t="n">
        <v>43941</v>
      </c>
      <c r="C280" s="1" t="n">
        <v>45362</v>
      </c>
      <c r="D280" t="inlineStr">
        <is>
          <t>DALARNAS LÄN</t>
        </is>
      </c>
      <c r="E280" t="inlineStr">
        <is>
          <t>RÄTTVIK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20853-2020</t>
        </is>
      </c>
      <c r="B281" s="1" t="n">
        <v>43948</v>
      </c>
      <c r="C281" s="1" t="n">
        <v>45362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20646-2020</t>
        </is>
      </c>
      <c r="B282" s="1" t="n">
        <v>43949</v>
      </c>
      <c r="C282" s="1" t="n">
        <v>45362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20653-2020</t>
        </is>
      </c>
      <c r="B283" s="1" t="n">
        <v>43949</v>
      </c>
      <c r="C283" s="1" t="n">
        <v>45362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20645-2020</t>
        </is>
      </c>
      <c r="B284" s="1" t="n">
        <v>43949</v>
      </c>
      <c r="C284" s="1" t="n">
        <v>45362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20655-2020</t>
        </is>
      </c>
      <c r="B285" s="1" t="n">
        <v>43949</v>
      </c>
      <c r="C285" s="1" t="n">
        <v>45362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21376-2020</t>
        </is>
      </c>
      <c r="B286" s="1" t="n">
        <v>43950</v>
      </c>
      <c r="C286" s="1" t="n">
        <v>45362</v>
      </c>
      <c r="D286" t="inlineStr">
        <is>
          <t>DALARNAS LÄN</t>
        </is>
      </c>
      <c r="E286" t="inlineStr">
        <is>
          <t>RÄTTVIK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21155-2020</t>
        </is>
      </c>
      <c r="B287" s="1" t="n">
        <v>43951</v>
      </c>
      <c r="C287" s="1" t="n">
        <v>45362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22052-2020</t>
        </is>
      </c>
      <c r="B288" s="1" t="n">
        <v>43959</v>
      </c>
      <c r="C288" s="1" t="n">
        <v>45362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22054-2020</t>
        </is>
      </c>
      <c r="B289" s="1" t="n">
        <v>43959</v>
      </c>
      <c r="C289" s="1" t="n">
        <v>45362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23.3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22053-2020</t>
        </is>
      </c>
      <c r="B290" s="1" t="n">
        <v>43959</v>
      </c>
      <c r="C290" s="1" t="n">
        <v>45362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22517-2020</t>
        </is>
      </c>
      <c r="B291" s="1" t="n">
        <v>43959</v>
      </c>
      <c r="C291" s="1" t="n">
        <v>45362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23600-2020</t>
        </is>
      </c>
      <c r="B292" s="1" t="n">
        <v>43969</v>
      </c>
      <c r="C292" s="1" t="n">
        <v>45362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23770-2020</t>
        </is>
      </c>
      <c r="B293" s="1" t="n">
        <v>43970</v>
      </c>
      <c r="C293" s="1" t="n">
        <v>45362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24215-2020</t>
        </is>
      </c>
      <c r="B294" s="1" t="n">
        <v>43973</v>
      </c>
      <c r="C294" s="1" t="n">
        <v>45362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25991-2020</t>
        </is>
      </c>
      <c r="B295" s="1" t="n">
        <v>43985</v>
      </c>
      <c r="C295" s="1" t="n">
        <v>45362</v>
      </c>
      <c r="D295" t="inlineStr">
        <is>
          <t>DALARNAS LÄN</t>
        </is>
      </c>
      <c r="E295" t="inlineStr">
        <is>
          <t>RÄTTVIK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26747-2020</t>
        </is>
      </c>
      <c r="B296" s="1" t="n">
        <v>43990</v>
      </c>
      <c r="C296" s="1" t="n">
        <v>45362</v>
      </c>
      <c r="D296" t="inlineStr">
        <is>
          <t>DALARNAS LÄN</t>
        </is>
      </c>
      <c r="E296" t="inlineStr">
        <is>
          <t>RÄTTVIK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26994-2020</t>
        </is>
      </c>
      <c r="B297" s="1" t="n">
        <v>43991</v>
      </c>
      <c r="C297" s="1" t="n">
        <v>45362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26997-2020</t>
        </is>
      </c>
      <c r="B298" s="1" t="n">
        <v>43991</v>
      </c>
      <c r="C298" s="1" t="n">
        <v>45362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26993-2020</t>
        </is>
      </c>
      <c r="B299" s="1" t="n">
        <v>43991</v>
      </c>
      <c r="C299" s="1" t="n">
        <v>45362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26998-2020</t>
        </is>
      </c>
      <c r="B300" s="1" t="n">
        <v>43991</v>
      </c>
      <c r="C300" s="1" t="n">
        <v>45362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26995-2020</t>
        </is>
      </c>
      <c r="B301" s="1" t="n">
        <v>43991</v>
      </c>
      <c r="C301" s="1" t="n">
        <v>45362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29534-2020</t>
        </is>
      </c>
      <c r="B302" s="1" t="n">
        <v>44005</v>
      </c>
      <c r="C302" s="1" t="n">
        <v>45362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34524-2020</t>
        </is>
      </c>
      <c r="B303" s="1" t="n">
        <v>44033</v>
      </c>
      <c r="C303" s="1" t="n">
        <v>45362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35000-2020</t>
        </is>
      </c>
      <c r="B304" s="1" t="n">
        <v>44039</v>
      </c>
      <c r="C304" s="1" t="n">
        <v>45362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36151-2020</t>
        </is>
      </c>
      <c r="B305" s="1" t="n">
        <v>44048</v>
      </c>
      <c r="C305" s="1" t="n">
        <v>45362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36419-2020</t>
        </is>
      </c>
      <c r="B306" s="1" t="n">
        <v>44049</v>
      </c>
      <c r="C306" s="1" t="n">
        <v>45362</v>
      </c>
      <c r="D306" t="inlineStr">
        <is>
          <t>DALARNAS LÄN</t>
        </is>
      </c>
      <c r="E306" t="inlineStr">
        <is>
          <t>RÄTTVIK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36783-2020</t>
        </is>
      </c>
      <c r="B307" s="1" t="n">
        <v>44053</v>
      </c>
      <c r="C307" s="1" t="n">
        <v>45362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36890-2020</t>
        </is>
      </c>
      <c r="B308" s="1" t="n">
        <v>44053</v>
      </c>
      <c r="C308" s="1" t="n">
        <v>45362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36936-2020</t>
        </is>
      </c>
      <c r="B309" s="1" t="n">
        <v>44053</v>
      </c>
      <c r="C309" s="1" t="n">
        <v>45362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37167-2020</t>
        </is>
      </c>
      <c r="B310" s="1" t="n">
        <v>44054</v>
      </c>
      <c r="C310" s="1" t="n">
        <v>45362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37202-2020</t>
        </is>
      </c>
      <c r="B311" s="1" t="n">
        <v>44054</v>
      </c>
      <c r="C311" s="1" t="n">
        <v>45362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37205-2020</t>
        </is>
      </c>
      <c r="B312" s="1" t="n">
        <v>44054</v>
      </c>
      <c r="C312" s="1" t="n">
        <v>45362</v>
      </c>
      <c r="D312" t="inlineStr">
        <is>
          <t>DALARNAS LÄN</t>
        </is>
      </c>
      <c r="E312" t="inlineStr">
        <is>
          <t>RÄTTVIK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37381-2020</t>
        </is>
      </c>
      <c r="B313" s="1" t="n">
        <v>44055</v>
      </c>
      <c r="C313" s="1" t="n">
        <v>45362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37373-2020</t>
        </is>
      </c>
      <c r="B314" s="1" t="n">
        <v>44055</v>
      </c>
      <c r="C314" s="1" t="n">
        <v>45362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42112-2020</t>
        </is>
      </c>
      <c r="B315" s="1" t="n">
        <v>44074</v>
      </c>
      <c r="C315" s="1" t="n">
        <v>45362</v>
      </c>
      <c r="D315" t="inlineStr">
        <is>
          <t>DALARNAS LÄN</t>
        </is>
      </c>
      <c r="E315" t="inlineStr">
        <is>
          <t>RÄTTVIK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42130-2020</t>
        </is>
      </c>
      <c r="B316" s="1" t="n">
        <v>44074</v>
      </c>
      <c r="C316" s="1" t="n">
        <v>45362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43363-2020</t>
        </is>
      </c>
      <c r="B317" s="1" t="n">
        <v>44077</v>
      </c>
      <c r="C317" s="1" t="n">
        <v>45362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42806-2020</t>
        </is>
      </c>
      <c r="B318" s="1" t="n">
        <v>44078</v>
      </c>
      <c r="C318" s="1" t="n">
        <v>45362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42828-2020</t>
        </is>
      </c>
      <c r="B319" s="1" t="n">
        <v>44078</v>
      </c>
      <c r="C319" s="1" t="n">
        <v>45362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44706-2020</t>
        </is>
      </c>
      <c r="B320" s="1" t="n">
        <v>44082</v>
      </c>
      <c r="C320" s="1" t="n">
        <v>45362</v>
      </c>
      <c r="D320" t="inlineStr">
        <is>
          <t>DALARNAS LÄN</t>
        </is>
      </c>
      <c r="E320" t="inlineStr">
        <is>
          <t>RÄTTVIK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44243-2020</t>
        </is>
      </c>
      <c r="B321" s="1" t="n">
        <v>44084</v>
      </c>
      <c r="C321" s="1" t="n">
        <v>45362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45523-2020</t>
        </is>
      </c>
      <c r="B322" s="1" t="n">
        <v>44089</v>
      </c>
      <c r="C322" s="1" t="n">
        <v>45362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47182-2020</t>
        </is>
      </c>
      <c r="B323" s="1" t="n">
        <v>44091</v>
      </c>
      <c r="C323" s="1" t="n">
        <v>45362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46858-2020</t>
        </is>
      </c>
      <c r="B324" s="1" t="n">
        <v>44095</v>
      </c>
      <c r="C324" s="1" t="n">
        <v>45362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47312-2020</t>
        </is>
      </c>
      <c r="B325" s="1" t="n">
        <v>44097</v>
      </c>
      <c r="C325" s="1" t="n">
        <v>45362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49217-2020</t>
        </is>
      </c>
      <c r="B326" s="1" t="n">
        <v>44102</v>
      </c>
      <c r="C326" s="1" t="n">
        <v>45362</v>
      </c>
      <c r="D326" t="inlineStr">
        <is>
          <t>DALARNAS LÄN</t>
        </is>
      </c>
      <c r="E326" t="inlineStr">
        <is>
          <t>RÄTTVIK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48941-2020</t>
        </is>
      </c>
      <c r="B327" s="1" t="n">
        <v>44104</v>
      </c>
      <c r="C327" s="1" t="n">
        <v>45362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50862-2020</t>
        </is>
      </c>
      <c r="B328" s="1" t="n">
        <v>44105</v>
      </c>
      <c r="C328" s="1" t="n">
        <v>45362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50061-2020</t>
        </is>
      </c>
      <c r="B329" s="1" t="n">
        <v>44109</v>
      </c>
      <c r="C329" s="1" t="n">
        <v>45362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49929-2020</t>
        </is>
      </c>
      <c r="B330" s="1" t="n">
        <v>44109</v>
      </c>
      <c r="C330" s="1" t="n">
        <v>45362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45362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45362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45362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45362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45362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45362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45362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45362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45362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45362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45362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45362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45362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45362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45362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45362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45362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45362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45362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45362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45362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45362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45362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45362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45362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45362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45362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45362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45362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45362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45362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45362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45362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45362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45362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45362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45362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45362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45362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45362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45362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45362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45362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45362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45362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45362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45362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45362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45362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45362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45362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45362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45362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45362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45362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45362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45362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45362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45362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45362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45362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45362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45362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45362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45362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45362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45362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45362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45362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45362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45362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45362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45362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45362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45362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45362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45362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45362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45362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45362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45362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45362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45362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45362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45362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45362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45362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45362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45362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45362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45362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45362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45362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45362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45362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45362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45362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45362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45362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45362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45362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45362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45362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45362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45362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45362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45362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45362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45362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45362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45362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45362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45362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45362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45362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45362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45362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45362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45362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45362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45362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45362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45362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45362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45362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45362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45362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45362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45362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45362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45362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45362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45362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45362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45362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45362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45362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45362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45362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45362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45362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45362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45362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45362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45362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45362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45362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45362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45362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45362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45362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45362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45362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45362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45362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45362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45362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45362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45362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45362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45362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45362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45362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45362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45362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45362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45362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45362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45362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45362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45362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45362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45362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45362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45362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45362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45362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45362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45362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45362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45362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45362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45362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45362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45362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45362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45362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45362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45362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45362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45362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45362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45362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45362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45362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45362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45362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45362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45362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45362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45362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45362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45362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45362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45362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45362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45362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45362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45362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45362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45362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45362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45362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45362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45362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45362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45362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45362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45362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45362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45362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45362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45362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45362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45362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45362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45362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45362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45362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45362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45362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45362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45362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45362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45362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45362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45362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45362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45362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45362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45362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45362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45362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45362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45362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45362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45362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45362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45362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45362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45362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45362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45362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45362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45362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45362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45362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45362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45362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45362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45362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45362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45362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45362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45362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45362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45362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45362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45362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45362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45362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45362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45362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45362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45362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45362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45362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45362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45362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45362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45362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45362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45362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45362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45362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45362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45362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45362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45362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45362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45362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45362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45362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45362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45362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45362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45362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45362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45362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45362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45362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45362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45362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45362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45362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45362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45362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45362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45362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45362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45362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45362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45362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45362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45362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45362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45362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45362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45362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45362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45362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45362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45362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45362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45362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45362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45362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45362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45362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45362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45362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45362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45362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45362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45362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45362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45362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45362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45362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45362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45362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45362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45362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45362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45362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45362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45362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45362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45362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45362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45362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45362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45362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45362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45362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45362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45362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45362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45362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45362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45362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45362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45362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45362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45362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45362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45362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45362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45362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45362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45362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45362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45362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45362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45362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45362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45362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45362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45362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45362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45362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45362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45362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45362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45362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45362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45362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45362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45362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45362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45362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45362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45362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45362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45362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45362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45362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45362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45362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45362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45362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45362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45362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45362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45362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45362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45362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45362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45362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45362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45362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45362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45362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45362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45362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45362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45362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45362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45362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45362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45362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45362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45362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45362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45362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45362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45362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45362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45362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45362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45362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45362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45362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45362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45362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45362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45362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45362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45362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45362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45362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45362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45362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45362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45362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45362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45362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45362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45362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45362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45362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45362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45362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45362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45362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45362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45362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45362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45362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45362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45362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45362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45362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45362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45362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45362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45362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45362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45362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45362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45362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45362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45362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45362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45362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45362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45362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45362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45362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45362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45362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45362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45362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45362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45362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45362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45362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45362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45362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45362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45362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45362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45362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45362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45362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45362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45362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45362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45362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45362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45362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45362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45362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45362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45362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45362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45362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45362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45362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45362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45362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45362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45362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45362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45362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45362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45362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45362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45362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45362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45362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45362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45362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45362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45362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45362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45362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45362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45362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45362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45362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45362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45362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45362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45362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45362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45362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45362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45362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45362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45362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45362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45362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45362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45362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45362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45362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45362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45362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45362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45362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45362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45362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45362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45362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45362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45362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45362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45362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45362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45362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45362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45362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45362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45362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45362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45362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45362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45362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45362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45362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45362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45362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45362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45362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45362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45362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45362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45362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45362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45362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45362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45362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45362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45362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45362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45362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45362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45362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45362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45362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45362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45362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45362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45362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45362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45362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45362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45362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45362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45362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45362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45362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45362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45362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45362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45362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45362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45362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45362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45362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45362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45362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45362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45362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45362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45362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45362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45362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45362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45362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45362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45362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45362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45362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45362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45362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45362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45362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45362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45362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45362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45362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45362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45362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45362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45362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45362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45362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45362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45362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45362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45362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45362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45362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45362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45362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45362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45362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45362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45362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45362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45362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45362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45362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45362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45362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45362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45362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45362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45362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45362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45362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45362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45362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45362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45362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45362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45362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45362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45362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45362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45362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45362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45362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45362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45362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45362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45362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45362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45362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45362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45362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45362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45362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45362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45362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45362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45362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45362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45362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45362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45362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45362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45362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45362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45362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45362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45362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45362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45362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45362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45362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45362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45362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45362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45362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45362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45362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45362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45362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45362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45362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45362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45362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45362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45362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45362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45362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45362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45362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45362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45362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45362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45362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45362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45362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45362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45362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45362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45362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45362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45362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45362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45362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5110-2024</t>
        </is>
      </c>
      <c r="B1066" s="1" t="n">
        <v>45330</v>
      </c>
      <c r="C1066" s="1" t="n">
        <v>45362</v>
      </c>
      <c r="D1066" t="inlineStr">
        <is>
          <t>DALARNAS LÄN</t>
        </is>
      </c>
      <c r="E1066" t="inlineStr">
        <is>
          <t>RÄTTVIK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5122-2024</t>
        </is>
      </c>
      <c r="B1067" s="1" t="n">
        <v>45330</v>
      </c>
      <c r="C1067" s="1" t="n">
        <v>45362</v>
      </c>
      <c r="D1067" t="inlineStr">
        <is>
          <t>DALARNAS LÄN</t>
        </is>
      </c>
      <c r="E1067" t="inlineStr">
        <is>
          <t>RÄTTVIK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5189-2024</t>
        </is>
      </c>
      <c r="B1068" s="1" t="n">
        <v>45330</v>
      </c>
      <c r="C1068" s="1" t="n">
        <v>45362</v>
      </c>
      <c r="D1068" t="inlineStr">
        <is>
          <t>DALARNAS LÄN</t>
        </is>
      </c>
      <c r="E1068" t="inlineStr">
        <is>
          <t>RÄTTVIK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5156-2024</t>
        </is>
      </c>
      <c r="B1069" s="1" t="n">
        <v>45330</v>
      </c>
      <c r="C1069" s="1" t="n">
        <v>45362</v>
      </c>
      <c r="D1069" t="inlineStr">
        <is>
          <t>DALARNAS LÄN</t>
        </is>
      </c>
      <c r="E1069" t="inlineStr">
        <is>
          <t>RÄTTVIK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5174-2024</t>
        </is>
      </c>
      <c r="B1070" s="1" t="n">
        <v>45330</v>
      </c>
      <c r="C1070" s="1" t="n">
        <v>45362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45362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45362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5520-2024</t>
        </is>
      </c>
      <c r="B1073" s="1" t="n">
        <v>45334</v>
      </c>
      <c r="C1073" s="1" t="n">
        <v>45362</v>
      </c>
      <c r="D1073" t="inlineStr">
        <is>
          <t>DALARNAS LÄN</t>
        </is>
      </c>
      <c r="E1073" t="inlineStr">
        <is>
          <t>RÄTTVIK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5518-2024</t>
        </is>
      </c>
      <c r="B1074" s="1" t="n">
        <v>45334</v>
      </c>
      <c r="C1074" s="1" t="n">
        <v>45362</v>
      </c>
      <c r="D1074" t="inlineStr">
        <is>
          <t>DALARNAS LÄN</t>
        </is>
      </c>
      <c r="E1074" t="inlineStr">
        <is>
          <t>RÄTTVIK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6187-2024</t>
        </is>
      </c>
      <c r="B1075" s="1" t="n">
        <v>45337</v>
      </c>
      <c r="C1075" s="1" t="n">
        <v>45362</v>
      </c>
      <c r="D1075" t="inlineStr">
        <is>
          <t>DALARNAS LÄN</t>
        </is>
      </c>
      <c r="E1075" t="inlineStr">
        <is>
          <t>RÄTTVIK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6213-2024</t>
        </is>
      </c>
      <c r="B1076" s="1" t="n">
        <v>45337</v>
      </c>
      <c r="C1076" s="1" t="n">
        <v>45362</v>
      </c>
      <c r="D1076" t="inlineStr">
        <is>
          <t>DALARNAS LÄN</t>
        </is>
      </c>
      <c r="E1076" t="inlineStr">
        <is>
          <t>RÄTTVIK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6169-2024</t>
        </is>
      </c>
      <c r="B1077" s="1" t="n">
        <v>45337</v>
      </c>
      <c r="C1077" s="1" t="n">
        <v>45362</v>
      </c>
      <c r="D1077" t="inlineStr">
        <is>
          <t>DALARNAS LÄN</t>
        </is>
      </c>
      <c r="E1077" t="inlineStr">
        <is>
          <t>RÄTTVIK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45362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7146-2024</t>
        </is>
      </c>
      <c r="B1079" s="1" t="n">
        <v>45344</v>
      </c>
      <c r="C1079" s="1" t="n">
        <v>45362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7140-2024</t>
        </is>
      </c>
      <c r="B1080" s="1" t="n">
        <v>45344</v>
      </c>
      <c r="C1080" s="1" t="n">
        <v>45362</v>
      </c>
      <c r="D1080" t="inlineStr">
        <is>
          <t>DALARNAS LÄN</t>
        </is>
      </c>
      <c r="E1080" t="inlineStr">
        <is>
          <t>RÄTTVIK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45362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45362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8126-2024</t>
        </is>
      </c>
      <c r="B1083" s="1" t="n">
        <v>45351</v>
      </c>
      <c r="C1083" s="1" t="n">
        <v>45362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8127-2024</t>
        </is>
      </c>
      <c r="B1084" s="1" t="n">
        <v>45351</v>
      </c>
      <c r="C1084" s="1" t="n">
        <v>45362</v>
      </c>
      <c r="D1084" t="inlineStr">
        <is>
          <t>DALARNAS LÄN</t>
        </is>
      </c>
      <c r="E1084" t="inlineStr">
        <is>
          <t>RÄTTVIK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8381-2024</t>
        </is>
      </c>
      <c r="B1085" s="1" t="n">
        <v>45352</v>
      </c>
      <c r="C1085" s="1" t="n">
        <v>45362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9211-2024</t>
        </is>
      </c>
      <c r="B1086" s="1" t="n">
        <v>45358</v>
      </c>
      <c r="C1086" s="1" t="n">
        <v>45362</v>
      </c>
      <c r="D1086" t="inlineStr">
        <is>
          <t>DALARNAS LÄN</t>
        </is>
      </c>
      <c r="E1086" t="inlineStr">
        <is>
          <t>RÄTTVIK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9477-2024</t>
        </is>
      </c>
      <c r="B1087" s="1" t="n">
        <v>45359</v>
      </c>
      <c r="C1087" s="1" t="n">
        <v>45362</v>
      </c>
      <c r="D1087" t="inlineStr">
        <is>
          <t>DALARNAS LÄN</t>
        </is>
      </c>
      <c r="E1087" t="inlineStr">
        <is>
          <t>RÄTTVIK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9481-2024</t>
        </is>
      </c>
      <c r="B1088" s="1" t="n">
        <v>45359</v>
      </c>
      <c r="C1088" s="1" t="n">
        <v>45362</v>
      </c>
      <c r="D1088" t="inlineStr">
        <is>
          <t>DALARNAS LÄN</t>
        </is>
      </c>
      <c r="E1088" t="inlineStr">
        <is>
          <t>RÄTTVIK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2024-03-11T13:53:41Z</dcterms:created>
  <dcterms:modified xmlns:dcterms="http://purl.org/dc/terms/" xmlns:xsi="http://www.w3.org/2001/XMLSchema-instance" xsi:type="dcterms:W3CDTF">2024-03-11T13:53:42Z</dcterms:modified>
</cp:coreProperties>
</file>