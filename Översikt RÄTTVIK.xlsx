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45821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45821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45821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45821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45821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45821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45821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45821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45821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45867-2020</t>
        </is>
      </c>
      <c r="B42" s="1" t="n">
        <v>44088</v>
      </c>
      <c r="C42" s="1" t="n">
        <v>45821</v>
      </c>
      <c r="D42" t="inlineStr">
        <is>
          <t>DALARNAS LÄN</t>
        </is>
      </c>
      <c r="E42" t="inlineStr">
        <is>
          <t>RÄTTVIK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HYPERLINK("https://klasma.github.io/Logging_2031/artfynd/A 45867-2020 artfynd.xlsx", "A 45867-2020")</f>
        <v/>
      </c>
      <c r="T42">
        <f>HYPERLINK("https://klasma.github.io/Logging_2031/kartor/A 45867-2020 karta.png", "A 45867-2020")</f>
        <v/>
      </c>
      <c r="V42">
        <f>HYPERLINK("https://klasma.github.io/Logging_2031/klagomål/A 45867-2020 FSC-klagomål.docx", "A 45867-2020")</f>
        <v/>
      </c>
      <c r="W42">
        <f>HYPERLINK("https://klasma.github.io/Logging_2031/klagomålsmail/A 45867-2020 FSC-klagomål mail.docx", "A 45867-2020")</f>
        <v/>
      </c>
      <c r="X42">
        <f>HYPERLINK("https://klasma.github.io/Logging_2031/tillsyn/A 45867-2020 tillsynsbegäran.docx", "A 45867-2020")</f>
        <v/>
      </c>
      <c r="Y42">
        <f>HYPERLINK("https://klasma.github.io/Logging_2031/tillsynsmail/A 45867-2020 tillsynsbegäran mail.docx", "A 45867-2020")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45821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15138-2021</t>
        </is>
      </c>
      <c r="B44" s="1" t="n">
        <v>44284</v>
      </c>
      <c r="C44" s="1" t="n">
        <v>45821</v>
      </c>
      <c r="D44" t="inlineStr">
        <is>
          <t>DALARNAS LÄN</t>
        </is>
      </c>
      <c r="E44" t="inlineStr">
        <is>
          <t>RÄTTVIK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HYPERLINK("https://klasma.github.io/Logging_2031/artfynd/A 15138-2021 artfynd.xlsx", "A 15138-2021")</f>
        <v/>
      </c>
      <c r="T44">
        <f>HYPERLINK("https://klasma.github.io/Logging_2031/kartor/A 15138-2021 karta.png", "A 15138-2021")</f>
        <v/>
      </c>
      <c r="V44">
        <f>HYPERLINK("https://klasma.github.io/Logging_2031/klagomål/A 15138-2021 FSC-klagomål.docx", "A 15138-2021")</f>
        <v/>
      </c>
      <c r="W44">
        <f>HYPERLINK("https://klasma.github.io/Logging_2031/klagomålsmail/A 15138-2021 FSC-klagomål mail.docx", "A 15138-2021")</f>
        <v/>
      </c>
      <c r="X44">
        <f>HYPERLINK("https://klasma.github.io/Logging_2031/tillsyn/A 15138-2021 tillsynsbegäran.docx", "A 15138-2021")</f>
        <v/>
      </c>
      <c r="Y44">
        <f>HYPERLINK("https://klasma.github.io/Logging_2031/tillsynsmail/A 15138-2021 tillsynsbegäran mail.docx", "A 15138-2021")</f>
        <v/>
      </c>
    </row>
    <row r="45" ht="15" customHeight="1">
      <c r="A45" t="inlineStr">
        <is>
          <t>A 29527-2021</t>
        </is>
      </c>
      <c r="B45" s="1" t="n">
        <v>44361</v>
      </c>
      <c r="C45" s="1" t="n">
        <v>45821</v>
      </c>
      <c r="D45" t="inlineStr">
        <is>
          <t>DALARNAS LÄN</t>
        </is>
      </c>
      <c r="E45" t="inlineStr">
        <is>
          <t>RÄTTVIK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29527-2021 artfynd.xlsx", "A 29527-2021")</f>
        <v/>
      </c>
      <c r="T45">
        <f>HYPERLINK("https://klasma.github.io/Logging_2031/kartor/A 29527-2021 karta.png", "A 29527-2021")</f>
        <v/>
      </c>
      <c r="V45">
        <f>HYPERLINK("https://klasma.github.io/Logging_2031/klagomål/A 29527-2021 FSC-klagomål.docx", "A 29527-2021")</f>
        <v/>
      </c>
      <c r="W45">
        <f>HYPERLINK("https://klasma.github.io/Logging_2031/klagomålsmail/A 29527-2021 FSC-klagomål mail.docx", "A 29527-2021")</f>
        <v/>
      </c>
      <c r="X45">
        <f>HYPERLINK("https://klasma.github.io/Logging_2031/tillsyn/A 29527-2021 tillsynsbegäran.docx", "A 29527-2021")</f>
        <v/>
      </c>
      <c r="Y45">
        <f>HYPERLINK("https://klasma.github.io/Logging_2031/tillsynsmail/A 29527-2021 tillsynsbegäran mail.docx", "A 29527-2021")</f>
        <v/>
      </c>
    </row>
    <row r="46" ht="15" customHeight="1">
      <c r="A46" t="inlineStr">
        <is>
          <t>A 36615-2021</t>
        </is>
      </c>
      <c r="B46" s="1" t="n">
        <v>44391</v>
      </c>
      <c r="C46" s="1" t="n">
        <v>45821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HYPERLINK("https://klasma.github.io/Logging_2031/artfynd/A 36615-2021 artfynd.xlsx", "A 36615-2021")</f>
        <v/>
      </c>
      <c r="T46">
        <f>HYPERLINK("https://klasma.github.io/Logging_2031/kartor/A 36615-2021 karta.png", "A 36615-2021")</f>
        <v/>
      </c>
      <c r="V46">
        <f>HYPERLINK("https://klasma.github.io/Logging_2031/klagomål/A 36615-2021 FSC-klagomål.docx", "A 36615-2021")</f>
        <v/>
      </c>
      <c r="W46">
        <f>HYPERLINK("https://klasma.github.io/Logging_2031/klagomålsmail/A 36615-2021 FSC-klagomål mail.docx", "A 36615-2021")</f>
        <v/>
      </c>
      <c r="X46">
        <f>HYPERLINK("https://klasma.github.io/Logging_2031/tillsyn/A 36615-2021 tillsynsbegäran.docx", "A 36615-2021")</f>
        <v/>
      </c>
      <c r="Y46">
        <f>HYPERLINK("https://klasma.github.io/Logging_2031/tillsynsmail/A 36615-2021 tillsynsbegäran mail.docx", "A 36615-2021")</f>
        <v/>
      </c>
    </row>
    <row r="47" ht="15" customHeight="1">
      <c r="A47" t="inlineStr">
        <is>
          <t>A 39484-2021</t>
        </is>
      </c>
      <c r="B47" s="1" t="n">
        <v>44414</v>
      </c>
      <c r="C47" s="1" t="n">
        <v>45821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39484-2021 artfynd.xlsx", "A 39484-2021")</f>
        <v/>
      </c>
      <c r="T47">
        <f>HYPERLINK("https://klasma.github.io/Logging_2031/kartor/A 39484-2021 karta.png", "A 39484-2021")</f>
        <v/>
      </c>
      <c r="V47">
        <f>HYPERLINK("https://klasma.github.io/Logging_2031/klagomål/A 39484-2021 FSC-klagomål.docx", "A 39484-2021")</f>
        <v/>
      </c>
      <c r="W47">
        <f>HYPERLINK("https://klasma.github.io/Logging_2031/klagomålsmail/A 39484-2021 FSC-klagomål mail.docx", "A 39484-2021")</f>
        <v/>
      </c>
      <c r="X47">
        <f>HYPERLINK("https://klasma.github.io/Logging_2031/tillsyn/A 39484-2021 tillsynsbegäran.docx", "A 39484-2021")</f>
        <v/>
      </c>
      <c r="Y47">
        <f>HYPERLINK("https://klasma.github.io/Logging_2031/tillsynsmail/A 39484-2021 tillsynsbegäran mail.docx", "A 39484-2021")</f>
        <v/>
      </c>
    </row>
    <row r="48" ht="15" customHeight="1">
      <c r="A48" t="inlineStr">
        <is>
          <t>A 54173-2021</t>
        </is>
      </c>
      <c r="B48" s="1" t="n">
        <v>44470</v>
      </c>
      <c r="C48" s="1" t="n">
        <v>45821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HYPERLINK("https://klasma.github.io/Logging_2031/artfynd/A 54173-2021 artfynd.xlsx", "A 54173-2021")</f>
        <v/>
      </c>
      <c r="T48">
        <f>HYPERLINK("https://klasma.github.io/Logging_2031/kartor/A 54173-2021 karta.png", "A 54173-2021")</f>
        <v/>
      </c>
      <c r="V48">
        <f>HYPERLINK("https://klasma.github.io/Logging_2031/klagomål/A 54173-2021 FSC-klagomål.docx", "A 54173-2021")</f>
        <v/>
      </c>
      <c r="W48">
        <f>HYPERLINK("https://klasma.github.io/Logging_2031/klagomålsmail/A 54173-2021 FSC-klagomål mail.docx", "A 54173-2021")</f>
        <v/>
      </c>
      <c r="X48">
        <f>HYPERLINK("https://klasma.github.io/Logging_2031/tillsyn/A 54173-2021 tillsynsbegäran.docx", "A 54173-2021")</f>
        <v/>
      </c>
      <c r="Y48">
        <f>HYPERLINK("https://klasma.github.io/Logging_2031/tillsynsmail/A 54173-2021 tillsynsbegäran mail.docx", "A 54173-2021")</f>
        <v/>
      </c>
    </row>
    <row r="49" ht="15" customHeight="1">
      <c r="A49" t="inlineStr">
        <is>
          <t>A 60707-2021</t>
        </is>
      </c>
      <c r="B49" s="1" t="n">
        <v>44496</v>
      </c>
      <c r="C49" s="1" t="n">
        <v>45821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7.2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Tallfingersvamp</t>
        </is>
      </c>
      <c r="S49">
        <f>HYPERLINK("https://klasma.github.io/Logging_2031/artfynd/A 60707-2021 artfynd.xlsx", "A 60707-2021")</f>
        <v/>
      </c>
      <c r="T49">
        <f>HYPERLINK("https://klasma.github.io/Logging_2031/kartor/A 60707-2021 karta.png", "A 60707-2021")</f>
        <v/>
      </c>
      <c r="V49">
        <f>HYPERLINK("https://klasma.github.io/Logging_2031/klagomål/A 60707-2021 FSC-klagomål.docx", "A 60707-2021")</f>
        <v/>
      </c>
      <c r="W49">
        <f>HYPERLINK("https://klasma.github.io/Logging_2031/klagomålsmail/A 60707-2021 FSC-klagomål mail.docx", "A 60707-2021")</f>
        <v/>
      </c>
      <c r="X49">
        <f>HYPERLINK("https://klasma.github.io/Logging_2031/tillsyn/A 60707-2021 tillsynsbegäran.docx", "A 60707-2021")</f>
        <v/>
      </c>
      <c r="Y49">
        <f>HYPERLINK("https://klasma.github.io/Logging_2031/tillsynsmail/A 60707-2021 tillsynsbegäran mail.docx", "A 60707-2021")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45821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734-2022</t>
        </is>
      </c>
      <c r="B51" s="1" t="n">
        <v>44568</v>
      </c>
      <c r="C51" s="1" t="n">
        <v>45821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HYPERLINK("https://klasma.github.io/Logging_2031/artfynd/A 734-2022 artfynd.xlsx", "A 734-2022")</f>
        <v/>
      </c>
      <c r="T51">
        <f>HYPERLINK("https://klasma.github.io/Logging_2031/kartor/A 734-2022 karta.png", "A 734-2022")</f>
        <v/>
      </c>
      <c r="U51">
        <f>HYPERLINK("https://klasma.github.io/Logging_2031/knärot/A 734-2022 karta knärot.png", "A 734-2022")</f>
        <v/>
      </c>
      <c r="V51">
        <f>HYPERLINK("https://klasma.github.io/Logging_2031/klagomål/A 734-2022 FSC-klagomål.docx", "A 734-2022")</f>
        <v/>
      </c>
      <c r="W51">
        <f>HYPERLINK("https://klasma.github.io/Logging_2031/klagomålsmail/A 734-2022 FSC-klagomål mail.docx", "A 734-2022")</f>
        <v/>
      </c>
      <c r="X51">
        <f>HYPERLINK("https://klasma.github.io/Logging_2031/tillsyn/A 734-2022 tillsynsbegäran.docx", "A 734-2022")</f>
        <v/>
      </c>
      <c r="Y51">
        <f>HYPERLINK("https://klasma.github.io/Logging_2031/tillsynsmail/A 734-2022 tillsynsbegäran mail.docx", "A 734-2022")</f>
        <v/>
      </c>
    </row>
    <row r="52" ht="15" customHeight="1">
      <c r="A52" t="inlineStr">
        <is>
          <t>A 10626-2022</t>
        </is>
      </c>
      <c r="B52" s="1" t="n">
        <v>44627</v>
      </c>
      <c r="C52" s="1" t="n">
        <v>45821</v>
      </c>
      <c r="D52" t="inlineStr">
        <is>
          <t>DALARNAS LÄN</t>
        </is>
      </c>
      <c r="E52" t="inlineStr">
        <is>
          <t>RÄTTVIK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Rödgul trumpetsvamp</t>
        </is>
      </c>
      <c r="S52">
        <f>HYPERLINK("https://klasma.github.io/Logging_2031/artfynd/A 10626-2022 artfynd.xlsx", "A 10626-2022")</f>
        <v/>
      </c>
      <c r="T52">
        <f>HYPERLINK("https://klasma.github.io/Logging_2031/kartor/A 10626-2022 karta.png", "A 10626-2022")</f>
        <v/>
      </c>
      <c r="V52">
        <f>HYPERLINK("https://klasma.github.io/Logging_2031/klagomål/A 10626-2022 FSC-klagomål.docx", "A 10626-2022")</f>
        <v/>
      </c>
      <c r="W52">
        <f>HYPERLINK("https://klasma.github.io/Logging_2031/klagomålsmail/A 10626-2022 FSC-klagomål mail.docx", "A 10626-2022")</f>
        <v/>
      </c>
      <c r="X52">
        <f>HYPERLINK("https://klasma.github.io/Logging_2031/tillsyn/A 10626-2022 tillsynsbegäran.docx", "A 10626-2022")</f>
        <v/>
      </c>
      <c r="Y52">
        <f>HYPERLINK("https://klasma.github.io/Logging_2031/tillsynsmail/A 10626-2022 tillsynsbegäran mail.docx", "A 10626-2022")</f>
        <v/>
      </c>
    </row>
    <row r="53" ht="15" customHeight="1">
      <c r="A53" t="inlineStr">
        <is>
          <t>A 24854-2022</t>
        </is>
      </c>
      <c r="B53" s="1" t="n">
        <v>44728</v>
      </c>
      <c r="C53" s="1" t="n">
        <v>45821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24854-2022 artfynd.xlsx", "A 24854-2022")</f>
        <v/>
      </c>
      <c r="T53">
        <f>HYPERLINK("https://klasma.github.io/Logging_2031/kartor/A 24854-2022 karta.png", "A 24854-2022")</f>
        <v/>
      </c>
      <c r="U53">
        <f>HYPERLINK("https://klasma.github.io/Logging_2031/knärot/A 24854-2022 karta knärot.png", "A 24854-2022")</f>
        <v/>
      </c>
      <c r="V53">
        <f>HYPERLINK("https://klasma.github.io/Logging_2031/klagomål/A 24854-2022 FSC-klagomål.docx", "A 24854-2022")</f>
        <v/>
      </c>
      <c r="W53">
        <f>HYPERLINK("https://klasma.github.io/Logging_2031/klagomålsmail/A 24854-2022 FSC-klagomål mail.docx", "A 24854-2022")</f>
        <v/>
      </c>
      <c r="X53">
        <f>HYPERLINK("https://klasma.github.io/Logging_2031/tillsyn/A 24854-2022 tillsynsbegäran.docx", "A 24854-2022")</f>
        <v/>
      </c>
      <c r="Y53">
        <f>HYPERLINK("https://klasma.github.io/Logging_2031/tillsynsmail/A 24854-2022 tillsynsbegäran mail.docx", "A 24854-2022")</f>
        <v/>
      </c>
    </row>
    <row r="54" ht="15" customHeight="1">
      <c r="A54" t="inlineStr">
        <is>
          <t>A 47962-2022</t>
        </is>
      </c>
      <c r="B54" s="1" t="n">
        <v>44855</v>
      </c>
      <c r="C54" s="1" t="n">
        <v>45821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47962-2022 artfynd.xlsx", "A 47962-2022")</f>
        <v/>
      </c>
      <c r="T54">
        <f>HYPERLINK("https://klasma.github.io/Logging_2031/kartor/A 47962-2022 karta.png", "A 47962-2022")</f>
        <v/>
      </c>
      <c r="V54">
        <f>HYPERLINK("https://klasma.github.io/Logging_2031/klagomål/A 47962-2022 FSC-klagomål.docx", "A 47962-2022")</f>
        <v/>
      </c>
      <c r="W54">
        <f>HYPERLINK("https://klasma.github.io/Logging_2031/klagomålsmail/A 47962-2022 FSC-klagomål mail.docx", "A 47962-2022")</f>
        <v/>
      </c>
      <c r="X54">
        <f>HYPERLINK("https://klasma.github.io/Logging_2031/tillsyn/A 47962-2022 tillsynsbegäran.docx", "A 47962-2022")</f>
        <v/>
      </c>
      <c r="Y54">
        <f>HYPERLINK("https://klasma.github.io/Logging_2031/tillsynsmail/A 47962-2022 tillsynsbegäran mail.docx", "A 47962-2022")</f>
        <v/>
      </c>
    </row>
    <row r="55" ht="15" customHeight="1">
      <c r="A55" t="inlineStr">
        <is>
          <t>A 56806-2022</t>
        </is>
      </c>
      <c r="B55" s="1" t="n">
        <v>44894</v>
      </c>
      <c r="C55" s="1" t="n">
        <v>45821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56806-2022 artfynd.xlsx", "A 56806-2022")</f>
        <v/>
      </c>
      <c r="T55">
        <f>HYPERLINK("https://klasma.github.io/Logging_2031/kartor/A 56806-2022 karta.png", "A 56806-2022")</f>
        <v/>
      </c>
      <c r="V55">
        <f>HYPERLINK("https://klasma.github.io/Logging_2031/klagomål/A 56806-2022 FSC-klagomål.docx", "A 56806-2022")</f>
        <v/>
      </c>
      <c r="W55">
        <f>HYPERLINK("https://klasma.github.io/Logging_2031/klagomålsmail/A 56806-2022 FSC-klagomål mail.docx", "A 56806-2022")</f>
        <v/>
      </c>
      <c r="X55">
        <f>HYPERLINK("https://klasma.github.io/Logging_2031/tillsyn/A 56806-2022 tillsynsbegäran.docx", "A 56806-2022")</f>
        <v/>
      </c>
      <c r="Y55">
        <f>HYPERLINK("https://klasma.github.io/Logging_2031/tillsynsmail/A 56806-2022 tillsynsbegäran mail.docx", "A 56806-2022")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45821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45821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10247-2023</t>
        </is>
      </c>
      <c r="B58" s="1" t="n">
        <v>44986</v>
      </c>
      <c r="C58" s="1" t="n">
        <v>45821</v>
      </c>
      <c r="D58" t="inlineStr">
        <is>
          <t>DALARNAS LÄN</t>
        </is>
      </c>
      <c r="E58" t="inlineStr">
        <is>
          <t>RÄTTVIK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HYPERLINK("https://klasma.github.io/Logging_2031/artfynd/A 10247-2023 artfynd.xlsx", "A 10247-2023")</f>
        <v/>
      </c>
      <c r="T58">
        <f>HYPERLINK("https://klasma.github.io/Logging_2031/kartor/A 10247-2023 karta.png", "A 10247-2023")</f>
        <v/>
      </c>
      <c r="V58">
        <f>HYPERLINK("https://klasma.github.io/Logging_2031/klagomål/A 10247-2023 FSC-klagomål.docx", "A 10247-2023")</f>
        <v/>
      </c>
      <c r="W58">
        <f>HYPERLINK("https://klasma.github.io/Logging_2031/klagomålsmail/A 10247-2023 FSC-klagomål mail.docx", "A 10247-2023")</f>
        <v/>
      </c>
      <c r="X58">
        <f>HYPERLINK("https://klasma.github.io/Logging_2031/tillsyn/A 10247-2023 tillsynsbegäran.docx", "A 10247-2023")</f>
        <v/>
      </c>
      <c r="Y58">
        <f>HYPERLINK("https://klasma.github.io/Logging_2031/tillsynsmail/A 10247-2023 tillsynsbegäran mail.docx", "A 10247-2023")</f>
        <v/>
      </c>
    </row>
    <row r="59" ht="15" customHeight="1">
      <c r="A59" t="inlineStr">
        <is>
          <t>A 23707-2023</t>
        </is>
      </c>
      <c r="B59" s="1" t="n">
        <v>45077</v>
      </c>
      <c r="C59" s="1" t="n">
        <v>45821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HYPERLINK("https://klasma.github.io/Logging_2031/artfynd/A 23707-2023 artfynd.xlsx", "A 23707-2023")</f>
        <v/>
      </c>
      <c r="T59">
        <f>HYPERLINK("https://klasma.github.io/Logging_2031/kartor/A 23707-2023 karta.png", "A 23707-2023")</f>
        <v/>
      </c>
      <c r="V59">
        <f>HYPERLINK("https://klasma.github.io/Logging_2031/klagomål/A 23707-2023 FSC-klagomål.docx", "A 23707-2023")</f>
        <v/>
      </c>
      <c r="W59">
        <f>HYPERLINK("https://klasma.github.io/Logging_2031/klagomålsmail/A 23707-2023 FSC-klagomål mail.docx", "A 23707-2023")</f>
        <v/>
      </c>
      <c r="X59">
        <f>HYPERLINK("https://klasma.github.io/Logging_2031/tillsyn/A 23707-2023 tillsynsbegäran.docx", "A 23707-2023")</f>
        <v/>
      </c>
      <c r="Y59">
        <f>HYPERLINK("https://klasma.github.io/Logging_2031/tillsynsmail/A 23707-2023 tillsynsbegäran mail.docx", "A 23707-2023")</f>
        <v/>
      </c>
    </row>
    <row r="60" ht="15" customHeight="1">
      <c r="A60" t="inlineStr">
        <is>
          <t>A 45516-2023</t>
        </is>
      </c>
      <c r="B60" s="1" t="n">
        <v>45194</v>
      </c>
      <c r="C60" s="1" t="n">
        <v>45821</v>
      </c>
      <c r="D60" t="inlineStr">
        <is>
          <t>DALARNAS LÄN</t>
        </is>
      </c>
      <c r="E60" t="inlineStr">
        <is>
          <t>RÄTTVIK</t>
        </is>
      </c>
      <c r="G60" t="n">
        <v>20.3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HYPERLINK("https://klasma.github.io/Logging_2031/artfynd/A 45516-2023 artfynd.xlsx", "A 45516-2023")</f>
        <v/>
      </c>
      <c r="T60">
        <f>HYPERLINK("https://klasma.github.io/Logging_2031/kartor/A 45516-2023 karta.png", "A 45516-2023")</f>
        <v/>
      </c>
      <c r="V60">
        <f>HYPERLINK("https://klasma.github.io/Logging_2031/klagomål/A 45516-2023 FSC-klagomål.docx", "A 45516-2023")</f>
        <v/>
      </c>
      <c r="W60">
        <f>HYPERLINK("https://klasma.github.io/Logging_2031/klagomålsmail/A 45516-2023 FSC-klagomål mail.docx", "A 45516-2023")</f>
        <v/>
      </c>
      <c r="X60">
        <f>HYPERLINK("https://klasma.github.io/Logging_2031/tillsyn/A 45516-2023 tillsynsbegäran.docx", "A 45516-2023")</f>
        <v/>
      </c>
      <c r="Y60">
        <f>HYPERLINK("https://klasma.github.io/Logging_2031/tillsynsmail/A 45516-2023 tillsynsbegäran mail.docx", "A 45516-2023")</f>
        <v/>
      </c>
    </row>
    <row r="61" ht="15" customHeight="1">
      <c r="A61" t="inlineStr">
        <is>
          <t>A 45524-2023</t>
        </is>
      </c>
      <c r="B61" s="1" t="n">
        <v>45194</v>
      </c>
      <c r="C61" s="1" t="n">
        <v>45821</v>
      </c>
      <c r="D61" t="inlineStr">
        <is>
          <t>DALARNAS LÄN</t>
        </is>
      </c>
      <c r="E61" t="inlineStr">
        <is>
          <t>RÄTTVIK</t>
        </is>
      </c>
      <c r="G61" t="n">
        <v>16.1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HYPERLINK("https://klasma.github.io/Logging_2031/artfynd/A 45524-2023 artfynd.xlsx", "A 45524-2023")</f>
        <v/>
      </c>
      <c r="T61">
        <f>HYPERLINK("https://klasma.github.io/Logging_2031/kartor/A 45524-2023 karta.png", "A 45524-2023")</f>
        <v/>
      </c>
      <c r="V61">
        <f>HYPERLINK("https://klasma.github.io/Logging_2031/klagomål/A 45524-2023 FSC-klagomål.docx", "A 45524-2023")</f>
        <v/>
      </c>
      <c r="W61">
        <f>HYPERLINK("https://klasma.github.io/Logging_2031/klagomålsmail/A 45524-2023 FSC-klagomål mail.docx", "A 45524-2023")</f>
        <v/>
      </c>
      <c r="X61">
        <f>HYPERLINK("https://klasma.github.io/Logging_2031/tillsyn/A 45524-2023 tillsynsbegäran.docx", "A 45524-2023")</f>
        <v/>
      </c>
      <c r="Y61">
        <f>HYPERLINK("https://klasma.github.io/Logging_2031/tillsynsmail/A 45524-2023 tillsynsbegäran mail.docx", "A 45524-2023")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45821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11574-2024</t>
        </is>
      </c>
      <c r="B63" s="1" t="n">
        <v>45373</v>
      </c>
      <c r="C63" s="1" t="n">
        <v>45821</v>
      </c>
      <c r="D63" t="inlineStr">
        <is>
          <t>DALARNAS LÄN</t>
        </is>
      </c>
      <c r="E63" t="inlineStr">
        <is>
          <t>RÄTTVIK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HYPERLINK("https://klasma.github.io/Logging_2031/artfynd/A 11574-2024 artfynd.xlsx", "A 11574-2024")</f>
        <v/>
      </c>
      <c r="T63">
        <f>HYPERLINK("https://klasma.github.io/Logging_2031/kartor/A 11574-2024 karta.png", "A 11574-2024")</f>
        <v/>
      </c>
      <c r="V63">
        <f>HYPERLINK("https://klasma.github.io/Logging_2031/klagomål/A 11574-2024 FSC-klagomål.docx", "A 11574-2024")</f>
        <v/>
      </c>
      <c r="W63">
        <f>HYPERLINK("https://klasma.github.io/Logging_2031/klagomålsmail/A 11574-2024 FSC-klagomål mail.docx", "A 11574-2024")</f>
        <v/>
      </c>
      <c r="X63">
        <f>HYPERLINK("https://klasma.github.io/Logging_2031/tillsyn/A 11574-2024 tillsynsbegäran.docx", "A 11574-2024")</f>
        <v/>
      </c>
      <c r="Y63">
        <f>HYPERLINK("https://klasma.github.io/Logging_2031/tillsynsmail/A 11574-2024 tillsynsbegäran mail.docx", "A 11574-2024")</f>
        <v/>
      </c>
    </row>
    <row r="64" ht="15" customHeight="1">
      <c r="A64" t="inlineStr">
        <is>
          <t>A 16116-2024</t>
        </is>
      </c>
      <c r="B64" s="1" t="n">
        <v>45406</v>
      </c>
      <c r="C64" s="1" t="n">
        <v>45821</v>
      </c>
      <c r="D64" t="inlineStr">
        <is>
          <t>DALARNAS LÄN</t>
        </is>
      </c>
      <c r="E64" t="inlineStr">
        <is>
          <t>RÄTTVIK</t>
        </is>
      </c>
      <c r="G64" t="n">
        <v>19.1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Korallblylav</t>
        </is>
      </c>
      <c r="S64">
        <f>HYPERLINK("https://klasma.github.io/Logging_2031/artfynd/A 16116-2024 artfynd.xlsx", "A 16116-2024")</f>
        <v/>
      </c>
      <c r="T64">
        <f>HYPERLINK("https://klasma.github.io/Logging_2031/kartor/A 16116-2024 karta.png", "A 16116-2024")</f>
        <v/>
      </c>
      <c r="V64">
        <f>HYPERLINK("https://klasma.github.io/Logging_2031/klagomål/A 16116-2024 FSC-klagomål.docx", "A 16116-2024")</f>
        <v/>
      </c>
      <c r="W64">
        <f>HYPERLINK("https://klasma.github.io/Logging_2031/klagomålsmail/A 16116-2024 FSC-klagomål mail.docx", "A 16116-2024")</f>
        <v/>
      </c>
      <c r="X64">
        <f>HYPERLINK("https://klasma.github.io/Logging_2031/tillsyn/A 16116-2024 tillsynsbegäran.docx", "A 16116-2024")</f>
        <v/>
      </c>
      <c r="Y64">
        <f>HYPERLINK("https://klasma.github.io/Logging_2031/tillsynsmail/A 16116-2024 tillsynsbegäran mail.docx", "A 16116-2024")</f>
        <v/>
      </c>
    </row>
    <row r="65" ht="15" customHeight="1">
      <c r="A65" t="inlineStr">
        <is>
          <t>A 16818-2024</t>
        </is>
      </c>
      <c r="B65" s="1" t="n">
        <v>45411</v>
      </c>
      <c r="C65" s="1" t="n">
        <v>45821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45821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25283-2024</t>
        </is>
      </c>
      <c r="B67" s="1" t="n">
        <v>45462</v>
      </c>
      <c r="C67" s="1" t="n">
        <v>45821</v>
      </c>
      <c r="D67" t="inlineStr">
        <is>
          <t>DALARNAS LÄN</t>
        </is>
      </c>
      <c r="E67" t="inlineStr">
        <is>
          <t>RÄTTVIK</t>
        </is>
      </c>
      <c r="G67" t="n">
        <v>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Majviva</t>
        </is>
      </c>
      <c r="S67">
        <f>HYPERLINK("https://klasma.github.io/Logging_2031/artfynd/A 25283-2024 artfynd.xlsx", "A 25283-2024")</f>
        <v/>
      </c>
      <c r="T67">
        <f>HYPERLINK("https://klasma.github.io/Logging_2031/kartor/A 25283-2024 karta.png", "A 25283-2024")</f>
        <v/>
      </c>
      <c r="V67">
        <f>HYPERLINK("https://klasma.github.io/Logging_2031/klagomål/A 25283-2024 FSC-klagomål.docx", "A 25283-2024")</f>
        <v/>
      </c>
      <c r="W67">
        <f>HYPERLINK("https://klasma.github.io/Logging_2031/klagomålsmail/A 25283-2024 FSC-klagomål mail.docx", "A 25283-2024")</f>
        <v/>
      </c>
      <c r="X67">
        <f>HYPERLINK("https://klasma.github.io/Logging_2031/tillsyn/A 25283-2024 tillsynsbegäran.docx", "A 25283-2024")</f>
        <v/>
      </c>
      <c r="Y67">
        <f>HYPERLINK("https://klasma.github.io/Logging_2031/tillsynsmail/A 25283-2024 tillsynsbegäran mail.docx", "A 25283-2024")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45821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35539-2024</t>
        </is>
      </c>
      <c r="B69" s="1" t="n">
        <v>45531</v>
      </c>
      <c r="C69" s="1" t="n">
        <v>45821</v>
      </c>
      <c r="D69" t="inlineStr">
        <is>
          <t>DALARNAS LÄN</t>
        </is>
      </c>
      <c r="E69" t="inlineStr">
        <is>
          <t>RÄTTVIK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HYPERLINK("https://klasma.github.io/Logging_2031/artfynd/A 35539-2024 artfynd.xlsx", "A 35539-2024")</f>
        <v/>
      </c>
      <c r="T69">
        <f>HYPERLINK("https://klasma.github.io/Logging_2031/kartor/A 35539-2024 karta.png", "A 35539-2024")</f>
        <v/>
      </c>
      <c r="V69">
        <f>HYPERLINK("https://klasma.github.io/Logging_2031/klagomål/A 35539-2024 FSC-klagomål.docx", "A 35539-2024")</f>
        <v/>
      </c>
      <c r="W69">
        <f>HYPERLINK("https://klasma.github.io/Logging_2031/klagomålsmail/A 35539-2024 FSC-klagomål mail.docx", "A 35539-2024")</f>
        <v/>
      </c>
      <c r="X69">
        <f>HYPERLINK("https://klasma.github.io/Logging_2031/tillsyn/A 35539-2024 tillsynsbegäran.docx", "A 35539-2024")</f>
        <v/>
      </c>
      <c r="Y69">
        <f>HYPERLINK("https://klasma.github.io/Logging_2031/tillsynsmail/A 35539-2024 tillsynsbegäran mail.docx", "A 35539-2024")</f>
        <v/>
      </c>
    </row>
    <row r="70" ht="15" customHeight="1">
      <c r="A70" t="inlineStr">
        <is>
          <t>A 47620-2024</t>
        </is>
      </c>
      <c r="B70" s="1" t="n">
        <v>45588</v>
      </c>
      <c r="C70" s="1" t="n">
        <v>45821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HYPERLINK("https://klasma.github.io/Logging_2031/artfynd/A 47620-2024 artfynd.xlsx", "A 47620-2024")</f>
        <v/>
      </c>
      <c r="T70">
        <f>HYPERLINK("https://klasma.github.io/Logging_2031/kartor/A 47620-2024 karta.png", "A 47620-2024")</f>
        <v/>
      </c>
      <c r="V70">
        <f>HYPERLINK("https://klasma.github.io/Logging_2031/klagomål/A 47620-2024 FSC-klagomål.docx", "A 47620-2024")</f>
        <v/>
      </c>
      <c r="W70">
        <f>HYPERLINK("https://klasma.github.io/Logging_2031/klagomålsmail/A 47620-2024 FSC-klagomål mail.docx", "A 47620-2024")</f>
        <v/>
      </c>
      <c r="X70">
        <f>HYPERLINK("https://klasma.github.io/Logging_2031/tillsyn/A 47620-2024 tillsynsbegäran.docx", "A 47620-2024")</f>
        <v/>
      </c>
      <c r="Y70">
        <f>HYPERLINK("https://klasma.github.io/Logging_2031/tillsynsmail/A 47620-2024 tillsynsbegäran mail.docx", "A 47620-2024")</f>
        <v/>
      </c>
    </row>
    <row r="71" ht="15" customHeight="1">
      <c r="A71" t="inlineStr">
        <is>
          <t>A 50117-2024</t>
        </is>
      </c>
      <c r="B71" s="1" t="n">
        <v>45600</v>
      </c>
      <c r="C71" s="1" t="n">
        <v>45821</v>
      </c>
      <c r="D71" t="inlineStr">
        <is>
          <t>DALARNAS LÄN</t>
        </is>
      </c>
      <c r="E71" t="inlineStr">
        <is>
          <t>RÄTTVIK</t>
        </is>
      </c>
      <c r="G71" t="n">
        <v>4.5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Finbräken</t>
        </is>
      </c>
      <c r="S71">
        <f>HYPERLINK("https://klasma.github.io/Logging_2031/artfynd/A 50117-2024 artfynd.xlsx", "A 50117-2024")</f>
        <v/>
      </c>
      <c r="T71">
        <f>HYPERLINK("https://klasma.github.io/Logging_2031/kartor/A 50117-2024 karta.png", "A 50117-2024")</f>
        <v/>
      </c>
      <c r="V71">
        <f>HYPERLINK("https://klasma.github.io/Logging_2031/klagomål/A 50117-2024 FSC-klagomål.docx", "A 50117-2024")</f>
        <v/>
      </c>
      <c r="W71">
        <f>HYPERLINK("https://klasma.github.io/Logging_2031/klagomålsmail/A 50117-2024 FSC-klagomål mail.docx", "A 50117-2024")</f>
        <v/>
      </c>
      <c r="X71">
        <f>HYPERLINK("https://klasma.github.io/Logging_2031/tillsyn/A 50117-2024 tillsynsbegäran.docx", "A 50117-2024")</f>
        <v/>
      </c>
      <c r="Y71">
        <f>HYPERLINK("https://klasma.github.io/Logging_2031/tillsynsmail/A 50117-2024 tillsynsbegäran mail.docx", "A 50117-2024")</f>
        <v/>
      </c>
    </row>
    <row r="72" ht="15" customHeight="1">
      <c r="A72" t="inlineStr">
        <is>
          <t>A 4357-2025</t>
        </is>
      </c>
      <c r="B72" s="1" t="n">
        <v>45686</v>
      </c>
      <c r="C72" s="1" t="n">
        <v>45821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11320-2025</t>
        </is>
      </c>
      <c r="B73" s="1" t="n">
        <v>45726</v>
      </c>
      <c r="C73" s="1" t="n">
        <v>45821</v>
      </c>
      <c r="D73" t="inlineStr">
        <is>
          <t>DALARNAS LÄN</t>
        </is>
      </c>
      <c r="E73" t="inlineStr">
        <is>
          <t>RÄTTVIK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HYPERLINK("https://klasma.github.io/Logging_202031/artfynd/A 11320-2025 artfynd.xlsx", "A 11320-2025")</f>
        <v/>
      </c>
      <c r="T73">
        <f>HYPERLINK("https://klasma.github.io/Logging_202031/kartor/A 11320-2025 karta.png", "A 11320-2025")</f>
        <v/>
      </c>
      <c r="V73">
        <f>HYPERLINK("https://klasma.github.io/Logging_202031/klagomål/A 11320-2025 FSC-klagomål.docx", "A 11320-2025")</f>
        <v/>
      </c>
      <c r="W73">
        <f>HYPERLINK("https://klasma.github.io/Logging_202031/klagomålsmail/A 11320-2025 FSC-klagomål mail.docx", "A 11320-2025")</f>
        <v/>
      </c>
      <c r="X73">
        <f>HYPERLINK("https://klasma.github.io/Logging_202031/tillsyn/A 11320-2025 tillsynsbegäran.docx", "A 11320-2025")</f>
        <v/>
      </c>
      <c r="Y73">
        <f>HYPERLINK("https://klasma.github.io/Logging_202031/tillsynsmail/A 11320-2025 tillsynsbegäran mail.docx", "A 11320-2025")</f>
        <v/>
      </c>
    </row>
    <row r="74" ht="15" customHeight="1">
      <c r="A74" t="inlineStr">
        <is>
          <t>A 17698-2025</t>
        </is>
      </c>
      <c r="B74" s="1" t="n">
        <v>45758</v>
      </c>
      <c r="C74" s="1" t="n">
        <v>45821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HYPERLINK("https://klasma.github.io/Logging_202031/artfynd/A 17698-2025 artfynd.xlsx", "A 17698-2025")</f>
        <v/>
      </c>
      <c r="T74">
        <f>HYPERLINK("https://klasma.github.io/Logging_202031/kartor/A 17698-2025 karta.png", "A 17698-2025")</f>
        <v/>
      </c>
      <c r="V74">
        <f>HYPERLINK("https://klasma.github.io/Logging_202031/klagomål/A 17698-2025 FSC-klagomål.docx", "A 17698-2025")</f>
        <v/>
      </c>
      <c r="W74">
        <f>HYPERLINK("https://klasma.github.io/Logging_202031/klagomålsmail/A 17698-2025 FSC-klagomål mail.docx", "A 17698-2025")</f>
        <v/>
      </c>
      <c r="X74">
        <f>HYPERLINK("https://klasma.github.io/Logging_202031/tillsyn/A 17698-2025 tillsynsbegäran.docx", "A 17698-2025")</f>
        <v/>
      </c>
      <c r="Y74">
        <f>HYPERLINK("https://klasma.github.io/Logging_202031/tillsynsmail/A 17698-2025 tillsynsbegäran mail.docx", "A 17698-2025")</f>
        <v/>
      </c>
    </row>
    <row r="75" ht="15" customHeight="1">
      <c r="A75" t="inlineStr">
        <is>
          <t>A 20207-2025</t>
        </is>
      </c>
      <c r="B75" s="1" t="n">
        <v>45772</v>
      </c>
      <c r="C75" s="1" t="n">
        <v>45821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HYPERLINK("https://klasma.github.io/Logging_202031/artfynd/A 20207-2025 artfynd.xlsx", "A 20207-2025")</f>
        <v/>
      </c>
      <c r="T75">
        <f>HYPERLINK("https://klasma.github.io/Logging_202031/kartor/A 20207-2025 karta.png", "A 20207-2025")</f>
        <v/>
      </c>
      <c r="V75">
        <f>HYPERLINK("https://klasma.github.io/Logging_202031/klagomål/A 20207-2025 FSC-klagomål.docx", "A 20207-2025")</f>
        <v/>
      </c>
      <c r="W75">
        <f>HYPERLINK("https://klasma.github.io/Logging_202031/klagomålsmail/A 20207-2025 FSC-klagomål mail.docx", "A 20207-2025")</f>
        <v/>
      </c>
      <c r="X75">
        <f>HYPERLINK("https://klasma.github.io/Logging_202031/tillsyn/A 20207-2025 tillsynsbegäran.docx", "A 20207-2025")</f>
        <v/>
      </c>
      <c r="Y75">
        <f>HYPERLINK("https://klasma.github.io/Logging_202031/tillsynsmail/A 20207-2025 tillsynsbegäran mail.docx", "A 20207-2025")</f>
        <v/>
      </c>
      <c r="Z75">
        <f>HYPERLINK("https://klasma.github.io/Logging_202031/fåglar/A 20207-2025 prioriterade fågelarter.docx", "A 20207-2025")</f>
        <v/>
      </c>
    </row>
    <row r="76" ht="15" customHeight="1">
      <c r="A76" t="inlineStr">
        <is>
          <t>A 18098-2019</t>
        </is>
      </c>
      <c r="B76" s="1" t="n">
        <v>43556</v>
      </c>
      <c r="C76" s="1" t="n">
        <v>45821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18534-2019</t>
        </is>
      </c>
      <c r="B77" s="1" t="n">
        <v>43559</v>
      </c>
      <c r="C77" s="1" t="n">
        <v>45821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43.7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19150-2019</t>
        </is>
      </c>
      <c r="B78" s="1" t="n">
        <v>43564</v>
      </c>
      <c r="C78" s="1" t="n">
        <v>45821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19754-2019</t>
        </is>
      </c>
      <c r="B79" s="1" t="n">
        <v>43566</v>
      </c>
      <c r="C79" s="1" t="n">
        <v>45821</v>
      </c>
      <c r="D79" t="inlineStr">
        <is>
          <t>DALARNAS LÄN</t>
        </is>
      </c>
      <c r="E79" t="inlineStr">
        <is>
          <t>RÄTTVIK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20044-2019</t>
        </is>
      </c>
      <c r="B80" s="1" t="n">
        <v>43570</v>
      </c>
      <c r="C80" s="1" t="n">
        <v>45821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20032-2019</t>
        </is>
      </c>
      <c r="B81" s="1" t="n">
        <v>43570</v>
      </c>
      <c r="C81" s="1" t="n">
        <v>45821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20311-2019</t>
        </is>
      </c>
      <c r="B82" s="1" t="n">
        <v>43570</v>
      </c>
      <c r="C82" s="1" t="n">
        <v>45821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21455-2019</t>
        </is>
      </c>
      <c r="B83" s="1" t="n">
        <v>43580</v>
      </c>
      <c r="C83" s="1" t="n">
        <v>45821</v>
      </c>
      <c r="D83" t="inlineStr">
        <is>
          <t>DALARNAS LÄN</t>
        </is>
      </c>
      <c r="E83" t="inlineStr">
        <is>
          <t>RÄTTVIK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21947-2019</t>
        </is>
      </c>
      <c r="B84" s="1" t="n">
        <v>43584</v>
      </c>
      <c r="C84" s="1" t="n">
        <v>45821</v>
      </c>
      <c r="D84" t="inlineStr">
        <is>
          <t>DALARNAS LÄN</t>
        </is>
      </c>
      <c r="E84" t="inlineStr">
        <is>
          <t>RÄTTVIK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22347-2019</t>
        </is>
      </c>
      <c r="B85" s="1" t="n">
        <v>43585</v>
      </c>
      <c r="C85" s="1" t="n">
        <v>45821</v>
      </c>
      <c r="D85" t="inlineStr">
        <is>
          <t>DALARNAS LÄN</t>
        </is>
      </c>
      <c r="E85" t="inlineStr">
        <is>
          <t>RÄTTVIK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22560-2019</t>
        </is>
      </c>
      <c r="B86" s="1" t="n">
        <v>43587</v>
      </c>
      <c r="C86" s="1" t="n">
        <v>45821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23176-2019</t>
        </is>
      </c>
      <c r="B87" s="1" t="n">
        <v>43592</v>
      </c>
      <c r="C87" s="1" t="n">
        <v>45821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23154-2019</t>
        </is>
      </c>
      <c r="B88" s="1" t="n">
        <v>43592</v>
      </c>
      <c r="C88" s="1" t="n">
        <v>45821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23374-2019</t>
        </is>
      </c>
      <c r="B89" s="1" t="n">
        <v>43592</v>
      </c>
      <c r="C89" s="1" t="n">
        <v>45821</v>
      </c>
      <c r="D89" t="inlineStr">
        <is>
          <t>DALARNAS LÄN</t>
        </is>
      </c>
      <c r="E89" t="inlineStr">
        <is>
          <t>RÄTTVIK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24266-2019</t>
        </is>
      </c>
      <c r="B90" s="1" t="n">
        <v>43599</v>
      </c>
      <c r="C90" s="1" t="n">
        <v>45821</v>
      </c>
      <c r="D90" t="inlineStr">
        <is>
          <t>DALARNAS LÄN</t>
        </is>
      </c>
      <c r="E90" t="inlineStr">
        <is>
          <t>RÄTTVIK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26973-2019</t>
        </is>
      </c>
      <c r="B91" s="1" t="n">
        <v>43609</v>
      </c>
      <c r="C91" s="1" t="n">
        <v>45821</v>
      </c>
      <c r="D91" t="inlineStr">
        <is>
          <t>DALARNAS LÄN</t>
        </is>
      </c>
      <c r="E91" t="inlineStr">
        <is>
          <t>RÄTTVIK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27960-2019</t>
        </is>
      </c>
      <c r="B92" s="1" t="n">
        <v>43612</v>
      </c>
      <c r="C92" s="1" t="n">
        <v>45821</v>
      </c>
      <c r="D92" t="inlineStr">
        <is>
          <t>DALARNAS LÄN</t>
        </is>
      </c>
      <c r="E92" t="inlineStr">
        <is>
          <t>RÄTTVIK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27188-2019</t>
        </is>
      </c>
      <c r="B93" s="1" t="n">
        <v>43612</v>
      </c>
      <c r="C93" s="1" t="n">
        <v>45821</v>
      </c>
      <c r="D93" t="inlineStr">
        <is>
          <t>DALARNAS LÄN</t>
        </is>
      </c>
      <c r="E93" t="inlineStr">
        <is>
          <t>RÄTTVIK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27959-2019</t>
        </is>
      </c>
      <c r="B94" s="1" t="n">
        <v>43612</v>
      </c>
      <c r="C94" s="1" t="n">
        <v>45821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26347-2019</t>
        </is>
      </c>
      <c r="B95" s="1" t="n">
        <v>43612</v>
      </c>
      <c r="C95" s="1" t="n">
        <v>45821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28870-2019</t>
        </is>
      </c>
      <c r="B96" s="1" t="n">
        <v>43616</v>
      </c>
      <c r="C96" s="1" t="n">
        <v>45821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27722-2019</t>
        </is>
      </c>
      <c r="B97" s="1" t="n">
        <v>43619</v>
      </c>
      <c r="C97" s="1" t="n">
        <v>45821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29022-2019</t>
        </is>
      </c>
      <c r="B98" s="1" t="n">
        <v>43621</v>
      </c>
      <c r="C98" s="1" t="n">
        <v>45821</v>
      </c>
      <c r="D98" t="inlineStr">
        <is>
          <t>DALARNAS LÄN</t>
        </is>
      </c>
      <c r="E98" t="inlineStr">
        <is>
          <t>RÄTTVIK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29200-2019</t>
        </is>
      </c>
      <c r="B99" s="1" t="n">
        <v>43623</v>
      </c>
      <c r="C99" s="1" t="n">
        <v>45821</v>
      </c>
      <c r="D99" t="inlineStr">
        <is>
          <t>DALARNAS LÄN</t>
        </is>
      </c>
      <c r="E99" t="inlineStr">
        <is>
          <t>RÄTTVIK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29012-2019</t>
        </is>
      </c>
      <c r="B100" s="1" t="n">
        <v>43628</v>
      </c>
      <c r="C100" s="1" t="n">
        <v>45821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28948-2019</t>
        </is>
      </c>
      <c r="B101" s="1" t="n">
        <v>43628</v>
      </c>
      <c r="C101" s="1" t="n">
        <v>45821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29880-2019</t>
        </is>
      </c>
      <c r="B102" s="1" t="n">
        <v>43629</v>
      </c>
      <c r="C102" s="1" t="n">
        <v>45821</v>
      </c>
      <c r="D102" t="inlineStr">
        <is>
          <t>DALARNAS LÄN</t>
        </is>
      </c>
      <c r="E102" t="inlineStr">
        <is>
          <t>RÄTTVIK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29638-2019</t>
        </is>
      </c>
      <c r="B103" s="1" t="n">
        <v>43630</v>
      </c>
      <c r="C103" s="1" t="n">
        <v>45821</v>
      </c>
      <c r="D103" t="inlineStr">
        <is>
          <t>DALARNAS LÄN</t>
        </is>
      </c>
      <c r="E103" t="inlineStr">
        <is>
          <t>RÄTTVIK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29842-2019</t>
        </is>
      </c>
      <c r="B104" s="1" t="n">
        <v>43633</v>
      </c>
      <c r="C104" s="1" t="n">
        <v>45821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30250-2019</t>
        </is>
      </c>
      <c r="B105" s="1" t="n">
        <v>43633</v>
      </c>
      <c r="C105" s="1" t="n">
        <v>45821</v>
      </c>
      <c r="D105" t="inlineStr">
        <is>
          <t>DALARNAS LÄN</t>
        </is>
      </c>
      <c r="E105" t="inlineStr">
        <is>
          <t>RÄTTVIK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31549-2019</t>
        </is>
      </c>
      <c r="B106" s="1" t="n">
        <v>43641</v>
      </c>
      <c r="C106" s="1" t="n">
        <v>45821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32158-2019</t>
        </is>
      </c>
      <c r="B107" s="1" t="n">
        <v>43643</v>
      </c>
      <c r="C107" s="1" t="n">
        <v>45821</v>
      </c>
      <c r="D107" t="inlineStr">
        <is>
          <t>DALARNAS LÄN</t>
        </is>
      </c>
      <c r="E107" t="inlineStr">
        <is>
          <t>RÄTTVIK</t>
        </is>
      </c>
      <c r="F107" t="inlineStr">
        <is>
          <t>Bergvik skog väst AB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32157-2019</t>
        </is>
      </c>
      <c r="B108" s="1" t="n">
        <v>43643</v>
      </c>
      <c r="C108" s="1" t="n">
        <v>45821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34149-2019</t>
        </is>
      </c>
      <c r="B109" s="1" t="n">
        <v>43647</v>
      </c>
      <c r="C109" s="1" t="n">
        <v>45821</v>
      </c>
      <c r="D109" t="inlineStr">
        <is>
          <t>DALARNAS LÄN</t>
        </is>
      </c>
      <c r="E109" t="inlineStr">
        <is>
          <t>RÄTTVIK</t>
        </is>
      </c>
      <c r="F109" t="inlineStr">
        <is>
          <t>Kommuner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35215-2019</t>
        </is>
      </c>
      <c r="B110" s="1" t="n">
        <v>43651</v>
      </c>
      <c r="C110" s="1" t="n">
        <v>45821</v>
      </c>
      <c r="D110" t="inlineStr">
        <is>
          <t>DALARNAS LÄN</t>
        </is>
      </c>
      <c r="E110" t="inlineStr">
        <is>
          <t>RÄTTVIK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35211-2019</t>
        </is>
      </c>
      <c r="B111" s="1" t="n">
        <v>43651</v>
      </c>
      <c r="C111" s="1" t="n">
        <v>45821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34329-2019</t>
        </is>
      </c>
      <c r="B112" s="1" t="n">
        <v>43656</v>
      </c>
      <c r="C112" s="1" t="n">
        <v>45821</v>
      </c>
      <c r="D112" t="inlineStr">
        <is>
          <t>DALARNAS LÄN</t>
        </is>
      </c>
      <c r="E112" t="inlineStr">
        <is>
          <t>RÄTTVIK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36028-2019</t>
        </is>
      </c>
      <c r="B113" s="1" t="n">
        <v>43657</v>
      </c>
      <c r="C113" s="1" t="n">
        <v>45821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36382-2019</t>
        </is>
      </c>
      <c r="B114" s="1" t="n">
        <v>43662</v>
      </c>
      <c r="C114" s="1" t="n">
        <v>45821</v>
      </c>
      <c r="D114" t="inlineStr">
        <is>
          <t>DALARNAS LÄN</t>
        </is>
      </c>
      <c r="E114" t="inlineStr">
        <is>
          <t>RÄTTVIK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36380-2019</t>
        </is>
      </c>
      <c r="B115" s="1" t="n">
        <v>43662</v>
      </c>
      <c r="C115" s="1" t="n">
        <v>45821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35410-2019</t>
        </is>
      </c>
      <c r="B116" s="1" t="n">
        <v>43663</v>
      </c>
      <c r="C116" s="1" t="n">
        <v>45821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HYPERLINK("https://klasma.github.io/Logging_2031/knärot/A 35410-2019 karta knärot.png", "A 35410-2019")</f>
        <v/>
      </c>
      <c r="V116">
        <f>HYPERLINK("https://klasma.github.io/Logging_2031/klagomål/A 35410-2019 FSC-klagomål.docx", "A 35410-2019")</f>
        <v/>
      </c>
      <c r="W116">
        <f>HYPERLINK("https://klasma.github.io/Logging_2031/klagomålsmail/A 35410-2019 FSC-klagomål mail.docx", "A 35410-2019")</f>
        <v/>
      </c>
      <c r="X116">
        <f>HYPERLINK("https://klasma.github.io/Logging_2031/tillsyn/A 35410-2019 tillsynsbegäran.docx", "A 35410-2019")</f>
        <v/>
      </c>
      <c r="Y116">
        <f>HYPERLINK("https://klasma.github.io/Logging_2031/tillsynsmail/A 35410-2019 tillsynsbegäran mail.docx", "A 35410-2019")</f>
        <v/>
      </c>
    </row>
    <row r="117" ht="15" customHeight="1">
      <c r="A117" t="inlineStr">
        <is>
          <t>A 35418-2019</t>
        </is>
      </c>
      <c r="B117" s="1" t="n">
        <v>43663</v>
      </c>
      <c r="C117" s="1" t="n">
        <v>45821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35423-2019</t>
        </is>
      </c>
      <c r="B118" s="1" t="n">
        <v>43663</v>
      </c>
      <c r="C118" s="1" t="n">
        <v>45821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35408-2019</t>
        </is>
      </c>
      <c r="B119" s="1" t="n">
        <v>43663</v>
      </c>
      <c r="C119" s="1" t="n">
        <v>45821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37678-2019</t>
        </is>
      </c>
      <c r="B120" s="1" t="n">
        <v>43682</v>
      </c>
      <c r="C120" s="1" t="n">
        <v>45821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38748-2019</t>
        </is>
      </c>
      <c r="B121" s="1" t="n">
        <v>43686</v>
      </c>
      <c r="C121" s="1" t="n">
        <v>45821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39556-2019</t>
        </is>
      </c>
      <c r="B122" s="1" t="n">
        <v>43686</v>
      </c>
      <c r="C122" s="1" t="n">
        <v>45821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39005-2019</t>
        </is>
      </c>
      <c r="B123" s="1" t="n">
        <v>43689</v>
      </c>
      <c r="C123" s="1" t="n">
        <v>45821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40304-2019</t>
        </is>
      </c>
      <c r="B124" s="1" t="n">
        <v>43690</v>
      </c>
      <c r="C124" s="1" t="n">
        <v>45821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40853-2019</t>
        </is>
      </c>
      <c r="B125" s="1" t="n">
        <v>43697</v>
      </c>
      <c r="C125" s="1" t="n">
        <v>45821</v>
      </c>
      <c r="D125" t="inlineStr">
        <is>
          <t>DALARNAS LÄN</t>
        </is>
      </c>
      <c r="E125" t="inlineStr">
        <is>
          <t>RÄTTVIK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42846-2019</t>
        </is>
      </c>
      <c r="B126" s="1" t="n">
        <v>43700</v>
      </c>
      <c r="C126" s="1" t="n">
        <v>45821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42949-2019</t>
        </is>
      </c>
      <c r="B127" s="1" t="n">
        <v>43705</v>
      </c>
      <c r="C127" s="1" t="n">
        <v>45821</v>
      </c>
      <c r="D127" t="inlineStr">
        <is>
          <t>DALARNAS LÄN</t>
        </is>
      </c>
      <c r="E127" t="inlineStr">
        <is>
          <t>RÄTTVIK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44376-2019</t>
        </is>
      </c>
      <c r="B128" s="1" t="n">
        <v>43711</v>
      </c>
      <c r="C128" s="1" t="n">
        <v>45821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17.4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44697-2019</t>
        </is>
      </c>
      <c r="B129" s="1" t="n">
        <v>43712</v>
      </c>
      <c r="C129" s="1" t="n">
        <v>45821</v>
      </c>
      <c r="D129" t="inlineStr">
        <is>
          <t>DALARNAS LÄN</t>
        </is>
      </c>
      <c r="E129" t="inlineStr">
        <is>
          <t>RÄTTVIK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45991-2019</t>
        </is>
      </c>
      <c r="B130" s="1" t="n">
        <v>43713</v>
      </c>
      <c r="C130" s="1" t="n">
        <v>45821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46214-2019</t>
        </is>
      </c>
      <c r="B131" s="1" t="n">
        <v>43714</v>
      </c>
      <c r="C131" s="1" t="n">
        <v>45821</v>
      </c>
      <c r="D131" t="inlineStr">
        <is>
          <t>DALARNAS LÄN</t>
        </is>
      </c>
      <c r="E131" t="inlineStr">
        <is>
          <t>RÄTTVIK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46213-2019</t>
        </is>
      </c>
      <c r="B132" s="1" t="n">
        <v>43714</v>
      </c>
      <c r="C132" s="1" t="n">
        <v>45821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46525-2019</t>
        </is>
      </c>
      <c r="B133" s="1" t="n">
        <v>43717</v>
      </c>
      <c r="C133" s="1" t="n">
        <v>45821</v>
      </c>
      <c r="D133" t="inlineStr">
        <is>
          <t>DALARNAS LÄN</t>
        </is>
      </c>
      <c r="E133" t="inlineStr">
        <is>
          <t>RÄTTVIK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45598-2019</t>
        </is>
      </c>
      <c r="B134" s="1" t="n">
        <v>43718</v>
      </c>
      <c r="C134" s="1" t="n">
        <v>45821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47036-2019</t>
        </is>
      </c>
      <c r="B135" s="1" t="n">
        <v>43720</v>
      </c>
      <c r="C135" s="1" t="n">
        <v>45821</v>
      </c>
      <c r="D135" t="inlineStr">
        <is>
          <t>DALARNAS LÄN</t>
        </is>
      </c>
      <c r="E135" t="inlineStr">
        <is>
          <t>RÄTTVIK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47650-2019</t>
        </is>
      </c>
      <c r="B136" s="1" t="n">
        <v>43724</v>
      </c>
      <c r="C136" s="1" t="n">
        <v>45821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48518-2019</t>
        </is>
      </c>
      <c r="B137" s="1" t="n">
        <v>43726</v>
      </c>
      <c r="C137" s="1" t="n">
        <v>45821</v>
      </c>
      <c r="D137" t="inlineStr">
        <is>
          <t>DALARNAS LÄN</t>
        </is>
      </c>
      <c r="E137" t="inlineStr">
        <is>
          <t>RÄTTVIK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48541-2019</t>
        </is>
      </c>
      <c r="B138" s="1" t="n">
        <v>43727</v>
      </c>
      <c r="C138" s="1" t="n">
        <v>45821</v>
      </c>
      <c r="D138" t="inlineStr">
        <is>
          <t>DALARNAS LÄN</t>
        </is>
      </c>
      <c r="E138" t="inlineStr">
        <is>
          <t>RÄTTVIK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48548-2019</t>
        </is>
      </c>
      <c r="B139" s="1" t="n">
        <v>43727</v>
      </c>
      <c r="C139" s="1" t="n">
        <v>45821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48537-2019</t>
        </is>
      </c>
      <c r="B140" s="1" t="n">
        <v>43727</v>
      </c>
      <c r="C140" s="1" t="n">
        <v>45821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51369-2019</t>
        </is>
      </c>
      <c r="B141" s="1" t="n">
        <v>43732</v>
      </c>
      <c r="C141" s="1" t="n">
        <v>45821</v>
      </c>
      <c r="D141" t="inlineStr">
        <is>
          <t>DALARNAS LÄN</t>
        </is>
      </c>
      <c r="E141" t="inlineStr">
        <is>
          <t>RÄTTVIK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50213-2019</t>
        </is>
      </c>
      <c r="B142" s="1" t="n">
        <v>43734</v>
      </c>
      <c r="C142" s="1" t="n">
        <v>45821</v>
      </c>
      <c r="D142" t="inlineStr">
        <is>
          <t>DALARNAS LÄN</t>
        </is>
      </c>
      <c r="E142" t="inlineStr">
        <is>
          <t>RÄTTVIK</t>
        </is>
      </c>
      <c r="F142" t="inlineStr">
        <is>
          <t>Kyrkan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51773-2019</t>
        </is>
      </c>
      <c r="B143" s="1" t="n">
        <v>43734</v>
      </c>
      <c r="C143" s="1" t="n">
        <v>45821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50362-2019</t>
        </is>
      </c>
      <c r="B144" s="1" t="n">
        <v>43734</v>
      </c>
      <c r="C144" s="1" t="n">
        <v>45821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50460-2019</t>
        </is>
      </c>
      <c r="B145" s="1" t="n">
        <v>43735</v>
      </c>
      <c r="C145" s="1" t="n">
        <v>45821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50471-2019</t>
        </is>
      </c>
      <c r="B146" s="1" t="n">
        <v>43735</v>
      </c>
      <c r="C146" s="1" t="n">
        <v>45821</v>
      </c>
      <c r="D146" t="inlineStr">
        <is>
          <t>DALARNAS LÄN</t>
        </is>
      </c>
      <c r="E146" t="inlineStr">
        <is>
          <t>RÄTTVIK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51526-2019</t>
        </is>
      </c>
      <c r="B147" s="1" t="n">
        <v>43740</v>
      </c>
      <c r="C147" s="1" t="n">
        <v>45821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51536-2019</t>
        </is>
      </c>
      <c r="B148" s="1" t="n">
        <v>43740</v>
      </c>
      <c r="C148" s="1" t="n">
        <v>45821</v>
      </c>
      <c r="D148" t="inlineStr">
        <is>
          <t>DALARNAS LÄN</t>
        </is>
      </c>
      <c r="E148" t="inlineStr">
        <is>
          <t>RÄTTVIK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52865-2019</t>
        </is>
      </c>
      <c r="B149" s="1" t="n">
        <v>43740</v>
      </c>
      <c r="C149" s="1" t="n">
        <v>45821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53060-2019</t>
        </is>
      </c>
      <c r="B150" s="1" t="n">
        <v>43740</v>
      </c>
      <c r="C150" s="1" t="n">
        <v>45821</v>
      </c>
      <c r="D150" t="inlineStr">
        <is>
          <t>DALARNAS LÄN</t>
        </is>
      </c>
      <c r="E150" t="inlineStr">
        <is>
          <t>RÄTTVIK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52221-2019</t>
        </is>
      </c>
      <c r="B151" s="1" t="n">
        <v>43742</v>
      </c>
      <c r="C151" s="1" t="n">
        <v>45821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53998-2019</t>
        </is>
      </c>
      <c r="B152" s="1" t="n">
        <v>43742</v>
      </c>
      <c r="C152" s="1" t="n">
        <v>45821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53099-2019</t>
        </is>
      </c>
      <c r="B153" s="1" t="n">
        <v>43747</v>
      </c>
      <c r="C153" s="1" t="n">
        <v>45821</v>
      </c>
      <c r="D153" t="inlineStr">
        <is>
          <t>DALARNAS LÄN</t>
        </is>
      </c>
      <c r="E153" t="inlineStr">
        <is>
          <t>RÄTTVIK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56609-2019</t>
        </is>
      </c>
      <c r="B154" s="1" t="n">
        <v>43758</v>
      </c>
      <c r="C154" s="1" t="n">
        <v>45821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57663-2019</t>
        </is>
      </c>
      <c r="B155" s="1" t="n">
        <v>43761</v>
      </c>
      <c r="C155" s="1" t="n">
        <v>45821</v>
      </c>
      <c r="D155" t="inlineStr">
        <is>
          <t>DALARNAS LÄN</t>
        </is>
      </c>
      <c r="E155" t="inlineStr">
        <is>
          <t>RÄTTVIK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58514-2019</t>
        </is>
      </c>
      <c r="B156" s="1" t="n">
        <v>43766</v>
      </c>
      <c r="C156" s="1" t="n">
        <v>45821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57490-2019</t>
        </is>
      </c>
      <c r="B157" s="1" t="n">
        <v>43767</v>
      </c>
      <c r="C157" s="1" t="n">
        <v>45821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57951-2019</t>
        </is>
      </c>
      <c r="B158" s="1" t="n">
        <v>43769</v>
      </c>
      <c r="C158" s="1" t="n">
        <v>45821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59171-2019</t>
        </is>
      </c>
      <c r="B159" s="1" t="n">
        <v>43770</v>
      </c>
      <c r="C159" s="1" t="n">
        <v>45821</v>
      </c>
      <c r="D159" t="inlineStr">
        <is>
          <t>DALARNAS LÄN</t>
        </is>
      </c>
      <c r="E159" t="inlineStr">
        <is>
          <t>RÄTTVIK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59176-2019</t>
        </is>
      </c>
      <c r="B160" s="1" t="n">
        <v>43770</v>
      </c>
      <c r="C160" s="1" t="n">
        <v>45821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59301-2019</t>
        </is>
      </c>
      <c r="B161" s="1" t="n">
        <v>43773</v>
      </c>
      <c r="C161" s="1" t="n">
        <v>45821</v>
      </c>
      <c r="D161" t="inlineStr">
        <is>
          <t>DALARNAS LÄN</t>
        </is>
      </c>
      <c r="E161" t="inlineStr">
        <is>
          <t>RÄTTVIK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59816-2019</t>
        </is>
      </c>
      <c r="B162" s="1" t="n">
        <v>43775</v>
      </c>
      <c r="C162" s="1" t="n">
        <v>45821</v>
      </c>
      <c r="D162" t="inlineStr">
        <is>
          <t>DALARNAS LÄN</t>
        </is>
      </c>
      <c r="E162" t="inlineStr">
        <is>
          <t>RÄTTVIK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60578-2019</t>
        </is>
      </c>
      <c r="B163" s="1" t="n">
        <v>43776</v>
      </c>
      <c r="C163" s="1" t="n">
        <v>45821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60474-2019</t>
        </is>
      </c>
      <c r="B164" s="1" t="n">
        <v>43776</v>
      </c>
      <c r="C164" s="1" t="n">
        <v>45821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60575-2019</t>
        </is>
      </c>
      <c r="B165" s="1" t="n">
        <v>43776</v>
      </c>
      <c r="C165" s="1" t="n">
        <v>45821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60473-2019</t>
        </is>
      </c>
      <c r="B166" s="1" t="n">
        <v>43776</v>
      </c>
      <c r="C166" s="1" t="n">
        <v>45821</v>
      </c>
      <c r="D166" t="inlineStr">
        <is>
          <t>DALARNAS LÄN</t>
        </is>
      </c>
      <c r="E166" t="inlineStr">
        <is>
          <t>RÄTTVIK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60467-2019</t>
        </is>
      </c>
      <c r="B167" s="1" t="n">
        <v>43780</v>
      </c>
      <c r="C167" s="1" t="n">
        <v>45821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61112-2019</t>
        </is>
      </c>
      <c r="B168" s="1" t="n">
        <v>43780</v>
      </c>
      <c r="C168" s="1" t="n">
        <v>45821</v>
      </c>
      <c r="D168" t="inlineStr">
        <is>
          <t>DALARNAS LÄN</t>
        </is>
      </c>
      <c r="E168" t="inlineStr">
        <is>
          <t>RÄTTVIK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61115-2019</t>
        </is>
      </c>
      <c r="B169" s="1" t="n">
        <v>43780</v>
      </c>
      <c r="C169" s="1" t="n">
        <v>45821</v>
      </c>
      <c r="D169" t="inlineStr">
        <is>
          <t>DALARNAS LÄN</t>
        </is>
      </c>
      <c r="E169" t="inlineStr">
        <is>
          <t>RÄTTVIK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61117-2019</t>
        </is>
      </c>
      <c r="B170" s="1" t="n">
        <v>43780</v>
      </c>
      <c r="C170" s="1" t="n">
        <v>45821</v>
      </c>
      <c r="D170" t="inlineStr">
        <is>
          <t>DALARNAS LÄN</t>
        </is>
      </c>
      <c r="E170" t="inlineStr">
        <is>
          <t>RÄTTVIK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61257-2019</t>
        </is>
      </c>
      <c r="B171" s="1" t="n">
        <v>43783</v>
      </c>
      <c r="C171" s="1" t="n">
        <v>45821</v>
      </c>
      <c r="D171" t="inlineStr">
        <is>
          <t>DALARNAS LÄN</t>
        </is>
      </c>
      <c r="E171" t="inlineStr">
        <is>
          <t>RÄTTVIK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62807-2019</t>
        </is>
      </c>
      <c r="B172" s="1" t="n">
        <v>43784</v>
      </c>
      <c r="C172" s="1" t="n">
        <v>45821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62738-2019</t>
        </is>
      </c>
      <c r="B173" s="1" t="n">
        <v>43786</v>
      </c>
      <c r="C173" s="1" t="n">
        <v>45821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65199-2019</t>
        </is>
      </c>
      <c r="B174" s="1" t="n">
        <v>43797</v>
      </c>
      <c r="C174" s="1" t="n">
        <v>45821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66771-2019</t>
        </is>
      </c>
      <c r="B175" s="1" t="n">
        <v>43804</v>
      </c>
      <c r="C175" s="1" t="n">
        <v>45821</v>
      </c>
      <c r="D175" t="inlineStr">
        <is>
          <t>DALARNAS LÄN</t>
        </is>
      </c>
      <c r="E175" t="inlineStr">
        <is>
          <t>RÄTTVIK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67053-2019</t>
        </is>
      </c>
      <c r="B176" s="1" t="n">
        <v>43805</v>
      </c>
      <c r="C176" s="1" t="n">
        <v>45821</v>
      </c>
      <c r="D176" t="inlineStr">
        <is>
          <t>DALARNAS LÄN</t>
        </is>
      </c>
      <c r="E176" t="inlineStr">
        <is>
          <t>RÄTTVIK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67049-2019</t>
        </is>
      </c>
      <c r="B177" s="1" t="n">
        <v>43805</v>
      </c>
      <c r="C177" s="1" t="n">
        <v>45821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67308-2019</t>
        </is>
      </c>
      <c r="B178" s="1" t="n">
        <v>43812</v>
      </c>
      <c r="C178" s="1" t="n">
        <v>45821</v>
      </c>
      <c r="D178" t="inlineStr">
        <is>
          <t>DALARNAS LÄN</t>
        </is>
      </c>
      <c r="E178" t="inlineStr">
        <is>
          <t>RÄTTVIK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67404-2019</t>
        </is>
      </c>
      <c r="B179" s="1" t="n">
        <v>43812</v>
      </c>
      <c r="C179" s="1" t="n">
        <v>45821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68806-2019</t>
        </is>
      </c>
      <c r="B180" s="1" t="n">
        <v>43815</v>
      </c>
      <c r="C180" s="1" t="n">
        <v>45821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67503-2019</t>
        </is>
      </c>
      <c r="B181" s="1" t="n">
        <v>43815</v>
      </c>
      <c r="C181" s="1" t="n">
        <v>45821</v>
      </c>
      <c r="D181" t="inlineStr">
        <is>
          <t>DALARNAS LÄN</t>
        </is>
      </c>
      <c r="E181" t="inlineStr">
        <is>
          <t>RÄTTVIK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69097-2019</t>
        </is>
      </c>
      <c r="B182" s="1" t="n">
        <v>43829</v>
      </c>
      <c r="C182" s="1" t="n">
        <v>45821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1771-2020</t>
        </is>
      </c>
      <c r="B183" s="1" t="n">
        <v>43833</v>
      </c>
      <c r="C183" s="1" t="n">
        <v>45821</v>
      </c>
      <c r="D183" t="inlineStr">
        <is>
          <t>DALARNAS LÄN</t>
        </is>
      </c>
      <c r="E183" t="inlineStr">
        <is>
          <t>RÄTTVIK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449-2020</t>
        </is>
      </c>
      <c r="B184" s="1" t="n">
        <v>43837</v>
      </c>
      <c r="C184" s="1" t="n">
        <v>45821</v>
      </c>
      <c r="D184" t="inlineStr">
        <is>
          <t>DALARNAS LÄN</t>
        </is>
      </c>
      <c r="E184" t="inlineStr">
        <is>
          <t>RÄTTVIK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946-2020</t>
        </is>
      </c>
      <c r="B185" s="1" t="n">
        <v>43839</v>
      </c>
      <c r="C185" s="1" t="n">
        <v>45821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1137-2020</t>
        </is>
      </c>
      <c r="B186" s="1" t="n">
        <v>43840</v>
      </c>
      <c r="C186" s="1" t="n">
        <v>45821</v>
      </c>
      <c r="D186" t="inlineStr">
        <is>
          <t>DALARNAS LÄN</t>
        </is>
      </c>
      <c r="E186" t="inlineStr">
        <is>
          <t>RÄTTVIK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2556-2020</t>
        </is>
      </c>
      <c r="B187" s="1" t="n">
        <v>43843</v>
      </c>
      <c r="C187" s="1" t="n">
        <v>45821</v>
      </c>
      <c r="D187" t="inlineStr">
        <is>
          <t>DALARNAS LÄN</t>
        </is>
      </c>
      <c r="E187" t="inlineStr">
        <is>
          <t>RÄTTVIK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3404-2020</t>
        </is>
      </c>
      <c r="B188" s="1" t="n">
        <v>43845</v>
      </c>
      <c r="C188" s="1" t="n">
        <v>45821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4485-2020</t>
        </is>
      </c>
      <c r="B189" s="1" t="n">
        <v>43850</v>
      </c>
      <c r="C189" s="1" t="n">
        <v>45821</v>
      </c>
      <c r="D189" t="inlineStr">
        <is>
          <t>DALARNAS LÄN</t>
        </is>
      </c>
      <c r="E189" t="inlineStr">
        <is>
          <t>RÄTTVIK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3942-2020</t>
        </is>
      </c>
      <c r="B190" s="1" t="n">
        <v>43854</v>
      </c>
      <c r="C190" s="1" t="n">
        <v>45821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4036-2020</t>
        </is>
      </c>
      <c r="B191" s="1" t="n">
        <v>43857</v>
      </c>
      <c r="C191" s="1" t="n">
        <v>45821</v>
      </c>
      <c r="D191" t="inlineStr">
        <is>
          <t>DALARNAS LÄN</t>
        </is>
      </c>
      <c r="E191" t="inlineStr">
        <is>
          <t>RÄTTVIK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4280-2020</t>
        </is>
      </c>
      <c r="B192" s="1" t="n">
        <v>43857</v>
      </c>
      <c r="C192" s="1" t="n">
        <v>45821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5311-2020</t>
        </is>
      </c>
      <c r="B193" s="1" t="n">
        <v>43857</v>
      </c>
      <c r="C193" s="1" t="n">
        <v>45821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5761-2020</t>
        </is>
      </c>
      <c r="B194" s="1" t="n">
        <v>43864</v>
      </c>
      <c r="C194" s="1" t="n">
        <v>45821</v>
      </c>
      <c r="D194" t="inlineStr">
        <is>
          <t>DALARNAS LÄN</t>
        </is>
      </c>
      <c r="E194" t="inlineStr">
        <is>
          <t>RÄTTVIK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5755-2020</t>
        </is>
      </c>
      <c r="B195" s="1" t="n">
        <v>43864</v>
      </c>
      <c r="C195" s="1" t="n">
        <v>45821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6034-2020</t>
        </is>
      </c>
      <c r="B196" s="1" t="n">
        <v>43864</v>
      </c>
      <c r="C196" s="1" t="n">
        <v>45821</v>
      </c>
      <c r="D196" t="inlineStr">
        <is>
          <t>DALARNAS LÄN</t>
        </is>
      </c>
      <c r="E196" t="inlineStr">
        <is>
          <t>RÄTTVIK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6772-2020</t>
        </is>
      </c>
      <c r="B197" s="1" t="n">
        <v>43867</v>
      </c>
      <c r="C197" s="1" t="n">
        <v>45821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7402-2020</t>
        </is>
      </c>
      <c r="B198" s="1" t="n">
        <v>43871</v>
      </c>
      <c r="C198" s="1" t="n">
        <v>45821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7519-2020</t>
        </is>
      </c>
      <c r="B199" s="1" t="n">
        <v>43872</v>
      </c>
      <c r="C199" s="1" t="n">
        <v>45821</v>
      </c>
      <c r="D199" t="inlineStr">
        <is>
          <t>DALARNAS LÄN</t>
        </is>
      </c>
      <c r="E199" t="inlineStr">
        <is>
          <t>RÄTTVIK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8030-2020</t>
        </is>
      </c>
      <c r="B200" s="1" t="n">
        <v>43873</v>
      </c>
      <c r="C200" s="1" t="n">
        <v>45821</v>
      </c>
      <c r="D200" t="inlineStr">
        <is>
          <t>DALARNAS LÄN</t>
        </is>
      </c>
      <c r="E200" t="inlineStr">
        <is>
          <t>RÄTTVIK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8216-2020</t>
        </is>
      </c>
      <c r="B201" s="1" t="n">
        <v>43873</v>
      </c>
      <c r="C201" s="1" t="n">
        <v>45821</v>
      </c>
      <c r="D201" t="inlineStr">
        <is>
          <t>DALARNAS LÄN</t>
        </is>
      </c>
      <c r="E201" t="inlineStr">
        <is>
          <t>RÄTTVIK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8212-2020</t>
        </is>
      </c>
      <c r="B202" s="1" t="n">
        <v>43873</v>
      </c>
      <c r="C202" s="1" t="n">
        <v>45821</v>
      </c>
      <c r="D202" t="inlineStr">
        <is>
          <t>DALARNAS LÄN</t>
        </is>
      </c>
      <c r="E202" t="inlineStr">
        <is>
          <t>RÄTTVIK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8204-2020</t>
        </is>
      </c>
      <c r="B203" s="1" t="n">
        <v>43874</v>
      </c>
      <c r="C203" s="1" t="n">
        <v>45821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8704-2020</t>
        </is>
      </c>
      <c r="B204" s="1" t="n">
        <v>43878</v>
      </c>
      <c r="C204" s="1" t="n">
        <v>45821</v>
      </c>
      <c r="D204" t="inlineStr">
        <is>
          <t>DALARNAS LÄN</t>
        </is>
      </c>
      <c r="E204" t="inlineStr">
        <is>
          <t>RÄTTVIK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9161-2020</t>
        </is>
      </c>
      <c r="B205" s="1" t="n">
        <v>43879</v>
      </c>
      <c r="C205" s="1" t="n">
        <v>45821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9466-2020</t>
        </is>
      </c>
      <c r="B206" s="1" t="n">
        <v>43880</v>
      </c>
      <c r="C206" s="1" t="n">
        <v>45821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11863-2020</t>
        </is>
      </c>
      <c r="B207" s="1" t="n">
        <v>43894</v>
      </c>
      <c r="C207" s="1" t="n">
        <v>45821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11999-2020</t>
        </is>
      </c>
      <c r="B208" s="1" t="n">
        <v>43894</v>
      </c>
      <c r="C208" s="1" t="n">
        <v>45821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14737-2020</t>
        </is>
      </c>
      <c r="B209" s="1" t="n">
        <v>43902</v>
      </c>
      <c r="C209" s="1" t="n">
        <v>45821</v>
      </c>
      <c r="D209" t="inlineStr">
        <is>
          <t>DALARNAS LÄN</t>
        </is>
      </c>
      <c r="E209" t="inlineStr">
        <is>
          <t>RÄTTVIK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16187-2020</t>
        </is>
      </c>
      <c r="B210" s="1" t="n">
        <v>43917</v>
      </c>
      <c r="C210" s="1" t="n">
        <v>45821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16189-2020</t>
        </is>
      </c>
      <c r="B211" s="1" t="n">
        <v>43917</v>
      </c>
      <c r="C211" s="1" t="n">
        <v>45821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16710-2020</t>
        </is>
      </c>
      <c r="B212" s="1" t="n">
        <v>43920</v>
      </c>
      <c r="C212" s="1" t="n">
        <v>45821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16723-2020</t>
        </is>
      </c>
      <c r="B213" s="1" t="n">
        <v>43920</v>
      </c>
      <c r="C213" s="1" t="n">
        <v>45821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16839-2020</t>
        </is>
      </c>
      <c r="B214" s="1" t="n">
        <v>43921</v>
      </c>
      <c r="C214" s="1" t="n">
        <v>45821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17279-2020</t>
        </is>
      </c>
      <c r="B215" s="1" t="n">
        <v>43922</v>
      </c>
      <c r="C215" s="1" t="n">
        <v>45821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17234-2020</t>
        </is>
      </c>
      <c r="B216" s="1" t="n">
        <v>43922</v>
      </c>
      <c r="C216" s="1" t="n">
        <v>45821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18140-2020</t>
        </is>
      </c>
      <c r="B217" s="1" t="n">
        <v>43924</v>
      </c>
      <c r="C217" s="1" t="n">
        <v>45821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18141-2020</t>
        </is>
      </c>
      <c r="B218" s="1" t="n">
        <v>43924</v>
      </c>
      <c r="C218" s="1" t="n">
        <v>45821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18396-2020</t>
        </is>
      </c>
      <c r="B219" s="1" t="n">
        <v>43927</v>
      </c>
      <c r="C219" s="1" t="n">
        <v>45821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18385-2020</t>
        </is>
      </c>
      <c r="B220" s="1" t="n">
        <v>43927</v>
      </c>
      <c r="C220" s="1" t="n">
        <v>45821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18324-2020</t>
        </is>
      </c>
      <c r="B221" s="1" t="n">
        <v>43928</v>
      </c>
      <c r="C221" s="1" t="n">
        <v>45821</v>
      </c>
      <c r="D221" t="inlineStr">
        <is>
          <t>DALARNAS LÄN</t>
        </is>
      </c>
      <c r="E221" t="inlineStr">
        <is>
          <t>RÄTTVIK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18327-2020</t>
        </is>
      </c>
      <c r="B222" s="1" t="n">
        <v>43928</v>
      </c>
      <c r="C222" s="1" t="n">
        <v>45821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18754-2020</t>
        </is>
      </c>
      <c r="B223" s="1" t="n">
        <v>43930</v>
      </c>
      <c r="C223" s="1" t="n">
        <v>45821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19.7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18798-2020</t>
        </is>
      </c>
      <c r="B224" s="1" t="n">
        <v>43933</v>
      </c>
      <c r="C224" s="1" t="n">
        <v>45821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18797-2020</t>
        </is>
      </c>
      <c r="B225" s="1" t="n">
        <v>43933</v>
      </c>
      <c r="C225" s="1" t="n">
        <v>45821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19115-2020</t>
        </is>
      </c>
      <c r="B226" s="1" t="n">
        <v>43935</v>
      </c>
      <c r="C226" s="1" t="n">
        <v>45821</v>
      </c>
      <c r="D226" t="inlineStr">
        <is>
          <t>DALARNAS LÄN</t>
        </is>
      </c>
      <c r="E226" t="inlineStr">
        <is>
          <t>RÄTTVIK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19278-2020</t>
        </is>
      </c>
      <c r="B227" s="1" t="n">
        <v>43937</v>
      </c>
      <c r="C227" s="1" t="n">
        <v>45821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19870-2020</t>
        </is>
      </c>
      <c r="B228" s="1" t="n">
        <v>43941</v>
      </c>
      <c r="C228" s="1" t="n">
        <v>45821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19877-2020</t>
        </is>
      </c>
      <c r="B229" s="1" t="n">
        <v>43941</v>
      </c>
      <c r="C229" s="1" t="n">
        <v>45821</v>
      </c>
      <c r="D229" t="inlineStr">
        <is>
          <t>DALARNAS LÄN</t>
        </is>
      </c>
      <c r="E229" t="inlineStr">
        <is>
          <t>RÄTTVIK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20853-2020</t>
        </is>
      </c>
      <c r="B230" s="1" t="n">
        <v>43948</v>
      </c>
      <c r="C230" s="1" t="n">
        <v>45821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45821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45821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45821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45821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45821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45821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45821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45821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45821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45821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45821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45821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45821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45821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45821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45821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45821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45821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45821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45821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45821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45821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45821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45821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45821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45821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45821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45821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45821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45821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45821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45821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45821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45821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45821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45821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45821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45821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45821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45821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45821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45821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45821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45821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45821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45821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45821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45821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45821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45821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45821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45821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45821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45821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45821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45821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45821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45821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45821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45821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45821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45821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45821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45821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45821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45821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45821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45821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45821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45821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45821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45821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45821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45821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45821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45821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45821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45821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45821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45821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45821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45821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45821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45821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45821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45821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45821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45821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45821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45821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45821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45821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45821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45821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45821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45821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45821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45821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45821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45821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45821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45821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45821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45821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45821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45821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45821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45821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45821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45821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45821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45821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45821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45821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45821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45821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45821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45821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45821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45821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45821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45821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45821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45821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45821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45821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45821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45821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45821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45821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45821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45821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45821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45821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45821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45821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45821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45821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45821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45821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45821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45821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45821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45821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45821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45821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45821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45821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45821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45821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45821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45821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45821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45821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45821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45821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45821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45821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45821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45821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45821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45821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45821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45821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45821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45821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45821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45821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45821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45821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45821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45821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45821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45821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45821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45821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45821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45821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45821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45821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45821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45821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45821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45821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45821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45821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45821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45821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45821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45821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45821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45821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45821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45821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45821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45821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45821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45821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45821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45821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45821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45821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45821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45821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45821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45821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45821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45821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45821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45821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45821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45821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45821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45821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45821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45821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45821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45821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45821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45821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45821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45821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45821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45821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45821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45821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45821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45821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45821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45821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45821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45821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45821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45821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45821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45821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45821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45821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45821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45821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45821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45821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45821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45821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45821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45821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45821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45821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45821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45821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45821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45821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45821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45821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45821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45821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45821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45821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45821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45821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45821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45821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45821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45821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45821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45821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45821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45821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45821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45821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45821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45821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45821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45821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45821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45821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45821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45821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45821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45821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45821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45821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45821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45821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45821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45821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45821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45821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45821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45821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45821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45821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45821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45821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45821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45821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45821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45821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45821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45821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45821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45821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45821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45821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45821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45821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45821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45821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45821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45821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45821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45821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45821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45821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45821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45821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45821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45821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45821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45821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45821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45821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45821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45821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45821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45821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45821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45821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45821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45821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45821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45821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45821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45821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45821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45821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45821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45821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45821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45821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45821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45821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45821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45821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45821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45821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45821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45821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45821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45821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45821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45821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45821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45821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45821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45821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45821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45821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45821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45821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45821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45821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45821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45821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45821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45821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45821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45821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45821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45821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45821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45821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45821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45821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45821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45821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45821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45821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45821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45821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45821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45821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45821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45821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45821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45821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45821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45821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45821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45821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45821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45821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45821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45821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45821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45821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45821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45821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45821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45821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45821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45821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45821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45821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45821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45821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45821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45821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45821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45821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45821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45821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45821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45821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45821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45821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45821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45821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45821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45821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45821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45821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45821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45821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45821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45821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45821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45821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45821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45821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45821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45821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45821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45821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45821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45821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45821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45821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45821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45821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45821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45821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45821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45821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45821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45821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45821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45821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45821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45821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45821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45821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45821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45821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45821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45821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45821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45821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45821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45821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45821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45821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45821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45821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45821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45821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45821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45821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45821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45821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45821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45821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45821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45821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45821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45821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45821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45821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45821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45821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45821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45821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45821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45821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45821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45821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45821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45821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45821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45821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45821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45821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45821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45821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45821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45821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45821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45821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45821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45821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45821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45821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45821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45821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45821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45821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45821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45821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45821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45821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45821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45821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45821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45821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45821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45821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45821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45821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45821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45821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45821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45821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45821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45821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45821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45821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45821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45821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45821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45821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45821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45821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45821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45821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45821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45821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45821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45821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45821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45821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45821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45821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45821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45821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45821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45821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45821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45821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45821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45821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45821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45821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45821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45821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45821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45821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45821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45821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45821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45821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45821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45821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45821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45821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45821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45821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45821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45821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45821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45821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45821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45821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45821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45821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45821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45821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45821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45821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45821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45821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45821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45821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45821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45821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45821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45821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45821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45821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45821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45821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45821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45821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45821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45821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45821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45821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45821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45821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45821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45821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45821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45821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45821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45821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45821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45821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45821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45821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45821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45821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45821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45821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45821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45821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45821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45821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45821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45821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45821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45821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45821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45821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45821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45821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45821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45821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45821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45821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45821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45821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45821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45821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45821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45821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45821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45821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45821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45821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45821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45821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45821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45821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45821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45821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45821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45821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45821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45821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45821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45821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45821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45821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45821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45821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45821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45821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45821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45821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45821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45821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45821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45821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45821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45821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45821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45821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45821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45821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45821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45821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45821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45821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45821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45821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45821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45821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45821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45821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45821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45821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45821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45821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45821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45821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45821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45821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45821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45821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45821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45821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45821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45821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45821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45821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45821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45821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45821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45821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45821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45821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45821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45821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45821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45821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45821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45821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45821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45821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45821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45821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45821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45821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45821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45821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45821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45821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45821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45821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45821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45821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45821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45821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45821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45821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45821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45821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45821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45821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45821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45821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45821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45821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45821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45821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45821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45821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45821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45821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45821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45821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45821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45821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45821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45821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45821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45821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45821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45821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45821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45821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45821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45821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45821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45821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45821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45821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45821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45821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45821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45821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45821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45821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45821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45821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45821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45821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45821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45821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45821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45821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45821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45821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45821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45821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45821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45821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45821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45821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45821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45821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45821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45821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45821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45821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45821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45821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45821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45821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45821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45821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45821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45821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45821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45821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45821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45821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45821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45821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45821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45821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45821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45821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45821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45821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45821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45821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45821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45821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45821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45821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45821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45821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45821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45821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45821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45821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45821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45821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45821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45821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45821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45821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45821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45821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45821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45821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45821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45821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45821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45821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45821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45821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45821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45821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45821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45821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45821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45821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45821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45821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45821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45821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45821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45821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45821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45821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45821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45821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45821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45821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45821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45821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45821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45821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45821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45821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45821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45821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45821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45821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45821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45821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45821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45821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45821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45821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45821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45821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45821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45821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45821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45821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45821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45821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45821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45821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45821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45821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45821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45821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45821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45821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45821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45821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45821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45821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45821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45821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45821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45821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45821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45821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45821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45821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45821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45821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45821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45821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45821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45821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45821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45821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45821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45821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45821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45821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45821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45821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45821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45821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45821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45821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45821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45821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45821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45821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45821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45821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45821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45821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45821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45821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45821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45821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45821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45821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45821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45821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45821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45821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45821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45821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45821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45821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45821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45821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45821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45821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45821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45821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45821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45821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45821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45821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45821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45821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45821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45821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45821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45821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45821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45821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45821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45821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45821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45821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45821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45821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45821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45821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45821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45821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45821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45821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45821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45821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45821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45821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45821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45821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45821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45821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45821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45821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45821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45821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45821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45821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45821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45821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45821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45821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45821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45821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45821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45821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45821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45821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45821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45821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45821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45821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45821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45821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45821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45821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45821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45821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45821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45821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45821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45821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45821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45821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45821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45821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45821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45821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45821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45821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45821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45821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45821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45821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45821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45821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45821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45821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45821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45821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45821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45821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45821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45821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45821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45821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45821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45821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45821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45821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45821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45821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45821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45821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45821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45821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45821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45821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45821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45821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45821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45821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45821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45821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45821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45821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45821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45821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45821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45821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45821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45821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45821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45821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45821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45821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45821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45821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45821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45821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45821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45821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45821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45821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45821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45821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45821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45821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45821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45821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45821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45821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45821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45821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45821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45821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45821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45821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45821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45821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45821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45821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45821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45821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45821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45821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45821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45821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45821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45821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45821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45821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45821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45821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45821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45821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45821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45821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45821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45821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45821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45821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45821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45821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45821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45821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45821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45821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45821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45821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45821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45821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45821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45821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45821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45821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45821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45821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45821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45821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45821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45821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45821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45821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45821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45821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45821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45821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45821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24022-2025</t>
        </is>
      </c>
      <c r="B1498" s="1" t="n">
        <v>45796</v>
      </c>
      <c r="C1498" s="1" t="n">
        <v>45821</v>
      </c>
      <c r="D1498" t="inlineStr">
        <is>
          <t>DALARNAS LÄN</t>
        </is>
      </c>
      <c r="E1498" t="inlineStr">
        <is>
          <t>RÄTTVIK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24024-2025</t>
        </is>
      </c>
      <c r="B1499" s="1" t="n">
        <v>45796</v>
      </c>
      <c r="C1499" s="1" t="n">
        <v>45821</v>
      </c>
      <c r="D1499" t="inlineStr">
        <is>
          <t>DALARNAS LÄN</t>
        </is>
      </c>
      <c r="E1499" t="inlineStr">
        <is>
          <t>RÄTTVIK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23982-2025</t>
        </is>
      </c>
      <c r="B1500" s="1" t="n">
        <v>45796</v>
      </c>
      <c r="C1500" s="1" t="n">
        <v>45821</v>
      </c>
      <c r="D1500" t="inlineStr">
        <is>
          <t>DALARNAS LÄN</t>
        </is>
      </c>
      <c r="E1500" t="inlineStr">
        <is>
          <t>RÄTTVIK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24156-2025</t>
        </is>
      </c>
      <c r="B1501" s="1" t="n">
        <v>45796</v>
      </c>
      <c r="C1501" s="1" t="n">
        <v>45821</v>
      </c>
      <c r="D1501" t="inlineStr">
        <is>
          <t>DALARNAS LÄN</t>
        </is>
      </c>
      <c r="E1501" t="inlineStr">
        <is>
          <t>RÄTTVIK</t>
        </is>
      </c>
      <c r="G1501" t="n">
        <v>33.4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24177-2025</t>
        </is>
      </c>
      <c r="B1502" s="1" t="n">
        <v>45796</v>
      </c>
      <c r="C1502" s="1" t="n">
        <v>45821</v>
      </c>
      <c r="D1502" t="inlineStr">
        <is>
          <t>DALARNAS LÄN</t>
        </is>
      </c>
      <c r="E1502" t="inlineStr">
        <is>
          <t>RÄTTVIK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24046-2025</t>
        </is>
      </c>
      <c r="B1503" s="1" t="n">
        <v>45796</v>
      </c>
      <c r="C1503" s="1" t="n">
        <v>45821</v>
      </c>
      <c r="D1503" t="inlineStr">
        <is>
          <t>DALARNAS LÄN</t>
        </is>
      </c>
      <c r="E1503" t="inlineStr">
        <is>
          <t>RÄTTVIK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45821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45821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45821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45821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45821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45821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25553-2025</t>
        </is>
      </c>
      <c r="B1510" s="1" t="n">
        <v>45803</v>
      </c>
      <c r="C1510" s="1" t="n">
        <v>45821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45821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45821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45821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25548-2025</t>
        </is>
      </c>
      <c r="B1514" s="1" t="n">
        <v>45803</v>
      </c>
      <c r="C1514" s="1" t="n">
        <v>45821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45821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45821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45821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45821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45821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27704-2025</t>
        </is>
      </c>
      <c r="B1520" s="1" t="n">
        <v>45813</v>
      </c>
      <c r="C1520" s="1" t="n">
        <v>45821</v>
      </c>
      <c r="D1520" t="inlineStr">
        <is>
          <t>DALARNAS LÄN</t>
        </is>
      </c>
      <c r="E1520" t="inlineStr">
        <is>
          <t>RÄTTVIK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27512-2025</t>
        </is>
      </c>
      <c r="B1521" s="1" t="n">
        <v>45813</v>
      </c>
      <c r="C1521" s="1" t="n">
        <v>45821</v>
      </c>
      <c r="D1521" t="inlineStr">
        <is>
          <t>DALARNAS LÄN</t>
        </is>
      </c>
      <c r="E1521" t="inlineStr">
        <is>
          <t>RÄTTVIK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45821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45821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45821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45821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28811-2025</t>
        </is>
      </c>
      <c r="B1526" s="1" t="n">
        <v>45820</v>
      </c>
      <c r="C1526" s="1" t="n">
        <v>45821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2025-06-13T18:34:37Z</dcterms:created>
  <dcterms:modified xmlns:dcterms="http://purl.org/dc/terms/" xmlns:xsi="http://www.w3.org/2001/XMLSchema-instance" xsi:type="dcterms:W3CDTF">2025-06-13T18:34:38Z</dcterms:modified>
</cp:coreProperties>
</file>