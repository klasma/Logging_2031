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45764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45764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45764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45764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45764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45764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45764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45764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45764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45764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45764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45764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45764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45764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45764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45764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45764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45764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45764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45764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45764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45764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45764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45764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45764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45764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45764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45764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45764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45764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45764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45764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45764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45764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45764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45764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45764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45764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45764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45764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15138-2021</t>
        </is>
      </c>
      <c r="B42" s="1" t="n">
        <v>44284</v>
      </c>
      <c r="C42" s="1" t="n">
        <v>45764</v>
      </c>
      <c r="D42" t="inlineStr">
        <is>
          <t>DALARNAS LÄN</t>
        </is>
      </c>
      <c r="E42" t="inlineStr">
        <is>
          <t>RÄTTVIK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HYPERLINK("https://klasma.github.io/Logging_2031/artfynd/A 15138-2021 artfynd.xlsx", "A 15138-2021")</f>
        <v/>
      </c>
      <c r="T42">
        <f>HYPERLINK("https://klasma.github.io/Logging_2031/kartor/A 15138-2021 karta.png", "A 15138-2021")</f>
        <v/>
      </c>
      <c r="V42">
        <f>HYPERLINK("https://klasma.github.io/Logging_2031/klagomål/A 15138-2021 FSC-klagomål.docx", "A 15138-2021")</f>
        <v/>
      </c>
      <c r="W42">
        <f>HYPERLINK("https://klasma.github.io/Logging_2031/klagomålsmail/A 15138-2021 FSC-klagomål mail.docx", "A 15138-2021")</f>
        <v/>
      </c>
      <c r="X42">
        <f>HYPERLINK("https://klasma.github.io/Logging_2031/tillsyn/A 15138-2021 tillsynsbegäran.docx", "A 15138-2021")</f>
        <v/>
      </c>
      <c r="Y42">
        <f>HYPERLINK("https://klasma.github.io/Logging_2031/tillsynsmail/A 15138-2021 tillsynsbegäran mail.docx", "A 15138-2021")</f>
        <v/>
      </c>
    </row>
    <row r="43" ht="15" customHeight="1">
      <c r="A43" t="inlineStr">
        <is>
          <t>A 29527-2021</t>
        </is>
      </c>
      <c r="B43" s="1" t="n">
        <v>44361</v>
      </c>
      <c r="C43" s="1" t="n">
        <v>45764</v>
      </c>
      <c r="D43" t="inlineStr">
        <is>
          <t>DALARNAS LÄN</t>
        </is>
      </c>
      <c r="E43" t="inlineStr">
        <is>
          <t>RÄTTVIK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29527-2021 artfynd.xlsx", "A 29527-2021")</f>
        <v/>
      </c>
      <c r="T43">
        <f>HYPERLINK("https://klasma.github.io/Logging_2031/kartor/A 29527-2021 karta.png", "A 29527-2021")</f>
        <v/>
      </c>
      <c r="V43">
        <f>HYPERLINK("https://klasma.github.io/Logging_2031/klagomål/A 29527-2021 FSC-klagomål.docx", "A 29527-2021")</f>
        <v/>
      </c>
      <c r="W43">
        <f>HYPERLINK("https://klasma.github.io/Logging_2031/klagomålsmail/A 29527-2021 FSC-klagomål mail.docx", "A 29527-2021")</f>
        <v/>
      </c>
      <c r="X43">
        <f>HYPERLINK("https://klasma.github.io/Logging_2031/tillsyn/A 29527-2021 tillsynsbegäran.docx", "A 29527-2021")</f>
        <v/>
      </c>
      <c r="Y43">
        <f>HYPERLINK("https://klasma.github.io/Logging_2031/tillsynsmail/A 29527-2021 tillsynsbegäran mail.docx", "A 29527-2021")</f>
        <v/>
      </c>
    </row>
    <row r="44" ht="15" customHeight="1">
      <c r="A44" t="inlineStr">
        <is>
          <t>A 36615-2021</t>
        </is>
      </c>
      <c r="B44" s="1" t="n">
        <v>44391</v>
      </c>
      <c r="C44" s="1" t="n">
        <v>45764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4.7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HYPERLINK("https://klasma.github.io/Logging_2031/artfynd/A 36615-2021 artfynd.xlsx", "A 36615-2021")</f>
        <v/>
      </c>
      <c r="T44">
        <f>HYPERLINK("https://klasma.github.io/Logging_2031/kartor/A 36615-2021 karta.png", "A 36615-2021")</f>
        <v/>
      </c>
      <c r="V44">
        <f>HYPERLINK("https://klasma.github.io/Logging_2031/klagomål/A 36615-2021 FSC-klagomål.docx", "A 36615-2021")</f>
        <v/>
      </c>
      <c r="W44">
        <f>HYPERLINK("https://klasma.github.io/Logging_2031/klagomålsmail/A 36615-2021 FSC-klagomål mail.docx", "A 36615-2021")</f>
        <v/>
      </c>
      <c r="X44">
        <f>HYPERLINK("https://klasma.github.io/Logging_2031/tillsyn/A 36615-2021 tillsynsbegäran.docx", "A 36615-2021")</f>
        <v/>
      </c>
      <c r="Y44">
        <f>HYPERLINK("https://klasma.github.io/Logging_2031/tillsynsmail/A 36615-2021 tillsynsbegäran mail.docx", "A 36615-2021")</f>
        <v/>
      </c>
    </row>
    <row r="45" ht="15" customHeight="1">
      <c r="A45" t="inlineStr">
        <is>
          <t>A 39484-2021</t>
        </is>
      </c>
      <c r="B45" s="1" t="n">
        <v>44414</v>
      </c>
      <c r="C45" s="1" t="n">
        <v>45764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HYPERLINK("https://klasma.github.io/Logging_2031/artfynd/A 39484-2021 artfynd.xlsx", "A 39484-2021")</f>
        <v/>
      </c>
      <c r="T45">
        <f>HYPERLINK("https://klasma.github.io/Logging_2031/kartor/A 39484-2021 karta.png", "A 39484-2021")</f>
        <v/>
      </c>
      <c r="V45">
        <f>HYPERLINK("https://klasma.github.io/Logging_2031/klagomål/A 39484-2021 FSC-klagomål.docx", "A 39484-2021")</f>
        <v/>
      </c>
      <c r="W45">
        <f>HYPERLINK("https://klasma.github.io/Logging_2031/klagomålsmail/A 39484-2021 FSC-klagomål mail.docx", "A 39484-2021")</f>
        <v/>
      </c>
      <c r="X45">
        <f>HYPERLINK("https://klasma.github.io/Logging_2031/tillsyn/A 39484-2021 tillsynsbegäran.docx", "A 39484-2021")</f>
        <v/>
      </c>
      <c r="Y45">
        <f>HYPERLINK("https://klasma.github.io/Logging_2031/tillsynsmail/A 39484-2021 tillsynsbegäran mail.docx", "A 39484-2021")</f>
        <v/>
      </c>
    </row>
    <row r="46" ht="15" customHeight="1">
      <c r="A46" t="inlineStr">
        <is>
          <t>A 54173-2021</t>
        </is>
      </c>
      <c r="B46" s="1" t="n">
        <v>44470</v>
      </c>
      <c r="C46" s="1" t="n">
        <v>45764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HYPERLINK("https://klasma.github.io/Logging_2031/artfynd/A 54173-2021 artfynd.xlsx", "A 54173-2021")</f>
        <v/>
      </c>
      <c r="T46">
        <f>HYPERLINK("https://klasma.github.io/Logging_2031/kartor/A 54173-2021 karta.png", "A 54173-2021")</f>
        <v/>
      </c>
      <c r="V46">
        <f>HYPERLINK("https://klasma.github.io/Logging_2031/klagomål/A 54173-2021 FSC-klagomål.docx", "A 54173-2021")</f>
        <v/>
      </c>
      <c r="W46">
        <f>HYPERLINK("https://klasma.github.io/Logging_2031/klagomålsmail/A 54173-2021 FSC-klagomål mail.docx", "A 54173-2021")</f>
        <v/>
      </c>
      <c r="X46">
        <f>HYPERLINK("https://klasma.github.io/Logging_2031/tillsyn/A 54173-2021 tillsynsbegäran.docx", "A 54173-2021")</f>
        <v/>
      </c>
      <c r="Y46">
        <f>HYPERLINK("https://klasma.github.io/Logging_2031/tillsynsmail/A 54173-2021 tillsynsbegäran mail.docx", "A 54173-2021")</f>
        <v/>
      </c>
    </row>
    <row r="47" ht="15" customHeight="1">
      <c r="A47" t="inlineStr">
        <is>
          <t>A 60707-2021</t>
        </is>
      </c>
      <c r="B47" s="1" t="n">
        <v>44496</v>
      </c>
      <c r="C47" s="1" t="n">
        <v>45764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7.2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Tallfingersvamp</t>
        </is>
      </c>
      <c r="S47">
        <f>HYPERLINK("https://klasma.github.io/Logging_2031/artfynd/A 60707-2021 artfynd.xlsx", "A 60707-2021")</f>
        <v/>
      </c>
      <c r="T47">
        <f>HYPERLINK("https://klasma.github.io/Logging_2031/kartor/A 60707-2021 karta.png", "A 60707-2021")</f>
        <v/>
      </c>
      <c r="V47">
        <f>HYPERLINK("https://klasma.github.io/Logging_2031/klagomål/A 60707-2021 FSC-klagomål.docx", "A 60707-2021")</f>
        <v/>
      </c>
      <c r="W47">
        <f>HYPERLINK("https://klasma.github.io/Logging_2031/klagomålsmail/A 60707-2021 FSC-klagomål mail.docx", "A 60707-2021")</f>
        <v/>
      </c>
      <c r="X47">
        <f>HYPERLINK("https://klasma.github.io/Logging_2031/tillsyn/A 60707-2021 tillsynsbegäran.docx", "A 60707-2021")</f>
        <v/>
      </c>
      <c r="Y47">
        <f>HYPERLINK("https://klasma.github.io/Logging_2031/tillsynsmail/A 60707-2021 tillsynsbegäran mail.docx", "A 60707-2021")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45764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734-2022</t>
        </is>
      </c>
      <c r="B49" s="1" t="n">
        <v>44568</v>
      </c>
      <c r="C49" s="1" t="n">
        <v>45764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HYPERLINK("https://klasma.github.io/Logging_2031/artfynd/A 734-2022 artfynd.xlsx", "A 734-2022")</f>
        <v/>
      </c>
      <c r="T49">
        <f>HYPERLINK("https://klasma.github.io/Logging_2031/kartor/A 734-2022 karta.png", "A 734-2022")</f>
        <v/>
      </c>
      <c r="U49">
        <f>HYPERLINK("https://klasma.github.io/Logging_2031/knärot/A 734-2022 karta knärot.png", "A 734-2022")</f>
        <v/>
      </c>
      <c r="V49">
        <f>HYPERLINK("https://klasma.github.io/Logging_2031/klagomål/A 734-2022 FSC-klagomål.docx", "A 734-2022")</f>
        <v/>
      </c>
      <c r="W49">
        <f>HYPERLINK("https://klasma.github.io/Logging_2031/klagomålsmail/A 734-2022 FSC-klagomål mail.docx", "A 734-2022")</f>
        <v/>
      </c>
      <c r="X49">
        <f>HYPERLINK("https://klasma.github.io/Logging_2031/tillsyn/A 734-2022 tillsynsbegäran.docx", "A 734-2022")</f>
        <v/>
      </c>
      <c r="Y49">
        <f>HYPERLINK("https://klasma.github.io/Logging_2031/tillsynsmail/A 734-2022 tillsynsbegäran mail.docx", "A 734-2022")</f>
        <v/>
      </c>
    </row>
    <row r="50" ht="15" customHeight="1">
      <c r="A50" t="inlineStr">
        <is>
          <t>A 10626-2022</t>
        </is>
      </c>
      <c r="B50" s="1" t="n">
        <v>44627</v>
      </c>
      <c r="C50" s="1" t="n">
        <v>45764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Rödgul trumpetsvamp</t>
        </is>
      </c>
      <c r="S50">
        <f>HYPERLINK("https://klasma.github.io/Logging_2031/artfynd/A 10626-2022 artfynd.xlsx", "A 10626-2022")</f>
        <v/>
      </c>
      <c r="T50">
        <f>HYPERLINK("https://klasma.github.io/Logging_2031/kartor/A 10626-2022 karta.png", "A 10626-2022")</f>
        <v/>
      </c>
      <c r="V50">
        <f>HYPERLINK("https://klasma.github.io/Logging_2031/klagomål/A 10626-2022 FSC-klagomål.docx", "A 10626-2022")</f>
        <v/>
      </c>
      <c r="W50">
        <f>HYPERLINK("https://klasma.github.io/Logging_2031/klagomålsmail/A 10626-2022 FSC-klagomål mail.docx", "A 10626-2022")</f>
        <v/>
      </c>
      <c r="X50">
        <f>HYPERLINK("https://klasma.github.io/Logging_2031/tillsyn/A 10626-2022 tillsynsbegäran.docx", "A 10626-2022")</f>
        <v/>
      </c>
      <c r="Y50">
        <f>HYPERLINK("https://klasma.github.io/Logging_2031/tillsynsmail/A 10626-2022 tillsynsbegäran mail.docx", "A 10626-2022")</f>
        <v/>
      </c>
    </row>
    <row r="51" ht="15" customHeight="1">
      <c r="A51" t="inlineStr">
        <is>
          <t>A 24854-2022</t>
        </is>
      </c>
      <c r="B51" s="1" t="n">
        <v>44728</v>
      </c>
      <c r="C51" s="1" t="n">
        <v>45764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24854-2022 artfynd.xlsx", "A 24854-2022")</f>
        <v/>
      </c>
      <c r="T51">
        <f>HYPERLINK("https://klasma.github.io/Logging_2031/kartor/A 24854-2022 karta.png", "A 24854-2022")</f>
        <v/>
      </c>
      <c r="U51">
        <f>HYPERLINK("https://klasma.github.io/Logging_2031/knärot/A 24854-2022 karta knärot.png", "A 24854-2022")</f>
        <v/>
      </c>
      <c r="V51">
        <f>HYPERLINK("https://klasma.github.io/Logging_2031/klagomål/A 24854-2022 FSC-klagomål.docx", "A 24854-2022")</f>
        <v/>
      </c>
      <c r="W51">
        <f>HYPERLINK("https://klasma.github.io/Logging_2031/klagomålsmail/A 24854-2022 FSC-klagomål mail.docx", "A 24854-2022")</f>
        <v/>
      </c>
      <c r="X51">
        <f>HYPERLINK("https://klasma.github.io/Logging_2031/tillsyn/A 24854-2022 tillsynsbegäran.docx", "A 24854-2022")</f>
        <v/>
      </c>
      <c r="Y51">
        <f>HYPERLINK("https://klasma.github.io/Logging_2031/tillsynsmail/A 24854-2022 tillsynsbegäran mail.docx", "A 24854-2022")</f>
        <v/>
      </c>
    </row>
    <row r="52" ht="15" customHeight="1">
      <c r="A52" t="inlineStr">
        <is>
          <t>A 47962-2022</t>
        </is>
      </c>
      <c r="B52" s="1" t="n">
        <v>44855</v>
      </c>
      <c r="C52" s="1" t="n">
        <v>45764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47962-2022 artfynd.xlsx", "A 47962-2022")</f>
        <v/>
      </c>
      <c r="T52">
        <f>HYPERLINK("https://klasma.github.io/Logging_2031/kartor/A 47962-2022 karta.png", "A 47962-2022")</f>
        <v/>
      </c>
      <c r="V52">
        <f>HYPERLINK("https://klasma.github.io/Logging_2031/klagomål/A 47962-2022 FSC-klagomål.docx", "A 47962-2022")</f>
        <v/>
      </c>
      <c r="W52">
        <f>HYPERLINK("https://klasma.github.io/Logging_2031/klagomålsmail/A 47962-2022 FSC-klagomål mail.docx", "A 47962-2022")</f>
        <v/>
      </c>
      <c r="X52">
        <f>HYPERLINK("https://klasma.github.io/Logging_2031/tillsyn/A 47962-2022 tillsynsbegäran.docx", "A 47962-2022")</f>
        <v/>
      </c>
      <c r="Y52">
        <f>HYPERLINK("https://klasma.github.io/Logging_2031/tillsynsmail/A 47962-2022 tillsynsbegäran mail.docx", "A 47962-2022")</f>
        <v/>
      </c>
    </row>
    <row r="53" ht="15" customHeight="1">
      <c r="A53" t="inlineStr">
        <is>
          <t>A 56806-2022</t>
        </is>
      </c>
      <c r="B53" s="1" t="n">
        <v>44894</v>
      </c>
      <c r="C53" s="1" t="n">
        <v>45764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HYPERLINK("https://klasma.github.io/Logging_2031/artfynd/A 56806-2022 artfynd.xlsx", "A 56806-2022")</f>
        <v/>
      </c>
      <c r="T53">
        <f>HYPERLINK("https://klasma.github.io/Logging_2031/kartor/A 56806-2022 karta.png", "A 56806-2022")</f>
        <v/>
      </c>
      <c r="V53">
        <f>HYPERLINK("https://klasma.github.io/Logging_2031/klagomål/A 56806-2022 FSC-klagomål.docx", "A 56806-2022")</f>
        <v/>
      </c>
      <c r="W53">
        <f>HYPERLINK("https://klasma.github.io/Logging_2031/klagomålsmail/A 56806-2022 FSC-klagomål mail.docx", "A 56806-2022")</f>
        <v/>
      </c>
      <c r="X53">
        <f>HYPERLINK("https://klasma.github.io/Logging_2031/tillsyn/A 56806-2022 tillsynsbegäran.docx", "A 56806-2022")</f>
        <v/>
      </c>
      <c r="Y53">
        <f>HYPERLINK("https://klasma.github.io/Logging_2031/tillsynsmail/A 56806-2022 tillsynsbegäran mail.docx", "A 56806-2022")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45764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61983-2022</t>
        </is>
      </c>
      <c r="B55" s="1" t="n">
        <v>44918</v>
      </c>
      <c r="C55" s="1" t="n">
        <v>45764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1.1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HYPERLINK("https://klasma.github.io/Logging_2031/artfynd/A 61983-2022 artfynd.xlsx", "A 61983-2022")</f>
        <v/>
      </c>
      <c r="T55">
        <f>HYPERLINK("https://klasma.github.io/Logging_2031/kartor/A 61983-2022 karta.png", "A 61983-2022")</f>
        <v/>
      </c>
      <c r="V55">
        <f>HYPERLINK("https://klasma.github.io/Logging_2031/klagomål/A 61983-2022 FSC-klagomål.docx", "A 61983-2022")</f>
        <v/>
      </c>
      <c r="W55">
        <f>HYPERLINK("https://klasma.github.io/Logging_2031/klagomålsmail/A 61983-2022 FSC-klagomål mail.docx", "A 61983-2022")</f>
        <v/>
      </c>
      <c r="X55">
        <f>HYPERLINK("https://klasma.github.io/Logging_2031/tillsyn/A 61983-2022 tillsynsbegäran.docx", "A 61983-2022")</f>
        <v/>
      </c>
      <c r="Y55">
        <f>HYPERLINK("https://klasma.github.io/Logging_2031/tillsynsmail/A 61983-2022 tillsynsbegäran mail.docx", "A 61983-2022")</f>
        <v/>
      </c>
    </row>
    <row r="56" ht="15" customHeight="1">
      <c r="A56" t="inlineStr">
        <is>
          <t>A 10247-2023</t>
        </is>
      </c>
      <c r="B56" s="1" t="n">
        <v>44986</v>
      </c>
      <c r="C56" s="1" t="n">
        <v>45764</v>
      </c>
      <c r="D56" t="inlineStr">
        <is>
          <t>DALARNAS LÄN</t>
        </is>
      </c>
      <c r="E56" t="inlineStr">
        <is>
          <t>RÄTTVIK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HYPERLINK("https://klasma.github.io/Logging_2031/artfynd/A 10247-2023 artfynd.xlsx", "A 10247-2023")</f>
        <v/>
      </c>
      <c r="T56">
        <f>HYPERLINK("https://klasma.github.io/Logging_2031/kartor/A 10247-2023 karta.png", "A 10247-2023")</f>
        <v/>
      </c>
      <c r="V56">
        <f>HYPERLINK("https://klasma.github.io/Logging_2031/klagomål/A 10247-2023 FSC-klagomål.docx", "A 10247-2023")</f>
        <v/>
      </c>
      <c r="W56">
        <f>HYPERLINK("https://klasma.github.io/Logging_2031/klagomålsmail/A 10247-2023 FSC-klagomål mail.docx", "A 10247-2023")</f>
        <v/>
      </c>
      <c r="X56">
        <f>HYPERLINK("https://klasma.github.io/Logging_2031/tillsyn/A 10247-2023 tillsynsbegäran.docx", "A 10247-2023")</f>
        <v/>
      </c>
      <c r="Y56">
        <f>HYPERLINK("https://klasma.github.io/Logging_2031/tillsynsmail/A 10247-2023 tillsynsbegäran mail.docx", "A 10247-2023")</f>
        <v/>
      </c>
    </row>
    <row r="57" ht="15" customHeight="1">
      <c r="A57" t="inlineStr">
        <is>
          <t>A 23707-2023</t>
        </is>
      </c>
      <c r="B57" s="1" t="n">
        <v>45077</v>
      </c>
      <c r="C57" s="1" t="n">
        <v>45764</v>
      </c>
      <c r="D57" t="inlineStr">
        <is>
          <t>DALARNAS LÄN</t>
        </is>
      </c>
      <c r="E57" t="inlineStr">
        <is>
          <t>RÄTTVIK</t>
        </is>
      </c>
      <c r="G57" t="n">
        <v>3.4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HYPERLINK("https://klasma.github.io/Logging_2031/artfynd/A 23707-2023 artfynd.xlsx", "A 23707-2023")</f>
        <v/>
      </c>
      <c r="T57">
        <f>HYPERLINK("https://klasma.github.io/Logging_2031/kartor/A 23707-2023 karta.png", "A 23707-2023")</f>
        <v/>
      </c>
      <c r="V57">
        <f>HYPERLINK("https://klasma.github.io/Logging_2031/klagomål/A 23707-2023 FSC-klagomål.docx", "A 23707-2023")</f>
        <v/>
      </c>
      <c r="W57">
        <f>HYPERLINK("https://klasma.github.io/Logging_2031/klagomålsmail/A 23707-2023 FSC-klagomål mail.docx", "A 23707-2023")</f>
        <v/>
      </c>
      <c r="X57">
        <f>HYPERLINK("https://klasma.github.io/Logging_2031/tillsyn/A 23707-2023 tillsynsbegäran.docx", "A 23707-2023")</f>
        <v/>
      </c>
      <c r="Y57">
        <f>HYPERLINK("https://klasma.github.io/Logging_2031/tillsynsmail/A 23707-2023 tillsynsbegäran mail.docx", "A 23707-2023")</f>
        <v/>
      </c>
    </row>
    <row r="58" ht="15" customHeight="1">
      <c r="A58" t="inlineStr">
        <is>
          <t>A 45516-2023</t>
        </is>
      </c>
      <c r="B58" s="1" t="n">
        <v>45194</v>
      </c>
      <c r="C58" s="1" t="n">
        <v>45764</v>
      </c>
      <c r="D58" t="inlineStr">
        <is>
          <t>DALARNAS LÄN</t>
        </is>
      </c>
      <c r="E58" t="inlineStr">
        <is>
          <t>RÄTTVIK</t>
        </is>
      </c>
      <c r="G58" t="n">
        <v>20.3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Mörk kolflarnlav</t>
        </is>
      </c>
      <c r="S58">
        <f>HYPERLINK("https://klasma.github.io/Logging_2031/artfynd/A 45516-2023 artfynd.xlsx", "A 45516-2023")</f>
        <v/>
      </c>
      <c r="T58">
        <f>HYPERLINK("https://klasma.github.io/Logging_2031/kartor/A 45516-2023 karta.png", "A 45516-2023")</f>
        <v/>
      </c>
      <c r="V58">
        <f>HYPERLINK("https://klasma.github.io/Logging_2031/klagomål/A 45516-2023 FSC-klagomål.docx", "A 45516-2023")</f>
        <v/>
      </c>
      <c r="W58">
        <f>HYPERLINK("https://klasma.github.io/Logging_2031/klagomålsmail/A 45516-2023 FSC-klagomål mail.docx", "A 45516-2023")</f>
        <v/>
      </c>
      <c r="X58">
        <f>HYPERLINK("https://klasma.github.io/Logging_2031/tillsyn/A 45516-2023 tillsynsbegäran.docx", "A 45516-2023")</f>
        <v/>
      </c>
      <c r="Y58">
        <f>HYPERLINK("https://klasma.github.io/Logging_2031/tillsynsmail/A 45516-2023 tillsynsbegäran mail.docx", "A 45516-2023")</f>
        <v/>
      </c>
    </row>
    <row r="59" ht="15" customHeight="1">
      <c r="A59" t="inlineStr">
        <is>
          <t>A 45524-2023</t>
        </is>
      </c>
      <c r="B59" s="1" t="n">
        <v>45194</v>
      </c>
      <c r="C59" s="1" t="n">
        <v>45764</v>
      </c>
      <c r="D59" t="inlineStr">
        <is>
          <t>DALARNAS LÄN</t>
        </is>
      </c>
      <c r="E59" t="inlineStr">
        <is>
          <t>RÄTTVIK</t>
        </is>
      </c>
      <c r="G59" t="n">
        <v>16.1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HYPERLINK("https://klasma.github.io/Logging_2031/artfynd/A 45524-2023 artfynd.xlsx", "A 45524-2023")</f>
        <v/>
      </c>
      <c r="T59">
        <f>HYPERLINK("https://klasma.github.io/Logging_2031/kartor/A 45524-2023 karta.png", "A 45524-2023")</f>
        <v/>
      </c>
      <c r="V59">
        <f>HYPERLINK("https://klasma.github.io/Logging_2031/klagomål/A 45524-2023 FSC-klagomål.docx", "A 45524-2023")</f>
        <v/>
      </c>
      <c r="W59">
        <f>HYPERLINK("https://klasma.github.io/Logging_2031/klagomålsmail/A 45524-2023 FSC-klagomål mail.docx", "A 45524-2023")</f>
        <v/>
      </c>
      <c r="X59">
        <f>HYPERLINK("https://klasma.github.io/Logging_2031/tillsyn/A 45524-2023 tillsynsbegäran.docx", "A 45524-2023")</f>
        <v/>
      </c>
      <c r="Y59">
        <f>HYPERLINK("https://klasma.github.io/Logging_2031/tillsynsmail/A 45524-2023 tillsynsbegäran mail.docx", "A 45524-2023")</f>
        <v/>
      </c>
    </row>
    <row r="60" ht="15" customHeight="1">
      <c r="A60" t="inlineStr">
        <is>
          <t>A 55268-2023</t>
        </is>
      </c>
      <c r="B60" s="1" t="n">
        <v>45231</v>
      </c>
      <c r="C60" s="1" t="n">
        <v>45764</v>
      </c>
      <c r="D60" t="inlineStr">
        <is>
          <t>DALARNAS LÄN</t>
        </is>
      </c>
      <c r="E60" t="inlineStr">
        <is>
          <t>RÄTTVIK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HYPERLINK("https://klasma.github.io/Logging_2031/artfynd/A 55268-2023 artfynd.xlsx", "A 55268-2023")</f>
        <v/>
      </c>
      <c r="T60">
        <f>HYPERLINK("https://klasma.github.io/Logging_2031/kartor/A 55268-2023 karta.png", "A 55268-2023")</f>
        <v/>
      </c>
      <c r="V60">
        <f>HYPERLINK("https://klasma.github.io/Logging_2031/klagomål/A 55268-2023 FSC-klagomål.docx", "A 55268-2023")</f>
        <v/>
      </c>
      <c r="W60">
        <f>HYPERLINK("https://klasma.github.io/Logging_2031/klagomålsmail/A 55268-2023 FSC-klagomål mail.docx", "A 55268-2023")</f>
        <v/>
      </c>
      <c r="X60">
        <f>HYPERLINK("https://klasma.github.io/Logging_2031/tillsyn/A 55268-2023 tillsynsbegäran.docx", "A 55268-2023")</f>
        <v/>
      </c>
      <c r="Y60">
        <f>HYPERLINK("https://klasma.github.io/Logging_2031/tillsynsmail/A 55268-2023 tillsynsbegäran mail.docx", "A 55268-2023")</f>
        <v/>
      </c>
    </row>
    <row r="61" ht="15" customHeight="1">
      <c r="A61" t="inlineStr">
        <is>
          <t>A 11574-2024</t>
        </is>
      </c>
      <c r="B61" s="1" t="n">
        <v>45373</v>
      </c>
      <c r="C61" s="1" t="n">
        <v>45764</v>
      </c>
      <c r="D61" t="inlineStr">
        <is>
          <t>DALARNAS LÄN</t>
        </is>
      </c>
      <c r="E61" t="inlineStr">
        <is>
          <t>RÄTTVIK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HYPERLINK("https://klasma.github.io/Logging_2031/artfynd/A 11574-2024 artfynd.xlsx", "A 11574-2024")</f>
        <v/>
      </c>
      <c r="T61">
        <f>HYPERLINK("https://klasma.github.io/Logging_2031/kartor/A 11574-2024 karta.png", "A 11574-2024")</f>
        <v/>
      </c>
      <c r="V61">
        <f>HYPERLINK("https://klasma.github.io/Logging_2031/klagomål/A 11574-2024 FSC-klagomål.docx", "A 11574-2024")</f>
        <v/>
      </c>
      <c r="W61">
        <f>HYPERLINK("https://klasma.github.io/Logging_2031/klagomålsmail/A 11574-2024 FSC-klagomål mail.docx", "A 11574-2024")</f>
        <v/>
      </c>
      <c r="X61">
        <f>HYPERLINK("https://klasma.github.io/Logging_2031/tillsyn/A 11574-2024 tillsynsbegäran.docx", "A 11574-2024")</f>
        <v/>
      </c>
      <c r="Y61">
        <f>HYPERLINK("https://klasma.github.io/Logging_2031/tillsynsmail/A 11574-2024 tillsynsbegäran mail.docx", "A 11574-2024")</f>
        <v/>
      </c>
    </row>
    <row r="62" ht="15" customHeight="1">
      <c r="A62" t="inlineStr">
        <is>
          <t>A 16116-2024</t>
        </is>
      </c>
      <c r="B62" s="1" t="n">
        <v>45406</v>
      </c>
      <c r="C62" s="1" t="n">
        <v>45764</v>
      </c>
      <c r="D62" t="inlineStr">
        <is>
          <t>DALARNAS LÄN</t>
        </is>
      </c>
      <c r="E62" t="inlineStr">
        <is>
          <t>RÄTTVIK</t>
        </is>
      </c>
      <c r="G62" t="n">
        <v>19.1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Korallblylav</t>
        </is>
      </c>
      <c r="S62">
        <f>HYPERLINK("https://klasma.github.io/Logging_2031/artfynd/A 16116-2024 artfynd.xlsx", "A 16116-2024")</f>
        <v/>
      </c>
      <c r="T62">
        <f>HYPERLINK("https://klasma.github.io/Logging_2031/kartor/A 16116-2024 karta.png", "A 16116-2024")</f>
        <v/>
      </c>
      <c r="V62">
        <f>HYPERLINK("https://klasma.github.io/Logging_2031/klagomål/A 16116-2024 FSC-klagomål.docx", "A 16116-2024")</f>
        <v/>
      </c>
      <c r="W62">
        <f>HYPERLINK("https://klasma.github.io/Logging_2031/klagomålsmail/A 16116-2024 FSC-klagomål mail.docx", "A 16116-2024")</f>
        <v/>
      </c>
      <c r="X62">
        <f>HYPERLINK("https://klasma.github.io/Logging_2031/tillsyn/A 16116-2024 tillsynsbegäran.docx", "A 16116-2024")</f>
        <v/>
      </c>
      <c r="Y62">
        <f>HYPERLINK("https://klasma.github.io/Logging_2031/tillsynsmail/A 16116-2024 tillsynsbegäran mail.docx", "A 16116-2024")</f>
        <v/>
      </c>
    </row>
    <row r="63" ht="15" customHeight="1">
      <c r="A63" t="inlineStr">
        <is>
          <t>A 16818-2024</t>
        </is>
      </c>
      <c r="B63" s="1" t="n">
        <v>45411</v>
      </c>
      <c r="C63" s="1" t="n">
        <v>45764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HYPERLINK("https://klasma.github.io/Logging_2031/artfynd/A 16818-2024 artfynd.xlsx", "A 16818-2024")</f>
        <v/>
      </c>
      <c r="T63">
        <f>HYPERLINK("https://klasma.github.io/Logging_2031/kartor/A 16818-2024 karta.png", "A 16818-2024")</f>
        <v/>
      </c>
      <c r="V63">
        <f>HYPERLINK("https://klasma.github.io/Logging_2031/klagomål/A 16818-2024 FSC-klagomål.docx", "A 16818-2024")</f>
        <v/>
      </c>
      <c r="W63">
        <f>HYPERLINK("https://klasma.github.io/Logging_2031/klagomålsmail/A 16818-2024 FSC-klagomål mail.docx", "A 16818-2024")</f>
        <v/>
      </c>
      <c r="X63">
        <f>HYPERLINK("https://klasma.github.io/Logging_2031/tillsyn/A 16818-2024 tillsynsbegäran.docx", "A 16818-2024")</f>
        <v/>
      </c>
      <c r="Y63">
        <f>HYPERLINK("https://klasma.github.io/Logging_2031/tillsynsmail/A 16818-2024 tillsynsbegäran mail.docx", "A 16818-2024")</f>
        <v/>
      </c>
    </row>
    <row r="64" ht="15" customHeight="1">
      <c r="A64" t="inlineStr">
        <is>
          <t>A 17734-2024</t>
        </is>
      </c>
      <c r="B64" s="1" t="n">
        <v>45415</v>
      </c>
      <c r="C64" s="1" t="n">
        <v>45764</v>
      </c>
      <c r="D64" t="inlineStr">
        <is>
          <t>DALARNAS LÄN</t>
        </is>
      </c>
      <c r="E64" t="inlineStr">
        <is>
          <t>RÄTTVIK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Bollvitmossa</t>
        </is>
      </c>
      <c r="S64">
        <f>HYPERLINK("https://klasma.github.io/Logging_2031/artfynd/A 17734-2024 artfynd.xlsx", "A 17734-2024")</f>
        <v/>
      </c>
      <c r="T64">
        <f>HYPERLINK("https://klasma.github.io/Logging_2031/kartor/A 17734-2024 karta.png", "A 17734-2024")</f>
        <v/>
      </c>
      <c r="V64">
        <f>HYPERLINK("https://klasma.github.io/Logging_2031/klagomål/A 17734-2024 FSC-klagomål.docx", "A 17734-2024")</f>
        <v/>
      </c>
      <c r="W64">
        <f>HYPERLINK("https://klasma.github.io/Logging_2031/klagomålsmail/A 17734-2024 FSC-klagomål mail.docx", "A 17734-2024")</f>
        <v/>
      </c>
      <c r="X64">
        <f>HYPERLINK("https://klasma.github.io/Logging_2031/tillsyn/A 17734-2024 tillsynsbegäran.docx", "A 17734-2024")</f>
        <v/>
      </c>
      <c r="Y64">
        <f>HYPERLINK("https://klasma.github.io/Logging_2031/tillsynsmail/A 17734-2024 tillsynsbegäran mail.docx", "A 17734-2024")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45764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35539-2024</t>
        </is>
      </c>
      <c r="B66" s="1" t="n">
        <v>45531</v>
      </c>
      <c r="C66" s="1" t="n">
        <v>45764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Nattviol</t>
        </is>
      </c>
      <c r="S66">
        <f>HYPERLINK("https://klasma.github.io/Logging_2031/artfynd/A 35539-2024 artfynd.xlsx", "A 35539-2024")</f>
        <v/>
      </c>
      <c r="T66">
        <f>HYPERLINK("https://klasma.github.io/Logging_2031/kartor/A 35539-2024 karta.png", "A 35539-2024")</f>
        <v/>
      </c>
      <c r="V66">
        <f>HYPERLINK("https://klasma.github.io/Logging_2031/klagomål/A 35539-2024 FSC-klagomål.docx", "A 35539-2024")</f>
        <v/>
      </c>
      <c r="W66">
        <f>HYPERLINK("https://klasma.github.io/Logging_2031/klagomålsmail/A 35539-2024 FSC-klagomål mail.docx", "A 35539-2024")</f>
        <v/>
      </c>
      <c r="X66">
        <f>HYPERLINK("https://klasma.github.io/Logging_2031/tillsyn/A 35539-2024 tillsynsbegäran.docx", "A 35539-2024")</f>
        <v/>
      </c>
      <c r="Y66">
        <f>HYPERLINK("https://klasma.github.io/Logging_2031/tillsynsmail/A 35539-2024 tillsynsbegäran mail.docx", "A 35539-2024")</f>
        <v/>
      </c>
    </row>
    <row r="67" ht="15" customHeight="1">
      <c r="A67" t="inlineStr">
        <is>
          <t>A 47620-2024</t>
        </is>
      </c>
      <c r="B67" s="1" t="n">
        <v>45588</v>
      </c>
      <c r="C67" s="1" t="n">
        <v>45764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HYPERLINK("https://klasma.github.io/Logging_2031/artfynd/A 47620-2024 artfynd.xlsx", "A 47620-2024")</f>
        <v/>
      </c>
      <c r="T67">
        <f>HYPERLINK("https://klasma.github.io/Logging_2031/kartor/A 47620-2024 karta.png", "A 47620-2024")</f>
        <v/>
      </c>
      <c r="V67">
        <f>HYPERLINK("https://klasma.github.io/Logging_2031/klagomål/A 47620-2024 FSC-klagomål.docx", "A 47620-2024")</f>
        <v/>
      </c>
      <c r="W67">
        <f>HYPERLINK("https://klasma.github.io/Logging_2031/klagomålsmail/A 47620-2024 FSC-klagomål mail.docx", "A 47620-2024")</f>
        <v/>
      </c>
      <c r="X67">
        <f>HYPERLINK("https://klasma.github.io/Logging_2031/tillsyn/A 47620-2024 tillsynsbegäran.docx", "A 47620-2024")</f>
        <v/>
      </c>
      <c r="Y67">
        <f>HYPERLINK("https://klasma.github.io/Logging_2031/tillsynsmail/A 47620-2024 tillsynsbegäran mail.docx", "A 47620-2024")</f>
        <v/>
      </c>
    </row>
    <row r="68" ht="15" customHeight="1">
      <c r="A68" t="inlineStr">
        <is>
          <t>A 50117-2024</t>
        </is>
      </c>
      <c r="B68" s="1" t="n">
        <v>45600</v>
      </c>
      <c r="C68" s="1" t="n">
        <v>45764</v>
      </c>
      <c r="D68" t="inlineStr">
        <is>
          <t>DALARNAS LÄN</t>
        </is>
      </c>
      <c r="E68" t="inlineStr">
        <is>
          <t>RÄTTVIK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Finbräken</t>
        </is>
      </c>
      <c r="S68">
        <f>HYPERLINK("https://klasma.github.io/Logging_2031/artfynd/A 50117-2024 artfynd.xlsx", "A 50117-2024")</f>
        <v/>
      </c>
      <c r="T68">
        <f>HYPERLINK("https://klasma.github.io/Logging_2031/kartor/A 50117-2024 karta.png", "A 50117-2024")</f>
        <v/>
      </c>
      <c r="V68">
        <f>HYPERLINK("https://klasma.github.io/Logging_2031/klagomål/A 50117-2024 FSC-klagomål.docx", "A 50117-2024")</f>
        <v/>
      </c>
      <c r="W68">
        <f>HYPERLINK("https://klasma.github.io/Logging_2031/klagomålsmail/A 50117-2024 FSC-klagomål mail.docx", "A 50117-2024")</f>
        <v/>
      </c>
      <c r="X68">
        <f>HYPERLINK("https://klasma.github.io/Logging_2031/tillsyn/A 50117-2024 tillsynsbegäran.docx", "A 50117-2024")</f>
        <v/>
      </c>
      <c r="Y68">
        <f>HYPERLINK("https://klasma.github.io/Logging_2031/tillsynsmail/A 50117-2024 tillsynsbegäran mail.docx", "A 50117-2024")</f>
        <v/>
      </c>
    </row>
    <row r="69" ht="15" customHeight="1">
      <c r="A69" t="inlineStr">
        <is>
          <t>A 4357-2025</t>
        </is>
      </c>
      <c r="B69" s="1" t="n">
        <v>45686</v>
      </c>
      <c r="C69" s="1" t="n">
        <v>45764</v>
      </c>
      <c r="D69" t="inlineStr">
        <is>
          <t>DALARNAS LÄN</t>
        </is>
      </c>
      <c r="E69" t="inlineStr">
        <is>
          <t>RÄTTVIK</t>
        </is>
      </c>
      <c r="G69" t="n">
        <v>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HYPERLINK("https://klasma.github.io/Logging_2031/artfynd/A 4357-2025 artfynd.xlsx", "A 4357-2025")</f>
        <v/>
      </c>
      <c r="T69">
        <f>HYPERLINK("https://klasma.github.io/Logging_2031/kartor/A 4357-2025 karta.png", "A 4357-2025")</f>
        <v/>
      </c>
      <c r="V69">
        <f>HYPERLINK("https://klasma.github.io/Logging_2031/klagomål/A 4357-2025 FSC-klagomål.docx", "A 4357-2025")</f>
        <v/>
      </c>
      <c r="W69">
        <f>HYPERLINK("https://klasma.github.io/Logging_2031/klagomålsmail/A 4357-2025 FSC-klagomål mail.docx", "A 4357-2025")</f>
        <v/>
      </c>
      <c r="X69">
        <f>HYPERLINK("https://klasma.github.io/Logging_2031/tillsyn/A 4357-2025 tillsynsbegäran.docx", "A 4357-2025")</f>
        <v/>
      </c>
      <c r="Y69">
        <f>HYPERLINK("https://klasma.github.io/Logging_2031/tillsynsmail/A 4357-2025 tillsynsbegäran mail.docx", "A 4357-2025")</f>
        <v/>
      </c>
    </row>
    <row r="70" ht="15" customHeight="1">
      <c r="A70" t="inlineStr">
        <is>
          <t>A 11320-2025</t>
        </is>
      </c>
      <c r="B70" s="1" t="n">
        <v>45726</v>
      </c>
      <c r="C70" s="1" t="n">
        <v>45764</v>
      </c>
      <c r="D70" t="inlineStr">
        <is>
          <t>DALARNAS LÄN</t>
        </is>
      </c>
      <c r="E70" t="inlineStr">
        <is>
          <t>RÄTTVIK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HYPERLINK("https://klasma.github.io/Logging_202031/artfynd/A 11320-2025 artfynd.xlsx", "A 11320-2025")</f>
        <v/>
      </c>
      <c r="T70">
        <f>HYPERLINK("https://klasma.github.io/Logging_202031/kartor/A 11320-2025 karta.png", "A 11320-2025")</f>
        <v/>
      </c>
      <c r="V70">
        <f>HYPERLINK("https://klasma.github.io/Logging_202031/klagomål/A 11320-2025 FSC-klagomål.docx", "A 11320-2025")</f>
        <v/>
      </c>
      <c r="W70">
        <f>HYPERLINK("https://klasma.github.io/Logging_202031/klagomålsmail/A 11320-2025 FSC-klagomål mail.docx", "A 11320-2025")</f>
        <v/>
      </c>
      <c r="X70">
        <f>HYPERLINK("https://klasma.github.io/Logging_202031/tillsyn/A 11320-2025 tillsynsbegäran.docx", "A 11320-2025")</f>
        <v/>
      </c>
      <c r="Y70">
        <f>HYPERLINK("https://klasma.github.io/Logging_202031/tillsynsmail/A 11320-2025 tillsynsbegäran mail.docx", "A 11320-2025")</f>
        <v/>
      </c>
    </row>
    <row r="71" ht="15" customHeight="1">
      <c r="A71" t="inlineStr">
        <is>
          <t>A 18098-2019</t>
        </is>
      </c>
      <c r="B71" s="1" t="n">
        <v>43556</v>
      </c>
      <c r="C71" s="1" t="n">
        <v>45764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18534-2019</t>
        </is>
      </c>
      <c r="B72" s="1" t="n">
        <v>43559</v>
      </c>
      <c r="C72" s="1" t="n">
        <v>45764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43.7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19150-2019</t>
        </is>
      </c>
      <c r="B73" s="1" t="n">
        <v>43564</v>
      </c>
      <c r="C73" s="1" t="n">
        <v>45764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19754-2019</t>
        </is>
      </c>
      <c r="B74" s="1" t="n">
        <v>43566</v>
      </c>
      <c r="C74" s="1" t="n">
        <v>45764</v>
      </c>
      <c r="D74" t="inlineStr">
        <is>
          <t>DALARNAS LÄN</t>
        </is>
      </c>
      <c r="E74" t="inlineStr">
        <is>
          <t>RÄTTVIK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20044-2019</t>
        </is>
      </c>
      <c r="B75" s="1" t="n">
        <v>43570</v>
      </c>
      <c r="C75" s="1" t="n">
        <v>45764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20032-2019</t>
        </is>
      </c>
      <c r="B76" s="1" t="n">
        <v>43570</v>
      </c>
      <c r="C76" s="1" t="n">
        <v>45764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20311-2019</t>
        </is>
      </c>
      <c r="B77" s="1" t="n">
        <v>43570</v>
      </c>
      <c r="C77" s="1" t="n">
        <v>45764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21455-2019</t>
        </is>
      </c>
      <c r="B78" s="1" t="n">
        <v>43580</v>
      </c>
      <c r="C78" s="1" t="n">
        <v>45764</v>
      </c>
      <c r="D78" t="inlineStr">
        <is>
          <t>DALARNAS LÄN</t>
        </is>
      </c>
      <c r="E78" t="inlineStr">
        <is>
          <t>RÄTTVIK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21947-2019</t>
        </is>
      </c>
      <c r="B79" s="1" t="n">
        <v>43584</v>
      </c>
      <c r="C79" s="1" t="n">
        <v>45764</v>
      </c>
      <c r="D79" t="inlineStr">
        <is>
          <t>DALARNAS LÄN</t>
        </is>
      </c>
      <c r="E79" t="inlineStr">
        <is>
          <t>RÄTTVIK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22347-2019</t>
        </is>
      </c>
      <c r="B80" s="1" t="n">
        <v>43585</v>
      </c>
      <c r="C80" s="1" t="n">
        <v>45764</v>
      </c>
      <c r="D80" t="inlineStr">
        <is>
          <t>DALARNAS LÄN</t>
        </is>
      </c>
      <c r="E80" t="inlineStr">
        <is>
          <t>RÄTTVIK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22560-2019</t>
        </is>
      </c>
      <c r="B81" s="1" t="n">
        <v>43587</v>
      </c>
      <c r="C81" s="1" t="n">
        <v>45764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23176-2019</t>
        </is>
      </c>
      <c r="B82" s="1" t="n">
        <v>43592</v>
      </c>
      <c r="C82" s="1" t="n">
        <v>45764</v>
      </c>
      <c r="D82" t="inlineStr">
        <is>
          <t>DALARNAS LÄN</t>
        </is>
      </c>
      <c r="E82" t="inlineStr">
        <is>
          <t>RÄTTVIK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23154-2019</t>
        </is>
      </c>
      <c r="B83" s="1" t="n">
        <v>43592</v>
      </c>
      <c r="C83" s="1" t="n">
        <v>45764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23374-2019</t>
        </is>
      </c>
      <c r="B84" s="1" t="n">
        <v>43592</v>
      </c>
      <c r="C84" s="1" t="n">
        <v>45764</v>
      </c>
      <c r="D84" t="inlineStr">
        <is>
          <t>DALARNAS LÄN</t>
        </is>
      </c>
      <c r="E84" t="inlineStr">
        <is>
          <t>RÄTTVIK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24266-2019</t>
        </is>
      </c>
      <c r="B85" s="1" t="n">
        <v>43599</v>
      </c>
      <c r="C85" s="1" t="n">
        <v>45764</v>
      </c>
      <c r="D85" t="inlineStr">
        <is>
          <t>DALARNAS LÄN</t>
        </is>
      </c>
      <c r="E85" t="inlineStr">
        <is>
          <t>RÄTTVIK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26973-2019</t>
        </is>
      </c>
      <c r="B86" s="1" t="n">
        <v>43609</v>
      </c>
      <c r="C86" s="1" t="n">
        <v>45764</v>
      </c>
      <c r="D86" t="inlineStr">
        <is>
          <t>DALARNAS LÄN</t>
        </is>
      </c>
      <c r="E86" t="inlineStr">
        <is>
          <t>RÄTTVIK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27960-2019</t>
        </is>
      </c>
      <c r="B87" s="1" t="n">
        <v>43612</v>
      </c>
      <c r="C87" s="1" t="n">
        <v>45764</v>
      </c>
      <c r="D87" t="inlineStr">
        <is>
          <t>DALARNAS LÄN</t>
        </is>
      </c>
      <c r="E87" t="inlineStr">
        <is>
          <t>RÄTTVIK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27188-2019</t>
        </is>
      </c>
      <c r="B88" s="1" t="n">
        <v>43612</v>
      </c>
      <c r="C88" s="1" t="n">
        <v>45764</v>
      </c>
      <c r="D88" t="inlineStr">
        <is>
          <t>DALARNAS LÄN</t>
        </is>
      </c>
      <c r="E88" t="inlineStr">
        <is>
          <t>RÄTTVIK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27959-2019</t>
        </is>
      </c>
      <c r="B89" s="1" t="n">
        <v>43612</v>
      </c>
      <c r="C89" s="1" t="n">
        <v>45764</v>
      </c>
      <c r="D89" t="inlineStr">
        <is>
          <t>DALARNAS LÄN</t>
        </is>
      </c>
      <c r="E89" t="inlineStr">
        <is>
          <t>RÄTTVIK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26347-2019</t>
        </is>
      </c>
      <c r="B90" s="1" t="n">
        <v>43612</v>
      </c>
      <c r="C90" s="1" t="n">
        <v>45764</v>
      </c>
      <c r="D90" t="inlineStr">
        <is>
          <t>DALARNAS LÄN</t>
        </is>
      </c>
      <c r="E90" t="inlineStr">
        <is>
          <t>RÄTTVIK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28870-2019</t>
        </is>
      </c>
      <c r="B91" s="1" t="n">
        <v>43616</v>
      </c>
      <c r="C91" s="1" t="n">
        <v>45764</v>
      </c>
      <c r="D91" t="inlineStr">
        <is>
          <t>DALARNAS LÄN</t>
        </is>
      </c>
      <c r="E91" t="inlineStr">
        <is>
          <t>RÄTTVIK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27722-2019</t>
        </is>
      </c>
      <c r="B92" s="1" t="n">
        <v>43619</v>
      </c>
      <c r="C92" s="1" t="n">
        <v>45764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29022-2019</t>
        </is>
      </c>
      <c r="B93" s="1" t="n">
        <v>43621</v>
      </c>
      <c r="C93" s="1" t="n">
        <v>45764</v>
      </c>
      <c r="D93" t="inlineStr">
        <is>
          <t>DALARNAS LÄN</t>
        </is>
      </c>
      <c r="E93" t="inlineStr">
        <is>
          <t>RÄTTVIK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29200-2019</t>
        </is>
      </c>
      <c r="B94" s="1" t="n">
        <v>43623</v>
      </c>
      <c r="C94" s="1" t="n">
        <v>45764</v>
      </c>
      <c r="D94" t="inlineStr">
        <is>
          <t>DALARNAS LÄN</t>
        </is>
      </c>
      <c r="E94" t="inlineStr">
        <is>
          <t>RÄTTVIK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29012-2019</t>
        </is>
      </c>
      <c r="B95" s="1" t="n">
        <v>43628</v>
      </c>
      <c r="C95" s="1" t="n">
        <v>45764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28948-2019</t>
        </is>
      </c>
      <c r="B96" s="1" t="n">
        <v>43628</v>
      </c>
      <c r="C96" s="1" t="n">
        <v>45764</v>
      </c>
      <c r="D96" t="inlineStr">
        <is>
          <t>DALARNAS LÄN</t>
        </is>
      </c>
      <c r="E96" t="inlineStr">
        <is>
          <t>RÄTTVIK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29880-2019</t>
        </is>
      </c>
      <c r="B97" s="1" t="n">
        <v>43629</v>
      </c>
      <c r="C97" s="1" t="n">
        <v>45764</v>
      </c>
      <c r="D97" t="inlineStr">
        <is>
          <t>DALARNAS LÄN</t>
        </is>
      </c>
      <c r="E97" t="inlineStr">
        <is>
          <t>RÄTTVIK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29638-2019</t>
        </is>
      </c>
      <c r="B98" s="1" t="n">
        <v>43630</v>
      </c>
      <c r="C98" s="1" t="n">
        <v>45764</v>
      </c>
      <c r="D98" t="inlineStr">
        <is>
          <t>DALARNAS LÄN</t>
        </is>
      </c>
      <c r="E98" t="inlineStr">
        <is>
          <t>RÄTTVIK</t>
        </is>
      </c>
      <c r="G98" t="n">
        <v>10.3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29842-2019</t>
        </is>
      </c>
      <c r="B99" s="1" t="n">
        <v>43633</v>
      </c>
      <c r="C99" s="1" t="n">
        <v>45764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30250-2019</t>
        </is>
      </c>
      <c r="B100" s="1" t="n">
        <v>43633</v>
      </c>
      <c r="C100" s="1" t="n">
        <v>45764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31549-2019</t>
        </is>
      </c>
      <c r="B101" s="1" t="n">
        <v>43641</v>
      </c>
      <c r="C101" s="1" t="n">
        <v>45764</v>
      </c>
      <c r="D101" t="inlineStr">
        <is>
          <t>DALARNAS LÄN</t>
        </is>
      </c>
      <c r="E101" t="inlineStr">
        <is>
          <t>RÄTTVIK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32158-2019</t>
        </is>
      </c>
      <c r="B102" s="1" t="n">
        <v>43643</v>
      </c>
      <c r="C102" s="1" t="n">
        <v>45764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32157-2019</t>
        </is>
      </c>
      <c r="B103" s="1" t="n">
        <v>43643</v>
      </c>
      <c r="C103" s="1" t="n">
        <v>45764</v>
      </c>
      <c r="D103" t="inlineStr">
        <is>
          <t>DALARNAS LÄN</t>
        </is>
      </c>
      <c r="E103" t="inlineStr">
        <is>
          <t>RÄTTVIK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34149-2019</t>
        </is>
      </c>
      <c r="B104" s="1" t="n">
        <v>43647</v>
      </c>
      <c r="C104" s="1" t="n">
        <v>45764</v>
      </c>
      <c r="D104" t="inlineStr">
        <is>
          <t>DALARNAS LÄN</t>
        </is>
      </c>
      <c r="E104" t="inlineStr">
        <is>
          <t>RÄTTVIK</t>
        </is>
      </c>
      <c r="F104" t="inlineStr">
        <is>
          <t>Kommuner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35215-2019</t>
        </is>
      </c>
      <c r="B105" s="1" t="n">
        <v>43651</v>
      </c>
      <c r="C105" s="1" t="n">
        <v>45764</v>
      </c>
      <c r="D105" t="inlineStr">
        <is>
          <t>DALARNAS LÄN</t>
        </is>
      </c>
      <c r="E105" t="inlineStr">
        <is>
          <t>RÄTTVIK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35211-2019</t>
        </is>
      </c>
      <c r="B106" s="1" t="n">
        <v>43651</v>
      </c>
      <c r="C106" s="1" t="n">
        <v>45764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34329-2019</t>
        </is>
      </c>
      <c r="B107" s="1" t="n">
        <v>43656</v>
      </c>
      <c r="C107" s="1" t="n">
        <v>45764</v>
      </c>
      <c r="D107" t="inlineStr">
        <is>
          <t>DALARNAS LÄN</t>
        </is>
      </c>
      <c r="E107" t="inlineStr">
        <is>
          <t>RÄTTVIK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36028-2019</t>
        </is>
      </c>
      <c r="B108" s="1" t="n">
        <v>43657</v>
      </c>
      <c r="C108" s="1" t="n">
        <v>45764</v>
      </c>
      <c r="D108" t="inlineStr">
        <is>
          <t>DALARNAS LÄN</t>
        </is>
      </c>
      <c r="E108" t="inlineStr">
        <is>
          <t>RÄTTVIK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36382-2019</t>
        </is>
      </c>
      <c r="B109" s="1" t="n">
        <v>43662</v>
      </c>
      <c r="C109" s="1" t="n">
        <v>45764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36380-2019</t>
        </is>
      </c>
      <c r="B110" s="1" t="n">
        <v>43662</v>
      </c>
      <c r="C110" s="1" t="n">
        <v>45764</v>
      </c>
      <c r="D110" t="inlineStr">
        <is>
          <t>DALARNAS LÄN</t>
        </is>
      </c>
      <c r="E110" t="inlineStr">
        <is>
          <t>RÄTTVIK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35410-2019</t>
        </is>
      </c>
      <c r="B111" s="1" t="n">
        <v>43663</v>
      </c>
      <c r="C111" s="1" t="n">
        <v>45764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HYPERLINK("https://klasma.github.io/Logging_2031/knärot/A 35410-2019 karta knärot.png", "A 35410-2019")</f>
        <v/>
      </c>
      <c r="V111">
        <f>HYPERLINK("https://klasma.github.io/Logging_2031/klagomål/A 35410-2019 FSC-klagomål.docx", "A 35410-2019")</f>
        <v/>
      </c>
      <c r="W111">
        <f>HYPERLINK("https://klasma.github.io/Logging_2031/klagomålsmail/A 35410-2019 FSC-klagomål mail.docx", "A 35410-2019")</f>
        <v/>
      </c>
      <c r="X111">
        <f>HYPERLINK("https://klasma.github.io/Logging_2031/tillsyn/A 35410-2019 tillsynsbegäran.docx", "A 35410-2019")</f>
        <v/>
      </c>
      <c r="Y111">
        <f>HYPERLINK("https://klasma.github.io/Logging_2031/tillsynsmail/A 35410-2019 tillsynsbegäran mail.docx", "A 35410-2019")</f>
        <v/>
      </c>
    </row>
    <row r="112" ht="15" customHeight="1">
      <c r="A112" t="inlineStr">
        <is>
          <t>A 35418-2019</t>
        </is>
      </c>
      <c r="B112" s="1" t="n">
        <v>43663</v>
      </c>
      <c r="C112" s="1" t="n">
        <v>45764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35423-2019</t>
        </is>
      </c>
      <c r="B113" s="1" t="n">
        <v>43663</v>
      </c>
      <c r="C113" s="1" t="n">
        <v>45764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35408-2019</t>
        </is>
      </c>
      <c r="B114" s="1" t="n">
        <v>43663</v>
      </c>
      <c r="C114" s="1" t="n">
        <v>45764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37678-2019</t>
        </is>
      </c>
      <c r="B115" s="1" t="n">
        <v>43682</v>
      </c>
      <c r="C115" s="1" t="n">
        <v>45764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38748-2019</t>
        </is>
      </c>
      <c r="B116" s="1" t="n">
        <v>43686</v>
      </c>
      <c r="C116" s="1" t="n">
        <v>45764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39556-2019</t>
        </is>
      </c>
      <c r="B117" s="1" t="n">
        <v>43686</v>
      </c>
      <c r="C117" s="1" t="n">
        <v>45764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39005-2019</t>
        </is>
      </c>
      <c r="B118" s="1" t="n">
        <v>43689</v>
      </c>
      <c r="C118" s="1" t="n">
        <v>45764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40304-2019</t>
        </is>
      </c>
      <c r="B119" s="1" t="n">
        <v>43690</v>
      </c>
      <c r="C119" s="1" t="n">
        <v>45764</v>
      </c>
      <c r="D119" t="inlineStr">
        <is>
          <t>DALARNAS LÄN</t>
        </is>
      </c>
      <c r="E119" t="inlineStr">
        <is>
          <t>RÄTTVIK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40853-2019</t>
        </is>
      </c>
      <c r="B120" s="1" t="n">
        <v>43697</v>
      </c>
      <c r="C120" s="1" t="n">
        <v>45764</v>
      </c>
      <c r="D120" t="inlineStr">
        <is>
          <t>DALARNAS LÄN</t>
        </is>
      </c>
      <c r="E120" t="inlineStr">
        <is>
          <t>RÄTTVIK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42846-2019</t>
        </is>
      </c>
      <c r="B121" s="1" t="n">
        <v>43700</v>
      </c>
      <c r="C121" s="1" t="n">
        <v>45764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42949-2019</t>
        </is>
      </c>
      <c r="B122" s="1" t="n">
        <v>43705</v>
      </c>
      <c r="C122" s="1" t="n">
        <v>45764</v>
      </c>
      <c r="D122" t="inlineStr">
        <is>
          <t>DALARNAS LÄN</t>
        </is>
      </c>
      <c r="E122" t="inlineStr">
        <is>
          <t>RÄTTVIK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44376-2019</t>
        </is>
      </c>
      <c r="B123" s="1" t="n">
        <v>43711</v>
      </c>
      <c r="C123" s="1" t="n">
        <v>45764</v>
      </c>
      <c r="D123" t="inlineStr">
        <is>
          <t>DALARNAS LÄN</t>
        </is>
      </c>
      <c r="E123" t="inlineStr">
        <is>
          <t>RÄTTVIK</t>
        </is>
      </c>
      <c r="F123" t="inlineStr">
        <is>
          <t>Bergvik skog väst AB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44697-2019</t>
        </is>
      </c>
      <c r="B124" s="1" t="n">
        <v>43712</v>
      </c>
      <c r="C124" s="1" t="n">
        <v>45764</v>
      </c>
      <c r="D124" t="inlineStr">
        <is>
          <t>DALARNAS LÄN</t>
        </is>
      </c>
      <c r="E124" t="inlineStr">
        <is>
          <t>RÄTTVIK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45991-2019</t>
        </is>
      </c>
      <c r="B125" s="1" t="n">
        <v>43713</v>
      </c>
      <c r="C125" s="1" t="n">
        <v>45764</v>
      </c>
      <c r="D125" t="inlineStr">
        <is>
          <t>DALARNAS LÄN</t>
        </is>
      </c>
      <c r="E125" t="inlineStr">
        <is>
          <t>RÄTTVIK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46214-2019</t>
        </is>
      </c>
      <c r="B126" s="1" t="n">
        <v>43714</v>
      </c>
      <c r="C126" s="1" t="n">
        <v>45764</v>
      </c>
      <c r="D126" t="inlineStr">
        <is>
          <t>DALARNAS LÄN</t>
        </is>
      </c>
      <c r="E126" t="inlineStr">
        <is>
          <t>RÄTTVIK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46213-2019</t>
        </is>
      </c>
      <c r="B127" s="1" t="n">
        <v>43714</v>
      </c>
      <c r="C127" s="1" t="n">
        <v>45764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46525-2019</t>
        </is>
      </c>
      <c r="B128" s="1" t="n">
        <v>43717</v>
      </c>
      <c r="C128" s="1" t="n">
        <v>45764</v>
      </c>
      <c r="D128" t="inlineStr">
        <is>
          <t>DALARNAS LÄN</t>
        </is>
      </c>
      <c r="E128" t="inlineStr">
        <is>
          <t>RÄTTVIK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45598-2019</t>
        </is>
      </c>
      <c r="B129" s="1" t="n">
        <v>43718</v>
      </c>
      <c r="C129" s="1" t="n">
        <v>45764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47036-2019</t>
        </is>
      </c>
      <c r="B130" s="1" t="n">
        <v>43720</v>
      </c>
      <c r="C130" s="1" t="n">
        <v>45764</v>
      </c>
      <c r="D130" t="inlineStr">
        <is>
          <t>DALARNAS LÄN</t>
        </is>
      </c>
      <c r="E130" t="inlineStr">
        <is>
          <t>RÄTTVIK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47650-2019</t>
        </is>
      </c>
      <c r="B131" s="1" t="n">
        <v>43724</v>
      </c>
      <c r="C131" s="1" t="n">
        <v>45764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48518-2019</t>
        </is>
      </c>
      <c r="B132" s="1" t="n">
        <v>43726</v>
      </c>
      <c r="C132" s="1" t="n">
        <v>45764</v>
      </c>
      <c r="D132" t="inlineStr">
        <is>
          <t>DALARNAS LÄN</t>
        </is>
      </c>
      <c r="E132" t="inlineStr">
        <is>
          <t>RÄTTVIK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48541-2019</t>
        </is>
      </c>
      <c r="B133" s="1" t="n">
        <v>43727</v>
      </c>
      <c r="C133" s="1" t="n">
        <v>45764</v>
      </c>
      <c r="D133" t="inlineStr">
        <is>
          <t>DALARNAS LÄN</t>
        </is>
      </c>
      <c r="E133" t="inlineStr">
        <is>
          <t>RÄTTVIK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48548-2019</t>
        </is>
      </c>
      <c r="B134" s="1" t="n">
        <v>43727</v>
      </c>
      <c r="C134" s="1" t="n">
        <v>45764</v>
      </c>
      <c r="D134" t="inlineStr">
        <is>
          <t>DALARNAS LÄN</t>
        </is>
      </c>
      <c r="E134" t="inlineStr">
        <is>
          <t>RÄTTVIK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48537-2019</t>
        </is>
      </c>
      <c r="B135" s="1" t="n">
        <v>43727</v>
      </c>
      <c r="C135" s="1" t="n">
        <v>45764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51369-2019</t>
        </is>
      </c>
      <c r="B136" s="1" t="n">
        <v>43732</v>
      </c>
      <c r="C136" s="1" t="n">
        <v>45764</v>
      </c>
      <c r="D136" t="inlineStr">
        <is>
          <t>DALARNAS LÄN</t>
        </is>
      </c>
      <c r="E136" t="inlineStr">
        <is>
          <t>RÄTTVIK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50213-2019</t>
        </is>
      </c>
      <c r="B137" s="1" t="n">
        <v>43734</v>
      </c>
      <c r="C137" s="1" t="n">
        <v>45764</v>
      </c>
      <c r="D137" t="inlineStr">
        <is>
          <t>DALARNAS LÄN</t>
        </is>
      </c>
      <c r="E137" t="inlineStr">
        <is>
          <t>RÄTTVIK</t>
        </is>
      </c>
      <c r="F137" t="inlineStr">
        <is>
          <t>Kyrkan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51773-2019</t>
        </is>
      </c>
      <c r="B138" s="1" t="n">
        <v>43734</v>
      </c>
      <c r="C138" s="1" t="n">
        <v>45764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50362-2019</t>
        </is>
      </c>
      <c r="B139" s="1" t="n">
        <v>43734</v>
      </c>
      <c r="C139" s="1" t="n">
        <v>45764</v>
      </c>
      <c r="D139" t="inlineStr">
        <is>
          <t>DALARNAS LÄN</t>
        </is>
      </c>
      <c r="E139" t="inlineStr">
        <is>
          <t>RÄTTVIK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50460-2019</t>
        </is>
      </c>
      <c r="B140" s="1" t="n">
        <v>43735</v>
      </c>
      <c r="C140" s="1" t="n">
        <v>45764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50471-2019</t>
        </is>
      </c>
      <c r="B141" s="1" t="n">
        <v>43735</v>
      </c>
      <c r="C141" s="1" t="n">
        <v>45764</v>
      </c>
      <c r="D141" t="inlineStr">
        <is>
          <t>DALARNAS LÄN</t>
        </is>
      </c>
      <c r="E141" t="inlineStr">
        <is>
          <t>RÄTTVIK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51526-2019</t>
        </is>
      </c>
      <c r="B142" s="1" t="n">
        <v>43740</v>
      </c>
      <c r="C142" s="1" t="n">
        <v>45764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51536-2019</t>
        </is>
      </c>
      <c r="B143" s="1" t="n">
        <v>43740</v>
      </c>
      <c r="C143" s="1" t="n">
        <v>45764</v>
      </c>
      <c r="D143" t="inlineStr">
        <is>
          <t>DALARNAS LÄN</t>
        </is>
      </c>
      <c r="E143" t="inlineStr">
        <is>
          <t>RÄTTVIK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52865-2019</t>
        </is>
      </c>
      <c r="B144" s="1" t="n">
        <v>43740</v>
      </c>
      <c r="C144" s="1" t="n">
        <v>45764</v>
      </c>
      <c r="D144" t="inlineStr">
        <is>
          <t>DALARNAS LÄN</t>
        </is>
      </c>
      <c r="E144" t="inlineStr">
        <is>
          <t>RÄTTVIK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53060-2019</t>
        </is>
      </c>
      <c r="B145" s="1" t="n">
        <v>43740</v>
      </c>
      <c r="C145" s="1" t="n">
        <v>45764</v>
      </c>
      <c r="D145" t="inlineStr">
        <is>
          <t>DALARNAS LÄN</t>
        </is>
      </c>
      <c r="E145" t="inlineStr">
        <is>
          <t>RÄTTVIK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52221-2019</t>
        </is>
      </c>
      <c r="B146" s="1" t="n">
        <v>43742</v>
      </c>
      <c r="C146" s="1" t="n">
        <v>45764</v>
      </c>
      <c r="D146" t="inlineStr">
        <is>
          <t>DALARNAS LÄN</t>
        </is>
      </c>
      <c r="E146" t="inlineStr">
        <is>
          <t>RÄTTVIK</t>
        </is>
      </c>
      <c r="F146" t="inlineStr">
        <is>
          <t>Bergvik skog väst AB</t>
        </is>
      </c>
      <c r="G146" t="n">
        <v>21.2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53998-2019</t>
        </is>
      </c>
      <c r="B147" s="1" t="n">
        <v>43742</v>
      </c>
      <c r="C147" s="1" t="n">
        <v>45764</v>
      </c>
      <c r="D147" t="inlineStr">
        <is>
          <t>DALARNAS LÄN</t>
        </is>
      </c>
      <c r="E147" t="inlineStr">
        <is>
          <t>RÄTTVIK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53099-2019</t>
        </is>
      </c>
      <c r="B148" s="1" t="n">
        <v>43747</v>
      </c>
      <c r="C148" s="1" t="n">
        <v>45764</v>
      </c>
      <c r="D148" t="inlineStr">
        <is>
          <t>DALARNAS LÄN</t>
        </is>
      </c>
      <c r="E148" t="inlineStr">
        <is>
          <t>RÄTTVIK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56609-2019</t>
        </is>
      </c>
      <c r="B149" s="1" t="n">
        <v>43758</v>
      </c>
      <c r="C149" s="1" t="n">
        <v>45764</v>
      </c>
      <c r="D149" t="inlineStr">
        <is>
          <t>DALARNAS LÄN</t>
        </is>
      </c>
      <c r="E149" t="inlineStr">
        <is>
          <t>RÄTTVIK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57663-2019</t>
        </is>
      </c>
      <c r="B150" s="1" t="n">
        <v>43761</v>
      </c>
      <c r="C150" s="1" t="n">
        <v>45764</v>
      </c>
      <c r="D150" t="inlineStr">
        <is>
          <t>DALARNAS LÄN</t>
        </is>
      </c>
      <c r="E150" t="inlineStr">
        <is>
          <t>RÄTTVIK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58514-2019</t>
        </is>
      </c>
      <c r="B151" s="1" t="n">
        <v>43766</v>
      </c>
      <c r="C151" s="1" t="n">
        <v>45764</v>
      </c>
      <c r="D151" t="inlineStr">
        <is>
          <t>DALARNAS LÄN</t>
        </is>
      </c>
      <c r="E151" t="inlineStr">
        <is>
          <t>RÄTTVIK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57490-2019</t>
        </is>
      </c>
      <c r="B152" s="1" t="n">
        <v>43767</v>
      </c>
      <c r="C152" s="1" t="n">
        <v>45764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57951-2019</t>
        </is>
      </c>
      <c r="B153" s="1" t="n">
        <v>43769</v>
      </c>
      <c r="C153" s="1" t="n">
        <v>45764</v>
      </c>
      <c r="D153" t="inlineStr">
        <is>
          <t>DALARNAS LÄN</t>
        </is>
      </c>
      <c r="E153" t="inlineStr">
        <is>
          <t>RÄTTVIK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59171-2019</t>
        </is>
      </c>
      <c r="B154" s="1" t="n">
        <v>43770</v>
      </c>
      <c r="C154" s="1" t="n">
        <v>45764</v>
      </c>
      <c r="D154" t="inlineStr">
        <is>
          <t>DALARNAS LÄN</t>
        </is>
      </c>
      <c r="E154" t="inlineStr">
        <is>
          <t>RÄTTVIK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59176-2019</t>
        </is>
      </c>
      <c r="B155" s="1" t="n">
        <v>43770</v>
      </c>
      <c r="C155" s="1" t="n">
        <v>45764</v>
      </c>
      <c r="D155" t="inlineStr">
        <is>
          <t>DALARNAS LÄN</t>
        </is>
      </c>
      <c r="E155" t="inlineStr">
        <is>
          <t>RÄTTVIK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59301-2019</t>
        </is>
      </c>
      <c r="B156" s="1" t="n">
        <v>43773</v>
      </c>
      <c r="C156" s="1" t="n">
        <v>45764</v>
      </c>
      <c r="D156" t="inlineStr">
        <is>
          <t>DALARNAS LÄN</t>
        </is>
      </c>
      <c r="E156" t="inlineStr">
        <is>
          <t>RÄTTVIK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59816-2019</t>
        </is>
      </c>
      <c r="B157" s="1" t="n">
        <v>43775</v>
      </c>
      <c r="C157" s="1" t="n">
        <v>45764</v>
      </c>
      <c r="D157" t="inlineStr">
        <is>
          <t>DALARNAS LÄN</t>
        </is>
      </c>
      <c r="E157" t="inlineStr">
        <is>
          <t>RÄTTVIK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60578-2019</t>
        </is>
      </c>
      <c r="B158" s="1" t="n">
        <v>43776</v>
      </c>
      <c r="C158" s="1" t="n">
        <v>45764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60474-2019</t>
        </is>
      </c>
      <c r="B159" s="1" t="n">
        <v>43776</v>
      </c>
      <c r="C159" s="1" t="n">
        <v>45764</v>
      </c>
      <c r="D159" t="inlineStr">
        <is>
          <t>DALARNAS LÄN</t>
        </is>
      </c>
      <c r="E159" t="inlineStr">
        <is>
          <t>RÄTTVIK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60575-2019</t>
        </is>
      </c>
      <c r="B160" s="1" t="n">
        <v>43776</v>
      </c>
      <c r="C160" s="1" t="n">
        <v>45764</v>
      </c>
      <c r="D160" t="inlineStr">
        <is>
          <t>DALARNAS LÄN</t>
        </is>
      </c>
      <c r="E160" t="inlineStr">
        <is>
          <t>RÄTTVIK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60473-2019</t>
        </is>
      </c>
      <c r="B161" s="1" t="n">
        <v>43776</v>
      </c>
      <c r="C161" s="1" t="n">
        <v>45764</v>
      </c>
      <c r="D161" t="inlineStr">
        <is>
          <t>DALARNAS LÄN</t>
        </is>
      </c>
      <c r="E161" t="inlineStr">
        <is>
          <t>RÄTTVIK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60467-2019</t>
        </is>
      </c>
      <c r="B162" s="1" t="n">
        <v>43780</v>
      </c>
      <c r="C162" s="1" t="n">
        <v>45764</v>
      </c>
      <c r="D162" t="inlineStr">
        <is>
          <t>DALARNAS LÄN</t>
        </is>
      </c>
      <c r="E162" t="inlineStr">
        <is>
          <t>RÄTTVIK</t>
        </is>
      </c>
      <c r="F162" t="inlineStr">
        <is>
          <t>Övriga statliga verk och myndigheter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61112-2019</t>
        </is>
      </c>
      <c r="B163" s="1" t="n">
        <v>43780</v>
      </c>
      <c r="C163" s="1" t="n">
        <v>45764</v>
      </c>
      <c r="D163" t="inlineStr">
        <is>
          <t>DALARNAS LÄN</t>
        </is>
      </c>
      <c r="E163" t="inlineStr">
        <is>
          <t>RÄTTVIK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61115-2019</t>
        </is>
      </c>
      <c r="B164" s="1" t="n">
        <v>43780</v>
      </c>
      <c r="C164" s="1" t="n">
        <v>45764</v>
      </c>
      <c r="D164" t="inlineStr">
        <is>
          <t>DALARNAS LÄN</t>
        </is>
      </c>
      <c r="E164" t="inlineStr">
        <is>
          <t>RÄTTVIK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61117-2019</t>
        </is>
      </c>
      <c r="B165" s="1" t="n">
        <v>43780</v>
      </c>
      <c r="C165" s="1" t="n">
        <v>45764</v>
      </c>
      <c r="D165" t="inlineStr">
        <is>
          <t>DALARNAS LÄN</t>
        </is>
      </c>
      <c r="E165" t="inlineStr">
        <is>
          <t>RÄTTVIK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61257-2019</t>
        </is>
      </c>
      <c r="B166" s="1" t="n">
        <v>43783</v>
      </c>
      <c r="C166" s="1" t="n">
        <v>45764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62807-2019</t>
        </is>
      </c>
      <c r="B167" s="1" t="n">
        <v>43784</v>
      </c>
      <c r="C167" s="1" t="n">
        <v>45764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62738-2019</t>
        </is>
      </c>
      <c r="B168" s="1" t="n">
        <v>43786</v>
      </c>
      <c r="C168" s="1" t="n">
        <v>45764</v>
      </c>
      <c r="D168" t="inlineStr">
        <is>
          <t>DALARNAS LÄN</t>
        </is>
      </c>
      <c r="E168" t="inlineStr">
        <is>
          <t>RÄTTVIK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65199-2019</t>
        </is>
      </c>
      <c r="B169" s="1" t="n">
        <v>43797</v>
      </c>
      <c r="C169" s="1" t="n">
        <v>45764</v>
      </c>
      <c r="D169" t="inlineStr">
        <is>
          <t>DALARNAS LÄN</t>
        </is>
      </c>
      <c r="E169" t="inlineStr">
        <is>
          <t>RÄTTVIK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66771-2019</t>
        </is>
      </c>
      <c r="B170" s="1" t="n">
        <v>43804</v>
      </c>
      <c r="C170" s="1" t="n">
        <v>45764</v>
      </c>
      <c r="D170" t="inlineStr">
        <is>
          <t>DALARNAS LÄN</t>
        </is>
      </c>
      <c r="E170" t="inlineStr">
        <is>
          <t>RÄTTVIK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67053-2019</t>
        </is>
      </c>
      <c r="B171" s="1" t="n">
        <v>43805</v>
      </c>
      <c r="C171" s="1" t="n">
        <v>45764</v>
      </c>
      <c r="D171" t="inlineStr">
        <is>
          <t>DALARNAS LÄN</t>
        </is>
      </c>
      <c r="E171" t="inlineStr">
        <is>
          <t>RÄTTVIK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67049-2019</t>
        </is>
      </c>
      <c r="B172" s="1" t="n">
        <v>43805</v>
      </c>
      <c r="C172" s="1" t="n">
        <v>45764</v>
      </c>
      <c r="D172" t="inlineStr">
        <is>
          <t>DALARNAS LÄN</t>
        </is>
      </c>
      <c r="E172" t="inlineStr">
        <is>
          <t>RÄTTVIK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67308-2019</t>
        </is>
      </c>
      <c r="B173" s="1" t="n">
        <v>43812</v>
      </c>
      <c r="C173" s="1" t="n">
        <v>45764</v>
      </c>
      <c r="D173" t="inlineStr">
        <is>
          <t>DALARNAS LÄN</t>
        </is>
      </c>
      <c r="E173" t="inlineStr">
        <is>
          <t>RÄTTVIK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67404-2019</t>
        </is>
      </c>
      <c r="B174" s="1" t="n">
        <v>43812</v>
      </c>
      <c r="C174" s="1" t="n">
        <v>45764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68806-2019</t>
        </is>
      </c>
      <c r="B175" s="1" t="n">
        <v>43815</v>
      </c>
      <c r="C175" s="1" t="n">
        <v>45764</v>
      </c>
      <c r="D175" t="inlineStr">
        <is>
          <t>DALARNAS LÄN</t>
        </is>
      </c>
      <c r="E175" t="inlineStr">
        <is>
          <t>RÄTTVIK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67503-2019</t>
        </is>
      </c>
      <c r="B176" s="1" t="n">
        <v>43815</v>
      </c>
      <c r="C176" s="1" t="n">
        <v>45764</v>
      </c>
      <c r="D176" t="inlineStr">
        <is>
          <t>DALARNAS LÄN</t>
        </is>
      </c>
      <c r="E176" t="inlineStr">
        <is>
          <t>RÄTTVIK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69097-2019</t>
        </is>
      </c>
      <c r="B177" s="1" t="n">
        <v>43829</v>
      </c>
      <c r="C177" s="1" t="n">
        <v>45764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1771-2020</t>
        </is>
      </c>
      <c r="B178" s="1" t="n">
        <v>43833</v>
      </c>
      <c r="C178" s="1" t="n">
        <v>45764</v>
      </c>
      <c r="D178" t="inlineStr">
        <is>
          <t>DALARNAS LÄN</t>
        </is>
      </c>
      <c r="E178" t="inlineStr">
        <is>
          <t>RÄTTVIK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449-2020</t>
        </is>
      </c>
      <c r="B179" s="1" t="n">
        <v>43837</v>
      </c>
      <c r="C179" s="1" t="n">
        <v>45764</v>
      </c>
      <c r="D179" t="inlineStr">
        <is>
          <t>DALARNAS LÄN</t>
        </is>
      </c>
      <c r="E179" t="inlineStr">
        <is>
          <t>RÄTTVIK</t>
        </is>
      </c>
      <c r="G179" t="n">
        <v>18.5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946-2020</t>
        </is>
      </c>
      <c r="B180" s="1" t="n">
        <v>43839</v>
      </c>
      <c r="C180" s="1" t="n">
        <v>45764</v>
      </c>
      <c r="D180" t="inlineStr">
        <is>
          <t>DALARNAS LÄN</t>
        </is>
      </c>
      <c r="E180" t="inlineStr">
        <is>
          <t>RÄTTVIK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1137-2020</t>
        </is>
      </c>
      <c r="B181" s="1" t="n">
        <v>43840</v>
      </c>
      <c r="C181" s="1" t="n">
        <v>45764</v>
      </c>
      <c r="D181" t="inlineStr">
        <is>
          <t>DALARNAS LÄN</t>
        </is>
      </c>
      <c r="E181" t="inlineStr">
        <is>
          <t>RÄTTVIK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2556-2020</t>
        </is>
      </c>
      <c r="B182" s="1" t="n">
        <v>43843</v>
      </c>
      <c r="C182" s="1" t="n">
        <v>45764</v>
      </c>
      <c r="D182" t="inlineStr">
        <is>
          <t>DALARNAS LÄN</t>
        </is>
      </c>
      <c r="E182" t="inlineStr">
        <is>
          <t>RÄTTVIK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3404-2020</t>
        </is>
      </c>
      <c r="B183" s="1" t="n">
        <v>43845</v>
      </c>
      <c r="C183" s="1" t="n">
        <v>45764</v>
      </c>
      <c r="D183" t="inlineStr">
        <is>
          <t>DALARNAS LÄN</t>
        </is>
      </c>
      <c r="E183" t="inlineStr">
        <is>
          <t>RÄTTVIK</t>
        </is>
      </c>
      <c r="F183" t="inlineStr">
        <is>
          <t>Kommuner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4485-2020</t>
        </is>
      </c>
      <c r="B184" s="1" t="n">
        <v>43850</v>
      </c>
      <c r="C184" s="1" t="n">
        <v>45764</v>
      </c>
      <c r="D184" t="inlineStr">
        <is>
          <t>DALARNAS LÄN</t>
        </is>
      </c>
      <c r="E184" t="inlineStr">
        <is>
          <t>RÄTTVIK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3942-2020</t>
        </is>
      </c>
      <c r="B185" s="1" t="n">
        <v>43854</v>
      </c>
      <c r="C185" s="1" t="n">
        <v>45764</v>
      </c>
      <c r="D185" t="inlineStr">
        <is>
          <t>DALARNAS LÄN</t>
        </is>
      </c>
      <c r="E185" t="inlineStr">
        <is>
          <t>RÄTTVIK</t>
        </is>
      </c>
      <c r="F185" t="inlineStr">
        <is>
          <t>Bergvik skog väst AB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4036-2020</t>
        </is>
      </c>
      <c r="B186" s="1" t="n">
        <v>43857</v>
      </c>
      <c r="C186" s="1" t="n">
        <v>45764</v>
      </c>
      <c r="D186" t="inlineStr">
        <is>
          <t>DALARNAS LÄN</t>
        </is>
      </c>
      <c r="E186" t="inlineStr">
        <is>
          <t>RÄTTVIK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4280-2020</t>
        </is>
      </c>
      <c r="B187" s="1" t="n">
        <v>43857</v>
      </c>
      <c r="C187" s="1" t="n">
        <v>45764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5311-2020</t>
        </is>
      </c>
      <c r="B188" s="1" t="n">
        <v>43857</v>
      </c>
      <c r="C188" s="1" t="n">
        <v>45764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5761-2020</t>
        </is>
      </c>
      <c r="B189" s="1" t="n">
        <v>43864</v>
      </c>
      <c r="C189" s="1" t="n">
        <v>45764</v>
      </c>
      <c r="D189" t="inlineStr">
        <is>
          <t>DALARNAS LÄN</t>
        </is>
      </c>
      <c r="E189" t="inlineStr">
        <is>
          <t>RÄTTVIK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5755-2020</t>
        </is>
      </c>
      <c r="B190" s="1" t="n">
        <v>43864</v>
      </c>
      <c r="C190" s="1" t="n">
        <v>45764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6034-2020</t>
        </is>
      </c>
      <c r="B191" s="1" t="n">
        <v>43864</v>
      </c>
      <c r="C191" s="1" t="n">
        <v>45764</v>
      </c>
      <c r="D191" t="inlineStr">
        <is>
          <t>DALARNAS LÄN</t>
        </is>
      </c>
      <c r="E191" t="inlineStr">
        <is>
          <t>RÄTTVIK</t>
        </is>
      </c>
      <c r="F191" t="inlineStr">
        <is>
          <t>Kommuner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6772-2020</t>
        </is>
      </c>
      <c r="B192" s="1" t="n">
        <v>43867</v>
      </c>
      <c r="C192" s="1" t="n">
        <v>45764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7402-2020</t>
        </is>
      </c>
      <c r="B193" s="1" t="n">
        <v>43871</v>
      </c>
      <c r="C193" s="1" t="n">
        <v>45764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7519-2020</t>
        </is>
      </c>
      <c r="B194" s="1" t="n">
        <v>43872</v>
      </c>
      <c r="C194" s="1" t="n">
        <v>45764</v>
      </c>
      <c r="D194" t="inlineStr">
        <is>
          <t>DALARNAS LÄN</t>
        </is>
      </c>
      <c r="E194" t="inlineStr">
        <is>
          <t>RÄTTVIK</t>
        </is>
      </c>
      <c r="F194" t="inlineStr">
        <is>
          <t>Kyrkan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8030-2020</t>
        </is>
      </c>
      <c r="B195" s="1" t="n">
        <v>43873</v>
      </c>
      <c r="C195" s="1" t="n">
        <v>45764</v>
      </c>
      <c r="D195" t="inlineStr">
        <is>
          <t>DALARNAS LÄN</t>
        </is>
      </c>
      <c r="E195" t="inlineStr">
        <is>
          <t>RÄTTVIK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8216-2020</t>
        </is>
      </c>
      <c r="B196" s="1" t="n">
        <v>43873</v>
      </c>
      <c r="C196" s="1" t="n">
        <v>45764</v>
      </c>
      <c r="D196" t="inlineStr">
        <is>
          <t>DALARNAS LÄN</t>
        </is>
      </c>
      <c r="E196" t="inlineStr">
        <is>
          <t>RÄTTVIK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8212-2020</t>
        </is>
      </c>
      <c r="B197" s="1" t="n">
        <v>43873</v>
      </c>
      <c r="C197" s="1" t="n">
        <v>45764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8204-2020</t>
        </is>
      </c>
      <c r="B198" s="1" t="n">
        <v>43874</v>
      </c>
      <c r="C198" s="1" t="n">
        <v>45764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8704-2020</t>
        </is>
      </c>
      <c r="B199" s="1" t="n">
        <v>43878</v>
      </c>
      <c r="C199" s="1" t="n">
        <v>45764</v>
      </c>
      <c r="D199" t="inlineStr">
        <is>
          <t>DALARNAS LÄN</t>
        </is>
      </c>
      <c r="E199" t="inlineStr">
        <is>
          <t>RÄTTVIK</t>
        </is>
      </c>
      <c r="G199" t="n">
        <v>11.1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9161-2020</t>
        </is>
      </c>
      <c r="B200" s="1" t="n">
        <v>43879</v>
      </c>
      <c r="C200" s="1" t="n">
        <v>45764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9466-2020</t>
        </is>
      </c>
      <c r="B201" s="1" t="n">
        <v>43880</v>
      </c>
      <c r="C201" s="1" t="n">
        <v>45764</v>
      </c>
      <c r="D201" t="inlineStr">
        <is>
          <t>DALARNAS LÄN</t>
        </is>
      </c>
      <c r="E201" t="inlineStr">
        <is>
          <t>RÄTTVIK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11863-2020</t>
        </is>
      </c>
      <c r="B202" s="1" t="n">
        <v>43894</v>
      </c>
      <c r="C202" s="1" t="n">
        <v>45764</v>
      </c>
      <c r="D202" t="inlineStr">
        <is>
          <t>DALARNAS LÄN</t>
        </is>
      </c>
      <c r="E202" t="inlineStr">
        <is>
          <t>RÄTTVIK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11999-2020</t>
        </is>
      </c>
      <c r="B203" s="1" t="n">
        <v>43894</v>
      </c>
      <c r="C203" s="1" t="n">
        <v>45764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14737-2020</t>
        </is>
      </c>
      <c r="B204" s="1" t="n">
        <v>43902</v>
      </c>
      <c r="C204" s="1" t="n">
        <v>45764</v>
      </c>
      <c r="D204" t="inlineStr">
        <is>
          <t>DALARNAS LÄN</t>
        </is>
      </c>
      <c r="E204" t="inlineStr">
        <is>
          <t>RÄTTVIK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16187-2020</t>
        </is>
      </c>
      <c r="B205" s="1" t="n">
        <v>43917</v>
      </c>
      <c r="C205" s="1" t="n">
        <v>45764</v>
      </c>
      <c r="D205" t="inlineStr">
        <is>
          <t>DALARNAS LÄN</t>
        </is>
      </c>
      <c r="E205" t="inlineStr">
        <is>
          <t>RÄTTVIK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16189-2020</t>
        </is>
      </c>
      <c r="B206" s="1" t="n">
        <v>43917</v>
      </c>
      <c r="C206" s="1" t="n">
        <v>45764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16710-2020</t>
        </is>
      </c>
      <c r="B207" s="1" t="n">
        <v>43920</v>
      </c>
      <c r="C207" s="1" t="n">
        <v>45764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16723-2020</t>
        </is>
      </c>
      <c r="B208" s="1" t="n">
        <v>43920</v>
      </c>
      <c r="C208" s="1" t="n">
        <v>45764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16839-2020</t>
        </is>
      </c>
      <c r="B209" s="1" t="n">
        <v>43921</v>
      </c>
      <c r="C209" s="1" t="n">
        <v>45764</v>
      </c>
      <c r="D209" t="inlineStr">
        <is>
          <t>DALARNAS LÄN</t>
        </is>
      </c>
      <c r="E209" t="inlineStr">
        <is>
          <t>RÄTTVIK</t>
        </is>
      </c>
      <c r="F209" t="inlineStr">
        <is>
          <t>Bergvik skog öst AB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17279-2020</t>
        </is>
      </c>
      <c r="B210" s="1" t="n">
        <v>43922</v>
      </c>
      <c r="C210" s="1" t="n">
        <v>45764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17234-2020</t>
        </is>
      </c>
      <c r="B211" s="1" t="n">
        <v>43922</v>
      </c>
      <c r="C211" s="1" t="n">
        <v>45764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18140-2020</t>
        </is>
      </c>
      <c r="B212" s="1" t="n">
        <v>43924</v>
      </c>
      <c r="C212" s="1" t="n">
        <v>45764</v>
      </c>
      <c r="D212" t="inlineStr">
        <is>
          <t>DALARNAS LÄN</t>
        </is>
      </c>
      <c r="E212" t="inlineStr">
        <is>
          <t>RÄTTVIK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18141-2020</t>
        </is>
      </c>
      <c r="B213" s="1" t="n">
        <v>43924</v>
      </c>
      <c r="C213" s="1" t="n">
        <v>45764</v>
      </c>
      <c r="D213" t="inlineStr">
        <is>
          <t>DALARNAS LÄN</t>
        </is>
      </c>
      <c r="E213" t="inlineStr">
        <is>
          <t>RÄTTVIK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18396-2020</t>
        </is>
      </c>
      <c r="B214" s="1" t="n">
        <v>43927</v>
      </c>
      <c r="C214" s="1" t="n">
        <v>45764</v>
      </c>
      <c r="D214" t="inlineStr">
        <is>
          <t>DALARNAS LÄN</t>
        </is>
      </c>
      <c r="E214" t="inlineStr">
        <is>
          <t>RÄTTVIK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18385-2020</t>
        </is>
      </c>
      <c r="B215" s="1" t="n">
        <v>43927</v>
      </c>
      <c r="C215" s="1" t="n">
        <v>45764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18324-2020</t>
        </is>
      </c>
      <c r="B216" s="1" t="n">
        <v>43928</v>
      </c>
      <c r="C216" s="1" t="n">
        <v>45764</v>
      </c>
      <c r="D216" t="inlineStr">
        <is>
          <t>DALARNAS LÄN</t>
        </is>
      </c>
      <c r="E216" t="inlineStr">
        <is>
          <t>RÄTTVIK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18327-2020</t>
        </is>
      </c>
      <c r="B217" s="1" t="n">
        <v>43928</v>
      </c>
      <c r="C217" s="1" t="n">
        <v>45764</v>
      </c>
      <c r="D217" t="inlineStr">
        <is>
          <t>DALARNAS LÄN</t>
        </is>
      </c>
      <c r="E217" t="inlineStr">
        <is>
          <t>RÄTTVIK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18754-2020</t>
        </is>
      </c>
      <c r="B218" s="1" t="n">
        <v>43930</v>
      </c>
      <c r="C218" s="1" t="n">
        <v>45764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19.7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18798-2020</t>
        </is>
      </c>
      <c r="B219" s="1" t="n">
        <v>43933</v>
      </c>
      <c r="C219" s="1" t="n">
        <v>45764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18797-2020</t>
        </is>
      </c>
      <c r="B220" s="1" t="n">
        <v>43933</v>
      </c>
      <c r="C220" s="1" t="n">
        <v>45764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19115-2020</t>
        </is>
      </c>
      <c r="B221" s="1" t="n">
        <v>43935</v>
      </c>
      <c r="C221" s="1" t="n">
        <v>45764</v>
      </c>
      <c r="D221" t="inlineStr">
        <is>
          <t>DALARNAS LÄN</t>
        </is>
      </c>
      <c r="E221" t="inlineStr">
        <is>
          <t>RÄTTVIK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19278-2020</t>
        </is>
      </c>
      <c r="B222" s="1" t="n">
        <v>43937</v>
      </c>
      <c r="C222" s="1" t="n">
        <v>45764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19870-2020</t>
        </is>
      </c>
      <c r="B223" s="1" t="n">
        <v>43941</v>
      </c>
      <c r="C223" s="1" t="n">
        <v>45764</v>
      </c>
      <c r="D223" t="inlineStr">
        <is>
          <t>DALARNAS LÄN</t>
        </is>
      </c>
      <c r="E223" t="inlineStr">
        <is>
          <t>RÄTTVIK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19877-2020</t>
        </is>
      </c>
      <c r="B224" s="1" t="n">
        <v>43941</v>
      </c>
      <c r="C224" s="1" t="n">
        <v>45764</v>
      </c>
      <c r="D224" t="inlineStr">
        <is>
          <t>DALARNAS LÄN</t>
        </is>
      </c>
      <c r="E224" t="inlineStr">
        <is>
          <t>RÄTTVIK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20853-2020</t>
        </is>
      </c>
      <c r="B225" s="1" t="n">
        <v>43948</v>
      </c>
      <c r="C225" s="1" t="n">
        <v>45764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20646-2020</t>
        </is>
      </c>
      <c r="B226" s="1" t="n">
        <v>43949</v>
      </c>
      <c r="C226" s="1" t="n">
        <v>45764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20645-2020</t>
        </is>
      </c>
      <c r="B227" s="1" t="n">
        <v>43949</v>
      </c>
      <c r="C227" s="1" t="n">
        <v>45764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20655-2020</t>
        </is>
      </c>
      <c r="B228" s="1" t="n">
        <v>43949</v>
      </c>
      <c r="C228" s="1" t="n">
        <v>45764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21376-2020</t>
        </is>
      </c>
      <c r="B229" s="1" t="n">
        <v>43950</v>
      </c>
      <c r="C229" s="1" t="n">
        <v>45764</v>
      </c>
      <c r="D229" t="inlineStr">
        <is>
          <t>DALARNAS LÄN</t>
        </is>
      </c>
      <c r="E229" t="inlineStr">
        <is>
          <t>RÄTTVIK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21155-2020</t>
        </is>
      </c>
      <c r="B230" s="1" t="n">
        <v>43951</v>
      </c>
      <c r="C230" s="1" t="n">
        <v>45764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22053-2020</t>
        </is>
      </c>
      <c r="B231" s="1" t="n">
        <v>43959</v>
      </c>
      <c r="C231" s="1" t="n">
        <v>45764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22517-2020</t>
        </is>
      </c>
      <c r="B232" s="1" t="n">
        <v>43959</v>
      </c>
      <c r="C232" s="1" t="n">
        <v>45764</v>
      </c>
      <c r="D232" t="inlineStr">
        <is>
          <t>DALARNAS LÄN</t>
        </is>
      </c>
      <c r="E232" t="inlineStr">
        <is>
          <t>RÄTTVIK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23600-2020</t>
        </is>
      </c>
      <c r="B233" s="1" t="n">
        <v>43969</v>
      </c>
      <c r="C233" s="1" t="n">
        <v>45764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23770-2020</t>
        </is>
      </c>
      <c r="B234" s="1" t="n">
        <v>43970</v>
      </c>
      <c r="C234" s="1" t="n">
        <v>45764</v>
      </c>
      <c r="D234" t="inlineStr">
        <is>
          <t>DALARNAS LÄN</t>
        </is>
      </c>
      <c r="E234" t="inlineStr">
        <is>
          <t>RÄTTVIK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24215-2020</t>
        </is>
      </c>
      <c r="B235" s="1" t="n">
        <v>43973</v>
      </c>
      <c r="C235" s="1" t="n">
        <v>45764</v>
      </c>
      <c r="D235" t="inlineStr">
        <is>
          <t>DALARNAS LÄN</t>
        </is>
      </c>
      <c r="E235" t="inlineStr">
        <is>
          <t>RÄTTVIK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25991-2020</t>
        </is>
      </c>
      <c r="B236" s="1" t="n">
        <v>43985</v>
      </c>
      <c r="C236" s="1" t="n">
        <v>45764</v>
      </c>
      <c r="D236" t="inlineStr">
        <is>
          <t>DALARNAS LÄN</t>
        </is>
      </c>
      <c r="E236" t="inlineStr">
        <is>
          <t>RÄTTVIK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26747-2020</t>
        </is>
      </c>
      <c r="B237" s="1" t="n">
        <v>43990</v>
      </c>
      <c r="C237" s="1" t="n">
        <v>45764</v>
      </c>
      <c r="D237" t="inlineStr">
        <is>
          <t>DALARNAS LÄN</t>
        </is>
      </c>
      <c r="E237" t="inlineStr">
        <is>
          <t>RÄTTVIK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26994-2020</t>
        </is>
      </c>
      <c r="B238" s="1" t="n">
        <v>43991</v>
      </c>
      <c r="C238" s="1" t="n">
        <v>45764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26997-2020</t>
        </is>
      </c>
      <c r="B239" s="1" t="n">
        <v>43991</v>
      </c>
      <c r="C239" s="1" t="n">
        <v>45764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26993-2020</t>
        </is>
      </c>
      <c r="B240" s="1" t="n">
        <v>43991</v>
      </c>
      <c r="C240" s="1" t="n">
        <v>45764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26998-2020</t>
        </is>
      </c>
      <c r="B241" s="1" t="n">
        <v>43991</v>
      </c>
      <c r="C241" s="1" t="n">
        <v>45764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26995-2020</t>
        </is>
      </c>
      <c r="B242" s="1" t="n">
        <v>43991</v>
      </c>
      <c r="C242" s="1" t="n">
        <v>45764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29534-2020</t>
        </is>
      </c>
      <c r="B243" s="1" t="n">
        <v>44005</v>
      </c>
      <c r="C243" s="1" t="n">
        <v>45764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34524-2020</t>
        </is>
      </c>
      <c r="B244" s="1" t="n">
        <v>44033</v>
      </c>
      <c r="C244" s="1" t="n">
        <v>45764</v>
      </c>
      <c r="D244" t="inlineStr">
        <is>
          <t>DALARNAS LÄN</t>
        </is>
      </c>
      <c r="E244" t="inlineStr">
        <is>
          <t>RÄTTVIK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35000-2020</t>
        </is>
      </c>
      <c r="B245" s="1" t="n">
        <v>44039</v>
      </c>
      <c r="C245" s="1" t="n">
        <v>45764</v>
      </c>
      <c r="D245" t="inlineStr">
        <is>
          <t>DALARNAS LÄN</t>
        </is>
      </c>
      <c r="E245" t="inlineStr">
        <is>
          <t>RÄTTVIK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36151-2020</t>
        </is>
      </c>
      <c r="B246" s="1" t="n">
        <v>44048</v>
      </c>
      <c r="C246" s="1" t="n">
        <v>45764</v>
      </c>
      <c r="D246" t="inlineStr">
        <is>
          <t>DALARNAS LÄN</t>
        </is>
      </c>
      <c r="E246" t="inlineStr">
        <is>
          <t>RÄTTVIK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36419-2020</t>
        </is>
      </c>
      <c r="B247" s="1" t="n">
        <v>44049</v>
      </c>
      <c r="C247" s="1" t="n">
        <v>45764</v>
      </c>
      <c r="D247" t="inlineStr">
        <is>
          <t>DALARNAS LÄN</t>
        </is>
      </c>
      <c r="E247" t="inlineStr">
        <is>
          <t>RÄTTVIK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36783-2020</t>
        </is>
      </c>
      <c r="B248" s="1" t="n">
        <v>44053</v>
      </c>
      <c r="C248" s="1" t="n">
        <v>45764</v>
      </c>
      <c r="D248" t="inlineStr">
        <is>
          <t>DALARNAS LÄN</t>
        </is>
      </c>
      <c r="E248" t="inlineStr">
        <is>
          <t>RÄTTVIK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36890-2020</t>
        </is>
      </c>
      <c r="B249" s="1" t="n">
        <v>44053</v>
      </c>
      <c r="C249" s="1" t="n">
        <v>45764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36936-2020</t>
        </is>
      </c>
      <c r="B250" s="1" t="n">
        <v>44053</v>
      </c>
      <c r="C250" s="1" t="n">
        <v>45764</v>
      </c>
      <c r="D250" t="inlineStr">
        <is>
          <t>DALARNAS LÄN</t>
        </is>
      </c>
      <c r="E250" t="inlineStr">
        <is>
          <t>RÄTTVIK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37167-2020</t>
        </is>
      </c>
      <c r="B251" s="1" t="n">
        <v>44054</v>
      </c>
      <c r="C251" s="1" t="n">
        <v>45764</v>
      </c>
      <c r="D251" t="inlineStr">
        <is>
          <t>DALARNAS LÄN</t>
        </is>
      </c>
      <c r="E251" t="inlineStr">
        <is>
          <t>RÄTTVIK</t>
        </is>
      </c>
      <c r="F251" t="inlineStr">
        <is>
          <t>Bergvik skog väst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37202-2020</t>
        </is>
      </c>
      <c r="B252" s="1" t="n">
        <v>44054</v>
      </c>
      <c r="C252" s="1" t="n">
        <v>45764</v>
      </c>
      <c r="D252" t="inlineStr">
        <is>
          <t>DALARNAS LÄN</t>
        </is>
      </c>
      <c r="E252" t="inlineStr">
        <is>
          <t>RÄTTVIK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37205-2020</t>
        </is>
      </c>
      <c r="B253" s="1" t="n">
        <v>44054</v>
      </c>
      <c r="C253" s="1" t="n">
        <v>45764</v>
      </c>
      <c r="D253" t="inlineStr">
        <is>
          <t>DALARNAS LÄN</t>
        </is>
      </c>
      <c r="E253" t="inlineStr">
        <is>
          <t>RÄTTVIK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37381-2020</t>
        </is>
      </c>
      <c r="B254" s="1" t="n">
        <v>44055</v>
      </c>
      <c r="C254" s="1" t="n">
        <v>45764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37373-2020</t>
        </is>
      </c>
      <c r="B255" s="1" t="n">
        <v>44055</v>
      </c>
      <c r="C255" s="1" t="n">
        <v>45764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42112-2020</t>
        </is>
      </c>
      <c r="B256" s="1" t="n">
        <v>44074</v>
      </c>
      <c r="C256" s="1" t="n">
        <v>45764</v>
      </c>
      <c r="D256" t="inlineStr">
        <is>
          <t>DALARNAS LÄN</t>
        </is>
      </c>
      <c r="E256" t="inlineStr">
        <is>
          <t>RÄTTVIK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42130-2020</t>
        </is>
      </c>
      <c r="B257" s="1" t="n">
        <v>44074</v>
      </c>
      <c r="C257" s="1" t="n">
        <v>45764</v>
      </c>
      <c r="D257" t="inlineStr">
        <is>
          <t>DALARNAS LÄN</t>
        </is>
      </c>
      <c r="E257" t="inlineStr">
        <is>
          <t>RÄTTVIK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43363-2020</t>
        </is>
      </c>
      <c r="B258" s="1" t="n">
        <v>44077</v>
      </c>
      <c r="C258" s="1" t="n">
        <v>45764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42806-2020</t>
        </is>
      </c>
      <c r="B259" s="1" t="n">
        <v>44078</v>
      </c>
      <c r="C259" s="1" t="n">
        <v>45764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42828-2020</t>
        </is>
      </c>
      <c r="B260" s="1" t="n">
        <v>44078</v>
      </c>
      <c r="C260" s="1" t="n">
        <v>45764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44706-2020</t>
        </is>
      </c>
      <c r="B261" s="1" t="n">
        <v>44082</v>
      </c>
      <c r="C261" s="1" t="n">
        <v>45764</v>
      </c>
      <c r="D261" t="inlineStr">
        <is>
          <t>DALARNAS LÄN</t>
        </is>
      </c>
      <c r="E261" t="inlineStr">
        <is>
          <t>RÄTTVIK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44243-2020</t>
        </is>
      </c>
      <c r="B262" s="1" t="n">
        <v>44084</v>
      </c>
      <c r="C262" s="1" t="n">
        <v>45764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45523-2020</t>
        </is>
      </c>
      <c r="B263" s="1" t="n">
        <v>44089</v>
      </c>
      <c r="C263" s="1" t="n">
        <v>45764</v>
      </c>
      <c r="D263" t="inlineStr">
        <is>
          <t>DALARNAS LÄN</t>
        </is>
      </c>
      <c r="E263" t="inlineStr">
        <is>
          <t>RÄTTVIK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47182-2020</t>
        </is>
      </c>
      <c r="B264" s="1" t="n">
        <v>44091</v>
      </c>
      <c r="C264" s="1" t="n">
        <v>45764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46858-2020</t>
        </is>
      </c>
      <c r="B265" s="1" t="n">
        <v>44095</v>
      </c>
      <c r="C265" s="1" t="n">
        <v>45764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47312-2020</t>
        </is>
      </c>
      <c r="B266" s="1" t="n">
        <v>44097</v>
      </c>
      <c r="C266" s="1" t="n">
        <v>45764</v>
      </c>
      <c r="D266" t="inlineStr">
        <is>
          <t>DALARNAS LÄN</t>
        </is>
      </c>
      <c r="E266" t="inlineStr">
        <is>
          <t>RÄTTVIK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49217-2020</t>
        </is>
      </c>
      <c r="B267" s="1" t="n">
        <v>44102</v>
      </c>
      <c r="C267" s="1" t="n">
        <v>45764</v>
      </c>
      <c r="D267" t="inlineStr">
        <is>
          <t>DALARNAS LÄN</t>
        </is>
      </c>
      <c r="E267" t="inlineStr">
        <is>
          <t>RÄTTVIK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48941-2020</t>
        </is>
      </c>
      <c r="B268" s="1" t="n">
        <v>44104</v>
      </c>
      <c r="C268" s="1" t="n">
        <v>45764</v>
      </c>
      <c r="D268" t="inlineStr">
        <is>
          <t>DALARNAS LÄN</t>
        </is>
      </c>
      <c r="E268" t="inlineStr">
        <is>
          <t>RÄTTVIK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50862-2020</t>
        </is>
      </c>
      <c r="B269" s="1" t="n">
        <v>44105</v>
      </c>
      <c r="C269" s="1" t="n">
        <v>45764</v>
      </c>
      <c r="D269" t="inlineStr">
        <is>
          <t>DALARNAS LÄN</t>
        </is>
      </c>
      <c r="E269" t="inlineStr">
        <is>
          <t>RÄTTVIK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50061-2020</t>
        </is>
      </c>
      <c r="B270" s="1" t="n">
        <v>44109</v>
      </c>
      <c r="C270" s="1" t="n">
        <v>45764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49929-2020</t>
        </is>
      </c>
      <c r="B271" s="1" t="n">
        <v>44109</v>
      </c>
      <c r="C271" s="1" t="n">
        <v>45764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52194-2020</t>
        </is>
      </c>
      <c r="B272" s="1" t="n">
        <v>44117</v>
      </c>
      <c r="C272" s="1" t="n">
        <v>45764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54398-2020</t>
        </is>
      </c>
      <c r="B273" s="1" t="n">
        <v>44126</v>
      </c>
      <c r="C273" s="1" t="n">
        <v>45764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54396-2020</t>
        </is>
      </c>
      <c r="B274" s="1" t="n">
        <v>44126</v>
      </c>
      <c r="C274" s="1" t="n">
        <v>45764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54446-2020</t>
        </is>
      </c>
      <c r="B275" s="1" t="n">
        <v>44126</v>
      </c>
      <c r="C275" s="1" t="n">
        <v>45764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54391-2020</t>
        </is>
      </c>
      <c r="B276" s="1" t="n">
        <v>44126</v>
      </c>
      <c r="C276" s="1" t="n">
        <v>45764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54444-2020</t>
        </is>
      </c>
      <c r="B277" s="1" t="n">
        <v>44126</v>
      </c>
      <c r="C277" s="1" t="n">
        <v>45764</v>
      </c>
      <c r="D277" t="inlineStr">
        <is>
          <t>DALARNAS LÄN</t>
        </is>
      </c>
      <c r="E277" t="inlineStr">
        <is>
          <t>RÄTTVIK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55150-2020</t>
        </is>
      </c>
      <c r="B278" s="1" t="n">
        <v>44130</v>
      </c>
      <c r="C278" s="1" t="n">
        <v>45764</v>
      </c>
      <c r="D278" t="inlineStr">
        <is>
          <t>DALARNAS LÄN</t>
        </is>
      </c>
      <c r="E278" t="inlineStr">
        <is>
          <t>RÄTTVIK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55280-2020</t>
        </is>
      </c>
      <c r="B279" s="1" t="n">
        <v>44130</v>
      </c>
      <c r="C279" s="1" t="n">
        <v>45764</v>
      </c>
      <c r="D279" t="inlineStr">
        <is>
          <t>DALARNAS LÄN</t>
        </is>
      </c>
      <c r="E279" t="inlineStr">
        <is>
          <t>RÄTTVIK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55203-2020</t>
        </is>
      </c>
      <c r="B280" s="1" t="n">
        <v>44130</v>
      </c>
      <c r="C280" s="1" t="n">
        <v>45764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55506-2020</t>
        </is>
      </c>
      <c r="B281" s="1" t="n">
        <v>44130</v>
      </c>
      <c r="C281" s="1" t="n">
        <v>45764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55449-2020</t>
        </is>
      </c>
      <c r="B282" s="1" t="n">
        <v>44131</v>
      </c>
      <c r="C282" s="1" t="n">
        <v>45764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56147-2020</t>
        </is>
      </c>
      <c r="B283" s="1" t="n">
        <v>44133</v>
      </c>
      <c r="C283" s="1" t="n">
        <v>45764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56585-2020</t>
        </is>
      </c>
      <c r="B284" s="1" t="n">
        <v>44137</v>
      </c>
      <c r="C284" s="1" t="n">
        <v>45764</v>
      </c>
      <c r="D284" t="inlineStr">
        <is>
          <t>DALARNAS LÄN</t>
        </is>
      </c>
      <c r="E284" t="inlineStr">
        <is>
          <t>RÄTTVIK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57187-2020</t>
        </is>
      </c>
      <c r="B285" s="1" t="n">
        <v>44139</v>
      </c>
      <c r="C285" s="1" t="n">
        <v>45764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57261-2020</t>
        </is>
      </c>
      <c r="B286" s="1" t="n">
        <v>44139</v>
      </c>
      <c r="C286" s="1" t="n">
        <v>45764</v>
      </c>
      <c r="D286" t="inlineStr">
        <is>
          <t>DALARNAS LÄN</t>
        </is>
      </c>
      <c r="E286" t="inlineStr">
        <is>
          <t>RÄTTVIK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58522-2020</t>
        </is>
      </c>
      <c r="B287" s="1" t="n">
        <v>44141</v>
      </c>
      <c r="C287" s="1" t="n">
        <v>45764</v>
      </c>
      <c r="D287" t="inlineStr">
        <is>
          <t>DALARNAS LÄN</t>
        </is>
      </c>
      <c r="E287" t="inlineStr">
        <is>
          <t>RÄTTVIK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58577-2020</t>
        </is>
      </c>
      <c r="B288" s="1" t="n">
        <v>44145</v>
      </c>
      <c r="C288" s="1" t="n">
        <v>45764</v>
      </c>
      <c r="D288" t="inlineStr">
        <is>
          <t>DALARNAS LÄN</t>
        </is>
      </c>
      <c r="E288" t="inlineStr">
        <is>
          <t>RÄTTVIK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58586-2020</t>
        </is>
      </c>
      <c r="B289" s="1" t="n">
        <v>44145</v>
      </c>
      <c r="C289" s="1" t="n">
        <v>45764</v>
      </c>
      <c r="D289" t="inlineStr">
        <is>
          <t>DALARNAS LÄN</t>
        </is>
      </c>
      <c r="E289" t="inlineStr">
        <is>
          <t>RÄTTVIK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59925-2020</t>
        </is>
      </c>
      <c r="B290" s="1" t="n">
        <v>44151</v>
      </c>
      <c r="C290" s="1" t="n">
        <v>45764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60864-2020</t>
        </is>
      </c>
      <c r="B291" s="1" t="n">
        <v>44151</v>
      </c>
      <c r="C291" s="1" t="n">
        <v>45764</v>
      </c>
      <c r="D291" t="inlineStr">
        <is>
          <t>DALARNAS LÄN</t>
        </is>
      </c>
      <c r="E291" t="inlineStr">
        <is>
          <t>RÄTTVIK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60819-2020</t>
        </is>
      </c>
      <c r="B292" s="1" t="n">
        <v>44153</v>
      </c>
      <c r="C292" s="1" t="n">
        <v>45764</v>
      </c>
      <c r="D292" t="inlineStr">
        <is>
          <t>DALARNAS LÄN</t>
        </is>
      </c>
      <c r="E292" t="inlineStr">
        <is>
          <t>RÄTTVIK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61969-2020</t>
        </is>
      </c>
      <c r="B293" s="1" t="n">
        <v>44159</v>
      </c>
      <c r="C293" s="1" t="n">
        <v>45764</v>
      </c>
      <c r="D293" t="inlineStr">
        <is>
          <t>DALARNAS LÄN</t>
        </is>
      </c>
      <c r="E293" t="inlineStr">
        <is>
          <t>RÄTTVIK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61933-2020</t>
        </is>
      </c>
      <c r="B294" s="1" t="n">
        <v>44159</v>
      </c>
      <c r="C294" s="1" t="n">
        <v>45764</v>
      </c>
      <c r="D294" t="inlineStr">
        <is>
          <t>DALARNAS LÄN</t>
        </is>
      </c>
      <c r="E294" t="inlineStr">
        <is>
          <t>RÄTTVIK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62014-2020</t>
        </is>
      </c>
      <c r="B295" s="1" t="n">
        <v>44159</v>
      </c>
      <c r="C295" s="1" t="n">
        <v>45764</v>
      </c>
      <c r="D295" t="inlineStr">
        <is>
          <t>DALARNAS LÄN</t>
        </is>
      </c>
      <c r="E295" t="inlineStr">
        <is>
          <t>RÄTTVIK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62163-2020</t>
        </is>
      </c>
      <c r="B296" s="1" t="n">
        <v>44159</v>
      </c>
      <c r="C296" s="1" t="n">
        <v>45764</v>
      </c>
      <c r="D296" t="inlineStr">
        <is>
          <t>DALARNAS LÄN</t>
        </is>
      </c>
      <c r="E296" t="inlineStr">
        <is>
          <t>RÄTTVIK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62240-2020</t>
        </is>
      </c>
      <c r="B297" s="1" t="n">
        <v>44160</v>
      </c>
      <c r="C297" s="1" t="n">
        <v>45764</v>
      </c>
      <c r="D297" t="inlineStr">
        <is>
          <t>DALARNAS LÄN</t>
        </is>
      </c>
      <c r="E297" t="inlineStr">
        <is>
          <t>RÄTTVIK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62493-2020</t>
        </is>
      </c>
      <c r="B298" s="1" t="n">
        <v>44160</v>
      </c>
      <c r="C298" s="1" t="n">
        <v>45764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62544-2020</t>
        </is>
      </c>
      <c r="B299" s="1" t="n">
        <v>44160</v>
      </c>
      <c r="C299" s="1" t="n">
        <v>45764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62700-2020</t>
        </is>
      </c>
      <c r="B300" s="1" t="n">
        <v>44161</v>
      </c>
      <c r="C300" s="1" t="n">
        <v>45764</v>
      </c>
      <c r="D300" t="inlineStr">
        <is>
          <t>DALARNAS LÄN</t>
        </is>
      </c>
      <c r="E300" t="inlineStr">
        <is>
          <t>RÄTTVIK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62893-2020</t>
        </is>
      </c>
      <c r="B301" s="1" t="n">
        <v>44162</v>
      </c>
      <c r="C301" s="1" t="n">
        <v>45764</v>
      </c>
      <c r="D301" t="inlineStr">
        <is>
          <t>DALARNAS LÄN</t>
        </is>
      </c>
      <c r="E301" t="inlineStr">
        <is>
          <t>RÄTTVIK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65381-2020</t>
        </is>
      </c>
      <c r="B302" s="1" t="n">
        <v>44173</v>
      </c>
      <c r="C302" s="1" t="n">
        <v>45764</v>
      </c>
      <c r="D302" t="inlineStr">
        <is>
          <t>DALARNAS LÄN</t>
        </is>
      </c>
      <c r="E302" t="inlineStr">
        <is>
          <t>RÄTTVIK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66172-2020</t>
        </is>
      </c>
      <c r="B303" s="1" t="n">
        <v>44175</v>
      </c>
      <c r="C303" s="1" t="n">
        <v>45764</v>
      </c>
      <c r="D303" t="inlineStr">
        <is>
          <t>DALARNAS LÄN</t>
        </is>
      </c>
      <c r="E303" t="inlineStr">
        <is>
          <t>RÄTTVIK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66174-2020</t>
        </is>
      </c>
      <c r="B304" s="1" t="n">
        <v>44175</v>
      </c>
      <c r="C304" s="1" t="n">
        <v>45764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66816-2020</t>
        </is>
      </c>
      <c r="B305" s="1" t="n">
        <v>44179</v>
      </c>
      <c r="C305" s="1" t="n">
        <v>45764</v>
      </c>
      <c r="D305" t="inlineStr">
        <is>
          <t>DALARNAS LÄN</t>
        </is>
      </c>
      <c r="E305" t="inlineStr">
        <is>
          <t>RÄTTVIK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66818-2020</t>
        </is>
      </c>
      <c r="B306" s="1" t="n">
        <v>44179</v>
      </c>
      <c r="C306" s="1" t="n">
        <v>45764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67081-2020</t>
        </is>
      </c>
      <c r="B307" s="1" t="n">
        <v>44180</v>
      </c>
      <c r="C307" s="1" t="n">
        <v>45764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68327-2020</t>
        </is>
      </c>
      <c r="B308" s="1" t="n">
        <v>44185</v>
      </c>
      <c r="C308" s="1" t="n">
        <v>45764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68448-2020</t>
        </is>
      </c>
      <c r="B309" s="1" t="n">
        <v>44186</v>
      </c>
      <c r="C309" s="1" t="n">
        <v>45764</v>
      </c>
      <c r="D309" t="inlineStr">
        <is>
          <t>DALARNAS LÄN</t>
        </is>
      </c>
      <c r="E309" t="inlineStr">
        <is>
          <t>RÄTTVIK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68357-2020</t>
        </is>
      </c>
      <c r="B310" s="1" t="n">
        <v>44186</v>
      </c>
      <c r="C310" s="1" t="n">
        <v>45764</v>
      </c>
      <c r="D310" t="inlineStr">
        <is>
          <t>DALARNAS LÄN</t>
        </is>
      </c>
      <c r="E310" t="inlineStr">
        <is>
          <t>RÄTTVIK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69526-2020</t>
        </is>
      </c>
      <c r="B311" s="1" t="n">
        <v>44194</v>
      </c>
      <c r="C311" s="1" t="n">
        <v>45764</v>
      </c>
      <c r="D311" t="inlineStr">
        <is>
          <t>DALARNAS LÄN</t>
        </is>
      </c>
      <c r="E311" t="inlineStr">
        <is>
          <t>RÄTTVIK</t>
        </is>
      </c>
      <c r="G311" t="n">
        <v>19.8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69606-2020</t>
        </is>
      </c>
      <c r="B312" s="1" t="n">
        <v>44195</v>
      </c>
      <c r="C312" s="1" t="n">
        <v>45764</v>
      </c>
      <c r="D312" t="inlineStr">
        <is>
          <t>DALARNAS LÄN</t>
        </is>
      </c>
      <c r="E312" t="inlineStr">
        <is>
          <t>RÄTTVIK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2404-2021</t>
        </is>
      </c>
      <c r="B313" s="1" t="n">
        <v>44214</v>
      </c>
      <c r="C313" s="1" t="n">
        <v>45764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2419-2021</t>
        </is>
      </c>
      <c r="B314" s="1" t="n">
        <v>44214</v>
      </c>
      <c r="C314" s="1" t="n">
        <v>45764</v>
      </c>
      <c r="D314" t="inlineStr">
        <is>
          <t>DALARNAS LÄN</t>
        </is>
      </c>
      <c r="E314" t="inlineStr">
        <is>
          <t>RÄTTVIK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3340-2021</t>
        </is>
      </c>
      <c r="B315" s="1" t="n">
        <v>44217</v>
      </c>
      <c r="C315" s="1" t="n">
        <v>45764</v>
      </c>
      <c r="D315" t="inlineStr">
        <is>
          <t>DALARNAS LÄN</t>
        </is>
      </c>
      <c r="E315" t="inlineStr">
        <is>
          <t>RÄTTVIK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3124-2021</t>
        </is>
      </c>
      <c r="B316" s="1" t="n">
        <v>44217</v>
      </c>
      <c r="C316" s="1" t="n">
        <v>45764</v>
      </c>
      <c r="D316" t="inlineStr">
        <is>
          <t>DALARNAS LÄN</t>
        </is>
      </c>
      <c r="E316" t="inlineStr">
        <is>
          <t>RÄTTVIK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5155-2021</t>
        </is>
      </c>
      <c r="B317" s="1" t="n">
        <v>44228</v>
      </c>
      <c r="C317" s="1" t="n">
        <v>45764</v>
      </c>
      <c r="D317" t="inlineStr">
        <is>
          <t>DALARNAS LÄN</t>
        </is>
      </c>
      <c r="E317" t="inlineStr">
        <is>
          <t>RÄTTVIK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5030-2021</t>
        </is>
      </c>
      <c r="B318" s="1" t="n">
        <v>44228</v>
      </c>
      <c r="C318" s="1" t="n">
        <v>45764</v>
      </c>
      <c r="D318" t="inlineStr">
        <is>
          <t>DALARNAS LÄN</t>
        </is>
      </c>
      <c r="E318" t="inlineStr">
        <is>
          <t>RÄTTVIK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7161-2021</t>
        </is>
      </c>
      <c r="B319" s="1" t="n">
        <v>44238</v>
      </c>
      <c r="C319" s="1" t="n">
        <v>45764</v>
      </c>
      <c r="D319" t="inlineStr">
        <is>
          <t>DALARNAS LÄN</t>
        </is>
      </c>
      <c r="E319" t="inlineStr">
        <is>
          <t>RÄTTVIK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7749-2021</t>
        </is>
      </c>
      <c r="B320" s="1" t="n">
        <v>44242</v>
      </c>
      <c r="C320" s="1" t="n">
        <v>45764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7762-2021</t>
        </is>
      </c>
      <c r="B321" s="1" t="n">
        <v>44242</v>
      </c>
      <c r="C321" s="1" t="n">
        <v>45764</v>
      </c>
      <c r="D321" t="inlineStr">
        <is>
          <t>DALARNAS LÄN</t>
        </is>
      </c>
      <c r="E321" t="inlineStr">
        <is>
          <t>RÄTTVIK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12898-2021</t>
        </is>
      </c>
      <c r="B322" s="1" t="n">
        <v>44271</v>
      </c>
      <c r="C322" s="1" t="n">
        <v>45764</v>
      </c>
      <c r="D322" t="inlineStr">
        <is>
          <t>DALARNAS LÄN</t>
        </is>
      </c>
      <c r="E322" t="inlineStr">
        <is>
          <t>RÄTTVIK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13376-2021</t>
        </is>
      </c>
      <c r="B323" s="1" t="n">
        <v>44273</v>
      </c>
      <c r="C323" s="1" t="n">
        <v>45764</v>
      </c>
      <c r="D323" t="inlineStr">
        <is>
          <t>DALARNAS LÄN</t>
        </is>
      </c>
      <c r="E323" t="inlineStr">
        <is>
          <t>RÄTTVIK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14724-2021</t>
        </is>
      </c>
      <c r="B324" s="1" t="n">
        <v>44280</v>
      </c>
      <c r="C324" s="1" t="n">
        <v>45764</v>
      </c>
      <c r="D324" t="inlineStr">
        <is>
          <t>DALARNAS LÄN</t>
        </is>
      </c>
      <c r="E324" t="inlineStr">
        <is>
          <t>RÄTTVIK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15079-2021</t>
        </is>
      </c>
      <c r="B325" s="1" t="n">
        <v>44281</v>
      </c>
      <c r="C325" s="1" t="n">
        <v>45764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45764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45764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45764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45764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45764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45764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45764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45764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45764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45764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45764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45764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45764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45764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45764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45764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45764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45764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45764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45764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45764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45764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45764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45764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45764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45764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45764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45764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45764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45764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45764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45764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45764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45764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45764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45764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45764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45764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45764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45764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45764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45764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45764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45764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45764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45764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45764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45764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45764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45764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45764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45764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45764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45764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45764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45764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45764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45764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45764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45764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45764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45764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45764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45764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45764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45764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45764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45764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45764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45764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45764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45764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45764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45764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45764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45764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45764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45764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45764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45764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45764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45764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45764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45764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45764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45764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45764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45764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45764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45764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45764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45764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45764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45764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45764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45764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45764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45764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45764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45764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45764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45764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45764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45764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45764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45764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45764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45764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45764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45764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45764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45764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45764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45764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45764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45764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45764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45764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45764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45764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45764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45764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45764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45764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45764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45764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45764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45764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45764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45764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45764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45764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45764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45764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45764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45764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45764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45764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45764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45764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45764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45764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45764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45764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45764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45764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45764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45764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45764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45764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45764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45764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45764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45764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45764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45764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45764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45764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45764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45764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45764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45764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45764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45764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45764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45764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45764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45764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45764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45764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45764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45764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45764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45764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45764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45764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45764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45764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45764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45764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45764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45764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45764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45764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45764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45764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45764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45764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45764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45764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45764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45764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45764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45764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45764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45764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45764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45764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45764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45764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45764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45764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45764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45764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45764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45764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45764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45764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45764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45764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45764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45764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45764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45764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45764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45764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45764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45764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45764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45764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45764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45764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45764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45764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45764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45764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45764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45764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45764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45764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45764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45764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45764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45764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45764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45764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45764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45764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45764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45764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45764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45764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45764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45764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45764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45764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45764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45764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45764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45764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45764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45764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45764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45764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45764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45764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45764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45764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45764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45764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45764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45764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45764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45764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45764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45764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45764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45764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45764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45764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45764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45764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45764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45764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45764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45764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45764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45764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45764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45764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45764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45764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45764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45764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45764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45764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45764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45764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45764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45764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45764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45764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45764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45764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45764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45764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45764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45764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45764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45764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45764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45764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45764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45764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45764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45764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45764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45764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45764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45764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45764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45764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45764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45764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45764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45764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45764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45764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45764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45764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45764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45764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45764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45764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45764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45764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45764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45764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45764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45764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45764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45764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45764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45764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45764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45764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45764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45764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45764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45764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45764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45764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45764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45764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45764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45764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45764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45764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45764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45764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45764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45764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45764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45764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45764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45764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45764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45764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45764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45764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45764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45764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45764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45764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45764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45764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45764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45764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45764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45764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45764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45764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45764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45764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45764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45764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45764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45764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45764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45764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45764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45764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45764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45764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45764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45764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45764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45764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45764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45764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45764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45764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45764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45764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45764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45764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45764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45764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45764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45764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45764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45764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45764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45764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45764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45764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45764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45764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45764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45764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45764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45764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45764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45764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45764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45764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45764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45764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45764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45764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45764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45764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45764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45764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45764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45764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45764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45764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45764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45764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45764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45764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45764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45764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45764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45764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45764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45764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45764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45764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45764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45764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45764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45764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45764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45764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45764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45764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45764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45764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45764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45764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45764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45764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45764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45764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45764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45764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45764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45764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45764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45764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45764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45764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45764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45764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45764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45764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45764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45764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45764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45764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45764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45764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45764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45764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45764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45764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45764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45764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45764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45764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45764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45764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45764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45764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45764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45764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45764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45764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45764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45764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45764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45764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45764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45764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45764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45764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45764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45764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45764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45764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45764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45764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45764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45764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45764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45764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45764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45764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45764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45764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45764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45764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45764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45764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45764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45764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45764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45764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45764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45764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45764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45764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45764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45764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45764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45764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45764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45764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45764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45764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45764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45764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45764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45764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45764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45764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45764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45764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45764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45764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45764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45764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45764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45764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45764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45764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45764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45764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45764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45764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45764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45764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45764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45764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45764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45764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45764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45764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45764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45764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45764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45764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45764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45764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45764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45764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45764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45764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45764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45764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45764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45764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45764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45764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45764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45764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45764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45764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45764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45764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45764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45764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45764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45764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45764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45764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45764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45764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45764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45764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45764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45764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45764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45764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45764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45764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45764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45764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45764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45764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45764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45764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45764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45764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45764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45764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45764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45764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45764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45764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45764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45764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45764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45764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45764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45764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45764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45764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45764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45764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45764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45764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45764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45764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45764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45764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45764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45764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45764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45764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45764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45764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45764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45764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45764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45764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45764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45764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45764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45764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45764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45764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45764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45764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45764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45764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45764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45764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45764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45764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45764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45764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45764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45764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45764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45764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45764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45764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45764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45764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45764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45764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45764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45764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45764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45764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45764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45764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45764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45764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45764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45764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45764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45764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45764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45764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45764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45764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45764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45764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45764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45764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45764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45764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45764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45764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45764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45764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45764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45764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45764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45764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45764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45764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45764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45764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45764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45764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45764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45764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45764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45764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45764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45764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45764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45764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45764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45764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45764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45764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45764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45764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45764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45764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45764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45764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45764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45764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45764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45764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45764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45764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45764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45764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45764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45764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45764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45764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45764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45764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45764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45764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45764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45764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45764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45764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45764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45764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45764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45764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45764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45764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45764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45764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45764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45764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45764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45764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45764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45764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45764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45764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45764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45764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45764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45764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45764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45764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45764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45764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45764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45764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45764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45764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45764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45764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45764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45764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45764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45764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45764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45764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45764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45764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45764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45764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45764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45764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45764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45764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45764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45764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45764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45764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45764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45764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45764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45764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45764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45764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45764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45764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45764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45764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45764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45764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45764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45764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45764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45764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45764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45764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45764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45764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45764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45764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45764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45764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45764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45764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45764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45764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45764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45764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45764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45764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45764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45764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45764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45764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45764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45764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45764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45764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45764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45764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45764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45764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45764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45764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45764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45764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45764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45764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45764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45764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45764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45764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45764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45764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45764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45764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45764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45764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45764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45764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45764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45764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45764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45764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45764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45764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45764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45764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45764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45764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45764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45764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45764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45764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45764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45764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45764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45764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45764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45764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45764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45764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45764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45764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45764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45764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45764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45764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45764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45764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45764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45764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45764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45764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45764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45764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45764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45764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45764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45764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45764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45764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45764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45764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45764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45764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45764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45764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45764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45764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45764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45764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45764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45764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45764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45764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45764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45764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45764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45764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45764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45764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45764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45764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45764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45764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45764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45764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45764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45764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45764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45764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45764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45764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45764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45764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45764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45764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45764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45764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45764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45764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45764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45764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45764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45764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45764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45764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45764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45764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45764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45764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45764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45764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45764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45764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45764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45764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45764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45764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45764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45764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45764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45764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45764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45764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45764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45764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45764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45764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45764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45764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45764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45764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45764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45764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45764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45764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45764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45764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45764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45764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45764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45764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45764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45764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45764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45764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45764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45764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45764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45764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45764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45764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45764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45764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45764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45764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45764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45764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45764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45764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45764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45764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45764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45764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45764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45764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45764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45764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45764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45764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45764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45764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45764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45764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45764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45764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45764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45764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45764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45764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45764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45764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45764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45764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45764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45764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45764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45764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45764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45764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45764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45764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45764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45764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45764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45764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45764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45764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45764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45764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45764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45764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45764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45764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45764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45764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45764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45764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45764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45764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45764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45764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45764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45764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45764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45764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45764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45764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45764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45764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45764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45764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45764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45764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45764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45764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45764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45764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45764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45764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45764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45764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45764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45764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45764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45764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45764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45764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45764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45764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45764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45764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45764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45764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45764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45764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45764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45764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45764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45764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45764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45764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45764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45764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10244-2025</t>
        </is>
      </c>
      <c r="B1410" s="1" t="n">
        <v>45720</v>
      </c>
      <c r="C1410" s="1" t="n">
        <v>45764</v>
      </c>
      <c r="D1410" t="inlineStr">
        <is>
          <t>DALARNAS LÄN</t>
        </is>
      </c>
      <c r="E1410" t="inlineStr">
        <is>
          <t>RÄTTVIK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45764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45764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45764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10717-2025</t>
        </is>
      </c>
      <c r="B1414" s="1" t="n">
        <v>45722</v>
      </c>
      <c r="C1414" s="1" t="n">
        <v>45764</v>
      </c>
      <c r="D1414" t="inlineStr">
        <is>
          <t>DALARNAS LÄN</t>
        </is>
      </c>
      <c r="E1414" t="inlineStr">
        <is>
          <t>RÄTTVIK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45764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45764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45764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45764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45764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45764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45764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12758-2025</t>
        </is>
      </c>
      <c r="B1422" s="1" t="n">
        <v>45733</v>
      </c>
      <c r="C1422" s="1" t="n">
        <v>45764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45764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45764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13744-2025</t>
        </is>
      </c>
      <c r="B1425" s="1" t="n">
        <v>45737</v>
      </c>
      <c r="C1425" s="1" t="n">
        <v>45764</v>
      </c>
      <c r="D1425" t="inlineStr">
        <is>
          <t>DALARNAS LÄN</t>
        </is>
      </c>
      <c r="E1425" t="inlineStr">
        <is>
          <t>RÄTTVIK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13721-2025</t>
        </is>
      </c>
      <c r="B1426" s="1" t="n">
        <v>45737</v>
      </c>
      <c r="C1426" s="1" t="n">
        <v>45764</v>
      </c>
      <c r="D1426" t="inlineStr">
        <is>
          <t>DALARNAS LÄN</t>
        </is>
      </c>
      <c r="E1426" t="inlineStr">
        <is>
          <t>RÄTTVIK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45764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45764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13770-2025</t>
        </is>
      </c>
      <c r="B1429" s="1" t="n">
        <v>45737</v>
      </c>
      <c r="C1429" s="1" t="n">
        <v>45764</v>
      </c>
      <c r="D1429" t="inlineStr">
        <is>
          <t>DALARNAS LÄN</t>
        </is>
      </c>
      <c r="E1429" t="inlineStr">
        <is>
          <t>RÄTTVIK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13750-2025</t>
        </is>
      </c>
      <c r="B1430" s="1" t="n">
        <v>45737</v>
      </c>
      <c r="C1430" s="1" t="n">
        <v>45764</v>
      </c>
      <c r="D1430" t="inlineStr">
        <is>
          <t>DALARNAS LÄN</t>
        </is>
      </c>
      <c r="E1430" t="inlineStr">
        <is>
          <t>RÄTTVIK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45764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14320-2025</t>
        </is>
      </c>
      <c r="B1432" s="1" t="n">
        <v>45740</v>
      </c>
      <c r="C1432" s="1" t="n">
        <v>45764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14698-2025</t>
        </is>
      </c>
      <c r="B1433" s="1" t="n">
        <v>45742</v>
      </c>
      <c r="C1433" s="1" t="n">
        <v>45764</v>
      </c>
      <c r="D1433" t="inlineStr">
        <is>
          <t>DALARNAS LÄN</t>
        </is>
      </c>
      <c r="E1433" t="inlineStr">
        <is>
          <t>RÄTTVIK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14706-2025</t>
        </is>
      </c>
      <c r="B1434" s="1" t="n">
        <v>45742</v>
      </c>
      <c r="C1434" s="1" t="n">
        <v>45764</v>
      </c>
      <c r="D1434" t="inlineStr">
        <is>
          <t>DALARNAS LÄN</t>
        </is>
      </c>
      <c r="E1434" t="inlineStr">
        <is>
          <t>RÄTTVIK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14581-2025</t>
        </is>
      </c>
      <c r="B1435" s="1" t="n">
        <v>45742</v>
      </c>
      <c r="C1435" s="1" t="n">
        <v>45764</v>
      </c>
      <c r="D1435" t="inlineStr">
        <is>
          <t>DALARNAS LÄN</t>
        </is>
      </c>
      <c r="E1435" t="inlineStr">
        <is>
          <t>RÄTTVIK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14586-2025</t>
        </is>
      </c>
      <c r="B1436" s="1" t="n">
        <v>45742</v>
      </c>
      <c r="C1436" s="1" t="n">
        <v>45764</v>
      </c>
      <c r="D1436" t="inlineStr">
        <is>
          <t>DALARNAS LÄN</t>
        </is>
      </c>
      <c r="E1436" t="inlineStr">
        <is>
          <t>RÄTTVIK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14588-2025</t>
        </is>
      </c>
      <c r="B1437" s="1" t="n">
        <v>45742</v>
      </c>
      <c r="C1437" s="1" t="n">
        <v>45764</v>
      </c>
      <c r="D1437" t="inlineStr">
        <is>
          <t>DALARNAS LÄN</t>
        </is>
      </c>
      <c r="E1437" t="inlineStr">
        <is>
          <t>RÄTTVIK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14700-2025</t>
        </is>
      </c>
      <c r="B1438" s="1" t="n">
        <v>45742</v>
      </c>
      <c r="C1438" s="1" t="n">
        <v>45764</v>
      </c>
      <c r="D1438" t="inlineStr">
        <is>
          <t>DALARNAS LÄN</t>
        </is>
      </c>
      <c r="E1438" t="inlineStr">
        <is>
          <t>RÄTTVIK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14701-2025</t>
        </is>
      </c>
      <c r="B1439" s="1" t="n">
        <v>45742</v>
      </c>
      <c r="C1439" s="1" t="n">
        <v>45764</v>
      </c>
      <c r="D1439" t="inlineStr">
        <is>
          <t>DALARNAS LÄN</t>
        </is>
      </c>
      <c r="E1439" t="inlineStr">
        <is>
          <t>RÄTTVIK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14709-2025</t>
        </is>
      </c>
      <c r="B1440" s="1" t="n">
        <v>45742</v>
      </c>
      <c r="C1440" s="1" t="n">
        <v>45764</v>
      </c>
      <c r="D1440" t="inlineStr">
        <is>
          <t>DALARNAS LÄN</t>
        </is>
      </c>
      <c r="E1440" t="inlineStr">
        <is>
          <t>RÄTTVIK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14876-2025</t>
        </is>
      </c>
      <c r="B1441" s="1" t="n">
        <v>45743</v>
      </c>
      <c r="C1441" s="1" t="n">
        <v>45764</v>
      </c>
      <c r="D1441" t="inlineStr">
        <is>
          <t>DALARNAS LÄN</t>
        </is>
      </c>
      <c r="E1441" t="inlineStr">
        <is>
          <t>RÄTTVIK</t>
        </is>
      </c>
      <c r="F1441" t="inlineStr">
        <is>
          <t>Bergvik skog väst AB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15277-2025</t>
        </is>
      </c>
      <c r="B1442" s="1" t="n">
        <v>45744</v>
      </c>
      <c r="C1442" s="1" t="n">
        <v>45764</v>
      </c>
      <c r="D1442" t="inlineStr">
        <is>
          <t>DALARNAS LÄN</t>
        </is>
      </c>
      <c r="E1442" t="inlineStr">
        <is>
          <t>RÄTTVIK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16892-2025</t>
        </is>
      </c>
      <c r="B1443" s="1" t="n">
        <v>45751</v>
      </c>
      <c r="C1443" s="1" t="n">
        <v>45764</v>
      </c>
      <c r="D1443" t="inlineStr">
        <is>
          <t>DALARNAS LÄN</t>
        </is>
      </c>
      <c r="E1443" t="inlineStr">
        <is>
          <t>RÄTTVIK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16291-2025</t>
        </is>
      </c>
      <c r="B1444" s="1" t="n">
        <v>45751</v>
      </c>
      <c r="C1444" s="1" t="n">
        <v>45764</v>
      </c>
      <c r="D1444" t="inlineStr">
        <is>
          <t>DALARNAS LÄN</t>
        </is>
      </c>
      <c r="E1444" t="inlineStr">
        <is>
          <t>RÄTTVIK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16878-2025</t>
        </is>
      </c>
      <c r="B1445" s="1" t="n">
        <v>45755</v>
      </c>
      <c r="C1445" s="1" t="n">
        <v>45764</v>
      </c>
      <c r="D1445" t="inlineStr">
        <is>
          <t>DALARNAS LÄN</t>
        </is>
      </c>
      <c r="E1445" t="inlineStr">
        <is>
          <t>RÄTTVIK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16882-2025</t>
        </is>
      </c>
      <c r="B1446" s="1" t="n">
        <v>45755</v>
      </c>
      <c r="C1446" s="1" t="n">
        <v>45764</v>
      </c>
      <c r="D1446" t="inlineStr">
        <is>
          <t>DALARNAS LÄN</t>
        </is>
      </c>
      <c r="E1446" t="inlineStr">
        <is>
          <t>RÄTTVIK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16876-2025</t>
        </is>
      </c>
      <c r="B1447" s="1" t="n">
        <v>45755</v>
      </c>
      <c r="C1447" s="1" t="n">
        <v>45764</v>
      </c>
      <c r="D1447" t="inlineStr">
        <is>
          <t>DALARNAS LÄN</t>
        </is>
      </c>
      <c r="E1447" t="inlineStr">
        <is>
          <t>RÄTTVIK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16880-2025</t>
        </is>
      </c>
      <c r="B1448" s="1" t="n">
        <v>45755</v>
      </c>
      <c r="C1448" s="1" t="n">
        <v>45764</v>
      </c>
      <c r="D1448" t="inlineStr">
        <is>
          <t>DALARNAS LÄN</t>
        </is>
      </c>
      <c r="E1448" t="inlineStr">
        <is>
          <t>RÄTTVIK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16883-2025</t>
        </is>
      </c>
      <c r="B1449" s="1" t="n">
        <v>45755</v>
      </c>
      <c r="C1449" s="1" t="n">
        <v>45764</v>
      </c>
      <c r="D1449" t="inlineStr">
        <is>
          <t>DALARNAS LÄN</t>
        </is>
      </c>
      <c r="E1449" t="inlineStr">
        <is>
          <t>RÄTTVIK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17157-2025</t>
        </is>
      </c>
      <c r="B1450" s="1" t="n">
        <v>45756</v>
      </c>
      <c r="C1450" s="1" t="n">
        <v>45764</v>
      </c>
      <c r="D1450" t="inlineStr">
        <is>
          <t>DALARNAS LÄN</t>
        </is>
      </c>
      <c r="E1450" t="inlineStr">
        <is>
          <t>RÄTTVIK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17379-2025</t>
        </is>
      </c>
      <c r="B1451" s="1" t="n">
        <v>45757</v>
      </c>
      <c r="C1451" s="1" t="n">
        <v>45764</v>
      </c>
      <c r="D1451" t="inlineStr">
        <is>
          <t>DALARNAS LÄN</t>
        </is>
      </c>
      <c r="E1451" t="inlineStr">
        <is>
          <t>RÄTTVIK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>
      <c r="A1452" t="inlineStr">
        <is>
          <t>A 17576-2025</t>
        </is>
      </c>
      <c r="B1452" s="1" t="n">
        <v>45757</v>
      </c>
      <c r="C1452" s="1" t="n">
        <v>45764</v>
      </c>
      <c r="D1452" t="inlineStr">
        <is>
          <t>DALARNAS LÄN</t>
        </is>
      </c>
      <c r="E1452" t="inlineStr">
        <is>
          <t>RÄTTVIK</t>
        </is>
      </c>
      <c r="G1452" t="n">
        <v>14.1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  <c r="U1452">
        <f>HYPERLINK("https://klasma.github.io/Logging_202031/knärot/A 17576-2025 karta knärot.png", "A 17576-2025")</f>
        <v/>
      </c>
      <c r="V1452">
        <f>HYPERLINK("https://klasma.github.io/Logging_202031/klagomål/A 17576-2025 FSC-klagomål.docx", "A 17576-2025")</f>
        <v/>
      </c>
      <c r="W1452">
        <f>HYPERLINK("https://klasma.github.io/Logging_202031/klagomålsmail/A 17576-2025 FSC-klagomål mail.docx", "A 17576-2025")</f>
        <v/>
      </c>
      <c r="X1452">
        <f>HYPERLINK("https://klasma.github.io/Logging_202031/tillsyn/A 17576-2025 tillsynsbegäran.docx", "A 17576-2025")</f>
        <v/>
      </c>
      <c r="Y1452">
        <f>HYPERLINK("https://klasma.github.io/Logging_202031/tillsynsmail/A 17576-2025 tillsynsbegäran mail.docx", "A 17576-2025")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2025-04-17T16:52:37Z</dcterms:created>
  <dcterms:modified xmlns:dcterms="http://purl.org/dc/terms/" xmlns:xsi="http://www.w3.org/2001/XMLSchema-instance" xsi:type="dcterms:W3CDTF">2025-04-17T16:52:38Z</dcterms:modified>
</cp:coreProperties>
</file>