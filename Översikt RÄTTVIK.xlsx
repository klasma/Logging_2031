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46178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46178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46178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46178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46178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46178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46178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46178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46178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46178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46178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46178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46178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46178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46178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46178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46178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46178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46178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2089-2026</t>
        </is>
      </c>
      <c r="B23" s="1" t="n">
        <v>46036</v>
      </c>
      <c r="C23" s="1" t="n">
        <v>46178</v>
      </c>
      <c r="D23" t="inlineStr">
        <is>
          <t>DALARNAS LÄN</t>
        </is>
      </c>
      <c r="E23" t="inlineStr">
        <is>
          <t>RÄTTVIK</t>
        </is>
      </c>
      <c r="G23" t="n">
        <v>0.6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HYPERLINK("https://klasma.github.io/Logging_2031/artfynd/A 2089-2026 artfynd.xlsx", "A 2089-2026")</f>
        <v/>
      </c>
      <c r="T23">
        <f>HYPERLINK("https://klasma.github.io/Logging_2031/kartor/A 2089-2026 karta.png", "A 2089-2026")</f>
        <v/>
      </c>
      <c r="V23">
        <f>HYPERLINK("https://klasma.github.io/Logging_2031/klagomål/A 2089-2026 FSC-klagomål.docx", "A 2089-2026")</f>
        <v/>
      </c>
      <c r="W23">
        <f>HYPERLINK("https://klasma.github.io/Logging_2031/klagomålsmail/A 2089-2026 FSC-klagomål mail.docx", "A 2089-2026")</f>
        <v/>
      </c>
      <c r="X23">
        <f>HYPERLINK("https://klasma.github.io/Logging_2031/tillsyn/A 2089-2026 tillsynsbegäran.docx", "A 2089-2026")</f>
        <v/>
      </c>
      <c r="Y23">
        <f>HYPERLINK("https://klasma.github.io/Logging_2031/tillsynsmail/A 2089-2026 tillsynsbegäran mail.docx", "A 2089-2026")</f>
        <v/>
      </c>
      <c r="Z23">
        <f>HYPERLINK("https://klasma.github.io/Logging_2031/fåglar/A 2089-2026 prioriterade fågelarter.docx", "A 2089-2026")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46178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46178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46178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6574-2026</t>
        </is>
      </c>
      <c r="B27" s="1" t="n">
        <v>46052</v>
      </c>
      <c r="C27" s="1" t="n">
        <v>46178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Ruttaggsvamp
Kronskål</t>
        </is>
      </c>
      <c r="S27">
        <f>HYPERLINK("https://klasma.github.io/Logging_2031/artfynd/A 6574-2026 artfynd.xlsx", "A 6574-2026")</f>
        <v/>
      </c>
      <c r="T27">
        <f>HYPERLINK("https://klasma.github.io/Logging_2031/kartor/A 6574-2026 karta.png", "A 6574-2026")</f>
        <v/>
      </c>
      <c r="V27">
        <f>HYPERLINK("https://klasma.github.io/Logging_2031/klagomål/A 6574-2026 FSC-klagomål.docx", "A 6574-2026")</f>
        <v/>
      </c>
      <c r="W27">
        <f>HYPERLINK("https://klasma.github.io/Logging_2031/klagomålsmail/A 6574-2026 FSC-klagomål mail.docx", "A 6574-2026")</f>
        <v/>
      </c>
      <c r="X27">
        <f>HYPERLINK("https://klasma.github.io/Logging_2031/tillsyn/A 6574-2026 tillsynsbegäran.docx", "A 6574-2026")</f>
        <v/>
      </c>
      <c r="Y27">
        <f>HYPERLINK("https://klasma.github.io/Logging_2031/tillsynsmail/A 6574-2026 tillsynsbegäran mail.docx", "A 6574-2026")</f>
        <v/>
      </c>
    </row>
    <row r="28" ht="15" customHeight="1">
      <c r="A28" t="inlineStr">
        <is>
          <t>A 28119-2024</t>
        </is>
      </c>
      <c r="B28" s="1" t="n">
        <v>45476</v>
      </c>
      <c r="C28" s="1" t="n">
        <v>46178</v>
      </c>
      <c r="D28" t="inlineStr">
        <is>
          <t>DALARNAS LÄN</t>
        </is>
      </c>
      <c r="E28" t="inlineStr">
        <is>
          <t>RÄTTVIK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Plattlummer</t>
        </is>
      </c>
      <c r="S28">
        <f>HYPERLINK("https://klasma.github.io/Logging_2031/artfynd/A 28119-2024 artfynd.xlsx", "A 28119-2024")</f>
        <v/>
      </c>
      <c r="T28">
        <f>HYPERLINK("https://klasma.github.io/Logging_2031/kartor/A 28119-2024 karta.png", "A 28119-2024")</f>
        <v/>
      </c>
      <c r="V28">
        <f>HYPERLINK("https://klasma.github.io/Logging_2031/klagomål/A 28119-2024 FSC-klagomål.docx", "A 28119-2024")</f>
        <v/>
      </c>
      <c r="W28">
        <f>HYPERLINK("https://klasma.github.io/Logging_2031/klagomålsmail/A 28119-2024 FSC-klagomål mail.docx", "A 28119-2024")</f>
        <v/>
      </c>
      <c r="X28">
        <f>HYPERLINK("https://klasma.github.io/Logging_2031/tillsyn/A 28119-2024 tillsynsbegäran.docx", "A 28119-2024")</f>
        <v/>
      </c>
      <c r="Y28">
        <f>HYPERLINK("https://klasma.github.io/Logging_2031/tillsynsmail/A 28119-2024 tillsynsbegäran mail.docx", "A 28119-2024")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46178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46178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46178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36148-2024</t>
        </is>
      </c>
      <c r="B32" s="1" t="n">
        <v>45534.36650462963</v>
      </c>
      <c r="C32" s="1" t="n">
        <v>46178</v>
      </c>
      <c r="D32" t="inlineStr">
        <is>
          <t>DALARNAS LÄN</t>
        </is>
      </c>
      <c r="E32" t="inlineStr">
        <is>
          <t>RÄTTVIK</t>
        </is>
      </c>
      <c r="G32" t="n">
        <v>1.6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36148-2024 artfynd.xlsx", "A 36148-2024")</f>
        <v/>
      </c>
      <c r="T32">
        <f>HYPERLINK("https://klasma.github.io/Logging_2031/kartor/A 36148-2024 karta.png", "A 36148-2024")</f>
        <v/>
      </c>
      <c r="V32">
        <f>HYPERLINK("https://klasma.github.io/Logging_2031/klagomål/A 36148-2024 FSC-klagomål.docx", "A 36148-2024")</f>
        <v/>
      </c>
      <c r="W32">
        <f>HYPERLINK("https://klasma.github.io/Logging_2031/klagomålsmail/A 36148-2024 FSC-klagomål mail.docx", "A 36148-2024")</f>
        <v/>
      </c>
      <c r="X32">
        <f>HYPERLINK("https://klasma.github.io/Logging_2031/tillsyn/A 36148-2024 tillsynsbegäran.docx", "A 36148-2024")</f>
        <v/>
      </c>
      <c r="Y32">
        <f>HYPERLINK("https://klasma.github.io/Logging_2031/tillsynsmail/A 36148-2024 tillsynsbegäran mail.docx", "A 36148-2024")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46178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46178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46178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46178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46178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46178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46178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46178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46178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46178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46178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352-2026</t>
        </is>
      </c>
      <c r="B44" s="1" t="n">
        <v>46027.63283564815</v>
      </c>
      <c r="C44" s="1" t="n">
        <v>46178</v>
      </c>
      <c r="D44" t="inlineStr">
        <is>
          <t>DALARNAS LÄN</t>
        </is>
      </c>
      <c r="E44" t="inlineStr">
        <is>
          <t>RÄTTVIK</t>
        </is>
      </c>
      <c r="G44" t="n">
        <v>3.7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Väddnätfjäril</t>
        </is>
      </c>
      <c r="S44">
        <f>HYPERLINK("https://klasma.github.io/Logging_2031/artfynd/A 352-2026 artfynd.xlsx", "A 352-2026")</f>
        <v/>
      </c>
      <c r="T44">
        <f>HYPERLINK("https://klasma.github.io/Logging_2031/kartor/A 352-2026 karta.png", "A 352-2026")</f>
        <v/>
      </c>
      <c r="V44">
        <f>HYPERLINK("https://klasma.github.io/Logging_2031/klagomål/A 352-2026 FSC-klagomål.docx", "A 352-2026")</f>
        <v/>
      </c>
      <c r="W44">
        <f>HYPERLINK("https://klasma.github.io/Logging_2031/klagomålsmail/A 352-2026 FSC-klagomål mail.docx", "A 352-2026")</f>
        <v/>
      </c>
      <c r="X44">
        <f>HYPERLINK("https://klasma.github.io/Logging_2031/tillsyn/A 352-2026 tillsynsbegäran.docx", "A 352-2026")</f>
        <v/>
      </c>
      <c r="Y44">
        <f>HYPERLINK("https://klasma.github.io/Logging_2031/tillsynsmail/A 352-2026 tillsynsbegäran mail.docx", "A 352-2026")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46178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2112-2026</t>
        </is>
      </c>
      <c r="B46" s="1" t="n">
        <v>46036</v>
      </c>
      <c r="C46" s="1" t="n">
        <v>46178</v>
      </c>
      <c r="D46" t="inlineStr">
        <is>
          <t>DALARNAS LÄN</t>
        </is>
      </c>
      <c r="E46" t="inlineStr">
        <is>
          <t>RÄTTVIK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Axag</t>
        </is>
      </c>
      <c r="S46">
        <f>HYPERLINK("https://klasma.github.io/Logging_2031/artfynd/A 2112-2026 artfynd.xlsx", "A 2112-2026")</f>
        <v/>
      </c>
      <c r="T46">
        <f>HYPERLINK("https://klasma.github.io/Logging_2031/kartor/A 2112-2026 karta.png", "A 2112-2026")</f>
        <v/>
      </c>
      <c r="V46">
        <f>HYPERLINK("https://klasma.github.io/Logging_2031/klagomål/A 2112-2026 FSC-klagomål.docx", "A 2112-2026")</f>
        <v/>
      </c>
      <c r="W46">
        <f>HYPERLINK("https://klasma.github.io/Logging_2031/klagomålsmail/A 2112-2026 FSC-klagomål mail.docx", "A 2112-2026")</f>
        <v/>
      </c>
      <c r="X46">
        <f>HYPERLINK("https://klasma.github.io/Logging_2031/tillsyn/A 2112-2026 tillsynsbegäran.docx", "A 2112-2026")</f>
        <v/>
      </c>
      <c r="Y46">
        <f>HYPERLINK("https://klasma.github.io/Logging_2031/tillsynsmail/A 2112-2026 tillsynsbegäran mail.docx", "A 2112-2026")</f>
        <v/>
      </c>
    </row>
    <row r="47" ht="15" customHeight="1">
      <c r="A47" t="inlineStr">
        <is>
          <t>A 40405-2025</t>
        </is>
      </c>
      <c r="B47" s="1" t="n">
        <v>45895</v>
      </c>
      <c r="C47" s="1" t="n">
        <v>46178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40405-2025 artfynd.xlsx", "A 40405-2025")</f>
        <v/>
      </c>
      <c r="T47">
        <f>HYPERLINK("https://klasma.github.io/Logging_2031/kartor/A 40405-2025 karta.png", "A 40405-2025")</f>
        <v/>
      </c>
      <c r="V47">
        <f>HYPERLINK("https://klasma.github.io/Logging_2031/klagomål/A 40405-2025 FSC-klagomål.docx", "A 40405-2025")</f>
        <v/>
      </c>
      <c r="W47">
        <f>HYPERLINK("https://klasma.github.io/Logging_2031/klagomålsmail/A 40405-2025 FSC-klagomål mail.docx", "A 40405-2025")</f>
        <v/>
      </c>
      <c r="X47">
        <f>HYPERLINK("https://klasma.github.io/Logging_2031/tillsyn/A 40405-2025 tillsynsbegäran.docx", "A 40405-2025")</f>
        <v/>
      </c>
      <c r="Y47">
        <f>HYPERLINK("https://klasma.github.io/Logging_2031/tillsynsmail/A 40405-2025 tillsynsbegäran mail.docx", "A 40405-2025")</f>
        <v/>
      </c>
    </row>
    <row r="48" ht="15" customHeight="1">
      <c r="A48" t="inlineStr">
        <is>
          <t>A 3472-2026</t>
        </is>
      </c>
      <c r="B48" s="1" t="n">
        <v>46042.54230324074</v>
      </c>
      <c r="C48" s="1" t="n">
        <v>46178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3472-2026 artfynd.xlsx", "A 3472-2026")</f>
        <v/>
      </c>
      <c r="T48">
        <f>HYPERLINK("https://klasma.github.io/Logging_2031/kartor/A 3472-2026 karta.png", "A 3472-2026")</f>
        <v/>
      </c>
      <c r="V48">
        <f>HYPERLINK("https://klasma.github.io/Logging_2031/klagomål/A 3472-2026 FSC-klagomål.docx", "A 3472-2026")</f>
        <v/>
      </c>
      <c r="W48">
        <f>HYPERLINK("https://klasma.github.io/Logging_2031/klagomålsmail/A 3472-2026 FSC-klagomål mail.docx", "A 3472-2026")</f>
        <v/>
      </c>
      <c r="X48">
        <f>HYPERLINK("https://klasma.github.io/Logging_2031/tillsyn/A 3472-2026 tillsynsbegäran.docx", "A 3472-2026")</f>
        <v/>
      </c>
      <c r="Y48">
        <f>HYPERLINK("https://klasma.github.io/Logging_2031/tillsynsmail/A 3472-2026 tillsynsbegäran mail.docx", "A 3472-2026")</f>
        <v/>
      </c>
    </row>
    <row r="49" ht="15" customHeight="1">
      <c r="A49" t="inlineStr">
        <is>
          <t>A 11320-2025</t>
        </is>
      </c>
      <c r="B49" s="1" t="n">
        <v>45726.46378472223</v>
      </c>
      <c r="C49" s="1" t="n">
        <v>46178</v>
      </c>
      <c r="D49" t="inlineStr">
        <is>
          <t>DALARNAS LÄN</t>
        </is>
      </c>
      <c r="E49" t="inlineStr">
        <is>
          <t>RÄTTVIK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11320-2025 artfynd.xlsx", "A 11320-2025")</f>
        <v/>
      </c>
      <c r="T49">
        <f>HYPERLINK("https://klasma.github.io/Logging_2031/kartor/A 11320-2025 karta.png", "A 11320-2025")</f>
        <v/>
      </c>
      <c r="V49">
        <f>HYPERLINK("https://klasma.github.io/Logging_2031/klagomål/A 11320-2025 FSC-klagomål.docx", "A 11320-2025")</f>
        <v/>
      </c>
      <c r="W49">
        <f>HYPERLINK("https://klasma.github.io/Logging_2031/klagomålsmail/A 11320-2025 FSC-klagomål mail.docx", "A 11320-2025")</f>
        <v/>
      </c>
      <c r="X49">
        <f>HYPERLINK("https://klasma.github.io/Logging_2031/tillsyn/A 11320-2025 tillsynsbegäran.docx", "A 11320-2025")</f>
        <v/>
      </c>
      <c r="Y49">
        <f>HYPERLINK("https://klasma.github.io/Logging_2031/tillsynsmail/A 11320-2025 tillsynsbegäran mail.docx", "A 11320-2025")</f>
        <v/>
      </c>
    </row>
    <row r="50" ht="15" customHeight="1">
      <c r="A50" t="inlineStr">
        <is>
          <t>A 17698-2025</t>
        </is>
      </c>
      <c r="B50" s="1" t="n">
        <v>45758</v>
      </c>
      <c r="C50" s="1" t="n">
        <v>46178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10.8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HYPERLINK("https://klasma.github.io/Logging_2031/artfynd/A 17698-2025 artfynd.xlsx", "A 17698-2025")</f>
        <v/>
      </c>
      <c r="T50">
        <f>HYPERLINK("https://klasma.github.io/Logging_2031/kartor/A 17698-2025 karta.png", "A 17698-2025")</f>
        <v/>
      </c>
      <c r="V50">
        <f>HYPERLINK("https://klasma.github.io/Logging_2031/klagomål/A 17698-2025 FSC-klagomål.docx", "A 17698-2025")</f>
        <v/>
      </c>
      <c r="W50">
        <f>HYPERLINK("https://klasma.github.io/Logging_2031/klagomålsmail/A 17698-2025 FSC-klagomål mail.docx", "A 17698-2025")</f>
        <v/>
      </c>
      <c r="X50">
        <f>HYPERLINK("https://klasma.github.io/Logging_2031/tillsyn/A 17698-2025 tillsynsbegäran.docx", "A 17698-2025")</f>
        <v/>
      </c>
      <c r="Y50">
        <f>HYPERLINK("https://klasma.github.io/Logging_2031/tillsynsmail/A 17698-2025 tillsynsbegäran mail.docx", "A 17698-2025")</f>
        <v/>
      </c>
    </row>
    <row r="51" ht="15" customHeight="1">
      <c r="A51" t="inlineStr">
        <is>
          <t>A 5890-2026</t>
        </is>
      </c>
      <c r="B51" s="1" t="n">
        <v>46052</v>
      </c>
      <c r="C51" s="1" t="n">
        <v>46178</v>
      </c>
      <c r="D51" t="inlineStr">
        <is>
          <t>DALARNAS LÄN</t>
        </is>
      </c>
      <c r="E51" t="inlineStr">
        <is>
          <t>RÄTTVIK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HYPERLINK("https://klasma.github.io/Logging_2031/artfynd/A 5890-2026 artfynd.xlsx", "A 5890-2026")</f>
        <v/>
      </c>
      <c r="T51">
        <f>HYPERLINK("https://klasma.github.io/Logging_2031/kartor/A 5890-2026 karta.png", "A 5890-2026")</f>
        <v/>
      </c>
      <c r="V51">
        <f>HYPERLINK("https://klasma.github.io/Logging_2031/klagomål/A 5890-2026 FSC-klagomål.docx", "A 5890-2026")</f>
        <v/>
      </c>
      <c r="W51">
        <f>HYPERLINK("https://klasma.github.io/Logging_2031/klagomålsmail/A 5890-2026 FSC-klagomål mail.docx", "A 5890-2026")</f>
        <v/>
      </c>
      <c r="X51">
        <f>HYPERLINK("https://klasma.github.io/Logging_2031/tillsyn/A 5890-2026 tillsynsbegäran.docx", "A 5890-2026")</f>
        <v/>
      </c>
      <c r="Y51">
        <f>HYPERLINK("https://klasma.github.io/Logging_2031/tillsynsmail/A 5890-2026 tillsynsbegäran mail.docx", "A 5890-2026")</f>
        <v/>
      </c>
    </row>
    <row r="52" ht="15" customHeight="1">
      <c r="A52" t="inlineStr">
        <is>
          <t>A 33392-2025</t>
        </is>
      </c>
      <c r="B52" s="1" t="n">
        <v>45841.40885416666</v>
      </c>
      <c r="C52" s="1" t="n">
        <v>46178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HYPERLINK("https://klasma.github.io/Logging_2031/artfynd/A 33392-2025 artfynd.xlsx", "A 33392-2025")</f>
        <v/>
      </c>
      <c r="T52">
        <f>HYPERLINK("https://klasma.github.io/Logging_2031/kartor/A 33392-2025 karta.png", "A 33392-2025")</f>
        <v/>
      </c>
      <c r="V52">
        <f>HYPERLINK("https://klasma.github.io/Logging_2031/klagomål/A 33392-2025 FSC-klagomål.docx", "A 33392-2025")</f>
        <v/>
      </c>
      <c r="W52">
        <f>HYPERLINK("https://klasma.github.io/Logging_2031/klagomålsmail/A 33392-2025 FSC-klagomål mail.docx", "A 33392-2025")</f>
        <v/>
      </c>
      <c r="X52">
        <f>HYPERLINK("https://klasma.github.io/Logging_2031/tillsyn/A 33392-2025 tillsynsbegäran.docx", "A 33392-2025")</f>
        <v/>
      </c>
      <c r="Y52">
        <f>HYPERLINK("https://klasma.github.io/Logging_2031/tillsynsmail/A 33392-2025 tillsynsbegäran mail.docx", "A 33392-2025")</f>
        <v/>
      </c>
    </row>
    <row r="53" ht="15" customHeight="1">
      <c r="A53" t="inlineStr">
        <is>
          <t>A 8764-2026</t>
        </is>
      </c>
      <c r="B53" s="1" t="n">
        <v>46066</v>
      </c>
      <c r="C53" s="1" t="n">
        <v>46178</v>
      </c>
      <c r="D53" t="inlineStr">
        <is>
          <t>DALARNAS LÄN</t>
        </is>
      </c>
      <c r="E53" t="inlineStr">
        <is>
          <t>RÄTTVIK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HYPERLINK("https://klasma.github.io/Logging_2031/artfynd/A 8764-2026 artfynd.xlsx", "A 8764-2026")</f>
        <v/>
      </c>
      <c r="T53">
        <f>HYPERLINK("https://klasma.github.io/Logging_2031/kartor/A 8764-2026 karta.png", "A 8764-2026")</f>
        <v/>
      </c>
      <c r="V53">
        <f>HYPERLINK("https://klasma.github.io/Logging_2031/klagomål/A 8764-2026 FSC-klagomål.docx", "A 8764-2026")</f>
        <v/>
      </c>
      <c r="W53">
        <f>HYPERLINK("https://klasma.github.io/Logging_2031/klagomålsmail/A 8764-2026 FSC-klagomål mail.docx", "A 8764-2026")</f>
        <v/>
      </c>
      <c r="X53">
        <f>HYPERLINK("https://klasma.github.io/Logging_2031/tillsyn/A 8764-2026 tillsynsbegäran.docx", "A 8764-2026")</f>
        <v/>
      </c>
      <c r="Y53">
        <f>HYPERLINK("https://klasma.github.io/Logging_2031/tillsynsmail/A 8764-2026 tillsynsbegäran mail.docx", "A 8764-2026")</f>
        <v/>
      </c>
    </row>
    <row r="54" ht="15" customHeight="1">
      <c r="A54" t="inlineStr">
        <is>
          <t>A 11710-2026</t>
        </is>
      </c>
      <c r="B54" s="1" t="n">
        <v>46084</v>
      </c>
      <c r="C54" s="1" t="n">
        <v>46178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62.7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Lavskrika</t>
        </is>
      </c>
      <c r="S54">
        <f>HYPERLINK("https://klasma.github.io/Logging_2031/artfynd/A 11710-2026 artfynd.xlsx", "A 11710-2026")</f>
        <v/>
      </c>
      <c r="T54">
        <f>HYPERLINK("https://klasma.github.io/Logging_2031/kartor/A 11710-2026 karta.png", "A 11710-2026")</f>
        <v/>
      </c>
      <c r="V54">
        <f>HYPERLINK("https://klasma.github.io/Logging_2031/klagomål/A 11710-2026 FSC-klagomål.docx", "A 11710-2026")</f>
        <v/>
      </c>
      <c r="W54">
        <f>HYPERLINK("https://klasma.github.io/Logging_2031/klagomålsmail/A 11710-2026 FSC-klagomål mail.docx", "A 11710-2026")</f>
        <v/>
      </c>
      <c r="X54">
        <f>HYPERLINK("https://klasma.github.io/Logging_2031/tillsyn/A 11710-2026 tillsynsbegäran.docx", "A 11710-2026")</f>
        <v/>
      </c>
      <c r="Y54">
        <f>HYPERLINK("https://klasma.github.io/Logging_2031/tillsynsmail/A 11710-2026 tillsynsbegäran mail.docx", "A 11710-2026")</f>
        <v/>
      </c>
      <c r="Z54">
        <f>HYPERLINK("https://klasma.github.io/Logging_2031/fåglar/A 11710-2026 prioriterade fågelarter.docx", "A 11710-2026")</f>
        <v/>
      </c>
    </row>
    <row r="55" ht="15" customHeight="1">
      <c r="A55" t="inlineStr">
        <is>
          <t>A 11956-2026</t>
        </is>
      </c>
      <c r="B55" s="1" t="n">
        <v>46085</v>
      </c>
      <c r="C55" s="1" t="n">
        <v>46178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48.8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HYPERLINK("https://klasma.github.io/Logging_2031/artfynd/A 11956-2026 artfynd.xlsx", "A 11956-2026")</f>
        <v/>
      </c>
      <c r="T55">
        <f>HYPERLINK("https://klasma.github.io/Logging_2031/kartor/A 11956-2026 karta.png", "A 11956-2026")</f>
        <v/>
      </c>
      <c r="V55">
        <f>HYPERLINK("https://klasma.github.io/Logging_2031/klagomål/A 11956-2026 FSC-klagomål.docx", "A 11956-2026")</f>
        <v/>
      </c>
      <c r="W55">
        <f>HYPERLINK("https://klasma.github.io/Logging_2031/klagomålsmail/A 11956-2026 FSC-klagomål mail.docx", "A 11956-2026")</f>
        <v/>
      </c>
      <c r="X55">
        <f>HYPERLINK("https://klasma.github.io/Logging_2031/tillsyn/A 11956-2026 tillsynsbegäran.docx", "A 11956-2026")</f>
        <v/>
      </c>
      <c r="Y55">
        <f>HYPERLINK("https://klasma.github.io/Logging_2031/tillsynsmail/A 11956-2026 tillsynsbegäran mail.docx", "A 11956-2026")</f>
        <v/>
      </c>
    </row>
    <row r="56" ht="15" customHeight="1">
      <c r="A56" t="inlineStr">
        <is>
          <t>A 12391-2026</t>
        </is>
      </c>
      <c r="B56" s="1" t="n">
        <v>46090.37635416666</v>
      </c>
      <c r="C56" s="1" t="n">
        <v>46178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12391-2026 artfynd.xlsx", "A 12391-2026")</f>
        <v/>
      </c>
      <c r="T56">
        <f>HYPERLINK("https://klasma.github.io/Logging_2031/kartor/A 12391-2026 karta.png", "A 12391-2026")</f>
        <v/>
      </c>
      <c r="V56">
        <f>HYPERLINK("https://klasma.github.io/Logging_2031/klagomål/A 12391-2026 FSC-klagomål.docx", "A 12391-2026")</f>
        <v/>
      </c>
      <c r="W56">
        <f>HYPERLINK("https://klasma.github.io/Logging_2031/klagomålsmail/A 12391-2026 FSC-klagomål mail.docx", "A 12391-2026")</f>
        <v/>
      </c>
      <c r="X56">
        <f>HYPERLINK("https://klasma.github.io/Logging_2031/tillsyn/A 12391-2026 tillsynsbegäran.docx", "A 12391-2026")</f>
        <v/>
      </c>
      <c r="Y56">
        <f>HYPERLINK("https://klasma.github.io/Logging_2031/tillsynsmail/A 12391-2026 tillsynsbegäran mail.docx", "A 12391-2026")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46178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14992-2026</t>
        </is>
      </c>
      <c r="B58" s="1" t="n">
        <v>46104</v>
      </c>
      <c r="C58" s="1" t="n">
        <v>46178</v>
      </c>
      <c r="D58" t="inlineStr">
        <is>
          <t>DALARNAS LÄN</t>
        </is>
      </c>
      <c r="E58" t="inlineStr">
        <is>
          <t>RÄTTVIK</t>
        </is>
      </c>
      <c r="G58" t="n">
        <v>17.7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14992-2026 artfynd.xlsx", "A 14992-2026")</f>
        <v/>
      </c>
      <c r="T58">
        <f>HYPERLINK("https://klasma.github.io/Logging_2031/kartor/A 14992-2026 karta.png", "A 14992-2026")</f>
        <v/>
      </c>
      <c r="V58">
        <f>HYPERLINK("https://klasma.github.io/Logging_2031/klagomål/A 14992-2026 FSC-klagomål.docx", "A 14992-2026")</f>
        <v/>
      </c>
      <c r="W58">
        <f>HYPERLINK("https://klasma.github.io/Logging_2031/klagomålsmail/A 14992-2026 FSC-klagomål mail.docx", "A 14992-2026")</f>
        <v/>
      </c>
      <c r="X58">
        <f>HYPERLINK("https://klasma.github.io/Logging_2031/tillsyn/A 14992-2026 tillsynsbegäran.docx", "A 14992-2026")</f>
        <v/>
      </c>
      <c r="Y58">
        <f>HYPERLINK("https://klasma.github.io/Logging_2031/tillsynsmail/A 14992-2026 tillsynsbegäran mail.docx", "A 14992-2026")</f>
        <v/>
      </c>
    </row>
    <row r="59" ht="15" customHeight="1">
      <c r="A59" t="inlineStr">
        <is>
          <t>A 15164-2026</t>
        </is>
      </c>
      <c r="B59" s="1" t="n">
        <v>46105</v>
      </c>
      <c r="C59" s="1" t="n">
        <v>46178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15.9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Brunklöver</t>
        </is>
      </c>
      <c r="S59">
        <f>HYPERLINK("https://klasma.github.io/Logging_2031/artfynd/A 15164-2026 artfynd.xlsx", "A 15164-2026")</f>
        <v/>
      </c>
      <c r="T59">
        <f>HYPERLINK("https://klasma.github.io/Logging_2031/kartor/A 15164-2026 karta.png", "A 15164-2026")</f>
        <v/>
      </c>
      <c r="V59">
        <f>HYPERLINK("https://klasma.github.io/Logging_2031/klagomål/A 15164-2026 FSC-klagomål.docx", "A 15164-2026")</f>
        <v/>
      </c>
      <c r="W59">
        <f>HYPERLINK("https://klasma.github.io/Logging_2031/klagomålsmail/A 15164-2026 FSC-klagomål mail.docx", "A 15164-2026")</f>
        <v/>
      </c>
      <c r="X59">
        <f>HYPERLINK("https://klasma.github.io/Logging_2031/tillsyn/A 15164-2026 tillsynsbegäran.docx", "A 15164-2026")</f>
        <v/>
      </c>
      <c r="Y59">
        <f>HYPERLINK("https://klasma.github.io/Logging_2031/tillsynsmail/A 15164-2026 tillsynsbegäran mail.docx", "A 15164-2026")</f>
        <v/>
      </c>
    </row>
    <row r="60" ht="15" customHeight="1">
      <c r="A60" t="inlineStr">
        <is>
          <t>A 56613-2025</t>
        </is>
      </c>
      <c r="B60" s="1" t="n">
        <v>45975.59050925926</v>
      </c>
      <c r="C60" s="1" t="n">
        <v>46178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25.7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56613-2025 artfynd.xlsx", "A 56613-2025")</f>
        <v/>
      </c>
      <c r="T60">
        <f>HYPERLINK("https://klasma.github.io/Logging_2031/kartor/A 56613-2025 karta.png", "A 56613-2025")</f>
        <v/>
      </c>
      <c r="V60">
        <f>HYPERLINK("https://klasma.github.io/Logging_2031/klagomål/A 56613-2025 FSC-klagomål.docx", "A 56613-2025")</f>
        <v/>
      </c>
      <c r="W60">
        <f>HYPERLINK("https://klasma.github.io/Logging_2031/klagomålsmail/A 56613-2025 FSC-klagomål mail.docx", "A 56613-2025")</f>
        <v/>
      </c>
      <c r="X60">
        <f>HYPERLINK("https://klasma.github.io/Logging_2031/tillsyn/A 56613-2025 tillsynsbegäran.docx", "A 56613-2025")</f>
        <v/>
      </c>
      <c r="Y60">
        <f>HYPERLINK("https://klasma.github.io/Logging_2031/tillsynsmail/A 56613-2025 tillsynsbegäran mail.docx", "A 56613-2025")</f>
        <v/>
      </c>
    </row>
    <row r="61" ht="15" customHeight="1">
      <c r="A61" t="inlineStr">
        <is>
          <t>A 58675-2025</t>
        </is>
      </c>
      <c r="B61" s="1" t="n">
        <v>45986.55873842593</v>
      </c>
      <c r="C61" s="1" t="n">
        <v>46178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18.1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HYPERLINK("https://klasma.github.io/Logging_2031/artfynd/A 58675-2025 artfynd.xlsx", "A 58675-2025")</f>
        <v/>
      </c>
      <c r="T61">
        <f>HYPERLINK("https://klasma.github.io/Logging_2031/kartor/A 58675-2025 karta.png", "A 58675-2025")</f>
        <v/>
      </c>
      <c r="U61">
        <f>HYPERLINK("https://klasma.github.io/Logging_2031/knärot/A 58675-2025 karta knärot.png", "A 58675-2025")</f>
        <v/>
      </c>
      <c r="V61">
        <f>HYPERLINK("https://klasma.github.io/Logging_2031/klagomål/A 58675-2025 FSC-klagomål.docx", "A 58675-2025")</f>
        <v/>
      </c>
      <c r="W61">
        <f>HYPERLINK("https://klasma.github.io/Logging_2031/klagomålsmail/A 58675-2025 FSC-klagomål mail.docx", "A 58675-2025")</f>
        <v/>
      </c>
      <c r="X61">
        <f>HYPERLINK("https://klasma.github.io/Logging_2031/tillsyn/A 58675-2025 tillsynsbegäran.docx", "A 58675-2025")</f>
        <v/>
      </c>
      <c r="Y61">
        <f>HYPERLINK("https://klasma.github.io/Logging_2031/tillsynsmail/A 58675-2025 tillsynsbegäran mail.docx", "A 58675-2025")</f>
        <v/>
      </c>
    </row>
    <row r="62" ht="15" customHeight="1">
      <c r="A62" t="inlineStr">
        <is>
          <t>A 64451-2021</t>
        </is>
      </c>
      <c r="B62" s="1" t="n">
        <v>44511</v>
      </c>
      <c r="C62" s="1" t="n">
        <v>46178</v>
      </c>
      <c r="D62" t="inlineStr">
        <is>
          <t>DALARNAS LÄN</t>
        </is>
      </c>
      <c r="E62" t="inlineStr">
        <is>
          <t>RÄTTVIK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HYPERLINK("https://klasma.github.io/Logging_2031/artfynd/A 64451-2021 artfynd.xlsx", "A 64451-2021")</f>
        <v/>
      </c>
      <c r="T62">
        <f>HYPERLINK("https://klasma.github.io/Logging_2031/kartor/A 64451-2021 karta.png", "A 64451-2021")</f>
        <v/>
      </c>
      <c r="V62">
        <f>HYPERLINK("https://klasma.github.io/Logging_2031/klagomål/A 64451-2021 FSC-klagomål.docx", "A 64451-2021")</f>
        <v/>
      </c>
      <c r="W62">
        <f>HYPERLINK("https://klasma.github.io/Logging_2031/klagomålsmail/A 64451-2021 FSC-klagomål mail.docx", "A 64451-2021")</f>
        <v/>
      </c>
      <c r="X62">
        <f>HYPERLINK("https://klasma.github.io/Logging_2031/tillsyn/A 64451-2021 tillsynsbegäran.docx", "A 64451-2021")</f>
        <v/>
      </c>
      <c r="Y62">
        <f>HYPERLINK("https://klasma.github.io/Logging_2031/tillsynsmail/A 64451-2021 tillsynsbegäran mail.docx", "A 64451-2021")</f>
        <v/>
      </c>
    </row>
    <row r="63" ht="15" customHeight="1">
      <c r="A63" t="inlineStr">
        <is>
          <t>A 60710-2025</t>
        </is>
      </c>
      <c r="B63" s="1" t="n">
        <v>45996.62631944445</v>
      </c>
      <c r="C63" s="1" t="n">
        <v>46178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HYPERLINK("https://klasma.github.io/Logging_2031/artfynd/A 60710-2025 artfynd.xlsx", "A 60710-2025")</f>
        <v/>
      </c>
      <c r="T63">
        <f>HYPERLINK("https://klasma.github.io/Logging_2031/kartor/A 60710-2025 karta.png", "A 60710-2025")</f>
        <v/>
      </c>
      <c r="V63">
        <f>HYPERLINK("https://klasma.github.io/Logging_2031/klagomål/A 60710-2025 FSC-klagomål.docx", "A 60710-2025")</f>
        <v/>
      </c>
      <c r="W63">
        <f>HYPERLINK("https://klasma.github.io/Logging_2031/klagomålsmail/A 60710-2025 FSC-klagomål mail.docx", "A 60710-2025")</f>
        <v/>
      </c>
      <c r="X63">
        <f>HYPERLINK("https://klasma.github.io/Logging_2031/tillsyn/A 60710-2025 tillsynsbegäran.docx", "A 60710-2025")</f>
        <v/>
      </c>
      <c r="Y63">
        <f>HYPERLINK("https://klasma.github.io/Logging_2031/tillsynsmail/A 60710-2025 tillsynsbegäran mail.docx", "A 60710-2025")</f>
        <v/>
      </c>
    </row>
    <row r="64" ht="15" customHeight="1">
      <c r="A64" t="inlineStr">
        <is>
          <t>A 18535-2026</t>
        </is>
      </c>
      <c r="B64" s="1" t="n">
        <v>46127</v>
      </c>
      <c r="C64" s="1" t="n">
        <v>46178</v>
      </c>
      <c r="D64" t="inlineStr">
        <is>
          <t>DALARNAS LÄN</t>
        </is>
      </c>
      <c r="E64" t="inlineStr">
        <is>
          <t>RÄTTVIK</t>
        </is>
      </c>
      <c r="G64" t="n">
        <v>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Väddnätfjäril</t>
        </is>
      </c>
      <c r="S64">
        <f>HYPERLINK("https://klasma.github.io/Logging_2031/artfynd/A 18535-2026 artfynd.xlsx", "A 18535-2026")</f>
        <v/>
      </c>
      <c r="T64">
        <f>HYPERLINK("https://klasma.github.io/Logging_2031/kartor/A 18535-2026 karta.png", "A 18535-2026")</f>
        <v/>
      </c>
      <c r="V64">
        <f>HYPERLINK("https://klasma.github.io/Logging_2031/klagomål/A 18535-2026 FSC-klagomål.docx", "A 18535-2026")</f>
        <v/>
      </c>
      <c r="W64">
        <f>HYPERLINK("https://klasma.github.io/Logging_2031/klagomålsmail/A 18535-2026 FSC-klagomål mail.docx", "A 18535-2026")</f>
        <v/>
      </c>
      <c r="X64">
        <f>HYPERLINK("https://klasma.github.io/Logging_2031/tillsyn/A 18535-2026 tillsynsbegäran.docx", "A 18535-2026")</f>
        <v/>
      </c>
      <c r="Y64">
        <f>HYPERLINK("https://klasma.github.io/Logging_2031/tillsynsmail/A 18535-2026 tillsynsbegäran mail.docx", "A 18535-2026")</f>
        <v/>
      </c>
    </row>
    <row r="65" ht="15" customHeight="1">
      <c r="A65" t="inlineStr">
        <is>
          <t>A 35539-2024</t>
        </is>
      </c>
      <c r="B65" s="1" t="n">
        <v>45531.6003125</v>
      </c>
      <c r="C65" s="1" t="n">
        <v>46178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19775-2026</t>
        </is>
      </c>
      <c r="B66" s="1" t="n">
        <v>46135.4365625</v>
      </c>
      <c r="C66" s="1" t="n">
        <v>46178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HYPERLINK("https://klasma.github.io/Logging_2031/artfynd/A 19775-2026 artfynd.xlsx", "A 19775-2026")</f>
        <v/>
      </c>
      <c r="T66">
        <f>HYPERLINK("https://klasma.github.io/Logging_2031/kartor/A 19775-2026 karta.png", "A 19775-2026")</f>
        <v/>
      </c>
      <c r="V66">
        <f>HYPERLINK("https://klasma.github.io/Logging_2031/klagomål/A 19775-2026 FSC-klagomål.docx", "A 19775-2026")</f>
        <v/>
      </c>
      <c r="W66">
        <f>HYPERLINK("https://klasma.github.io/Logging_2031/klagomålsmail/A 19775-2026 FSC-klagomål mail.docx", "A 19775-2026")</f>
        <v/>
      </c>
      <c r="X66">
        <f>HYPERLINK("https://klasma.github.io/Logging_2031/tillsyn/A 19775-2026 tillsynsbegäran.docx", "A 19775-2026")</f>
        <v/>
      </c>
      <c r="Y66">
        <f>HYPERLINK("https://klasma.github.io/Logging_2031/tillsynsmail/A 19775-2026 tillsynsbegäran mail.docx", "A 19775-2026")</f>
        <v/>
      </c>
    </row>
    <row r="67" ht="15" customHeight="1">
      <c r="A67" t="inlineStr">
        <is>
          <t>A 61983-2022</t>
        </is>
      </c>
      <c r="B67" s="1" t="n">
        <v>44918</v>
      </c>
      <c r="C67" s="1" t="n">
        <v>46178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HYPERLINK("https://klasma.github.io/Logging_2031/artfynd/A 61983-2022 artfynd.xlsx", "A 61983-2022")</f>
        <v/>
      </c>
      <c r="T67">
        <f>HYPERLINK("https://klasma.github.io/Logging_2031/kartor/A 61983-2022 karta.png", "A 61983-2022")</f>
        <v/>
      </c>
      <c r="V67">
        <f>HYPERLINK("https://klasma.github.io/Logging_2031/klagomål/A 61983-2022 FSC-klagomål.docx", "A 61983-2022")</f>
        <v/>
      </c>
      <c r="W67">
        <f>HYPERLINK("https://klasma.github.io/Logging_2031/klagomålsmail/A 61983-2022 FSC-klagomål mail.docx", "A 61983-2022")</f>
        <v/>
      </c>
      <c r="X67">
        <f>HYPERLINK("https://klasma.github.io/Logging_2031/tillsyn/A 61983-2022 tillsynsbegäran.docx", "A 61983-2022")</f>
        <v/>
      </c>
      <c r="Y67">
        <f>HYPERLINK("https://klasma.github.io/Logging_2031/tillsynsmail/A 61983-2022 tillsynsbegäran mail.docx", "A 61983-2022")</f>
        <v/>
      </c>
    </row>
    <row r="68" ht="15" customHeight="1">
      <c r="A68" t="inlineStr">
        <is>
          <t>A 20207-2025</t>
        </is>
      </c>
      <c r="B68" s="1" t="n">
        <v>45772.61609953704</v>
      </c>
      <c r="C68" s="1" t="n">
        <v>46178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HYPERLINK("https://klasma.github.io/Logging_2031/artfynd/A 20207-2025 artfynd.xlsx", "A 20207-2025")</f>
        <v/>
      </c>
      <c r="T68">
        <f>HYPERLINK("https://klasma.github.io/Logging_2031/kartor/A 20207-2025 karta.png", "A 20207-2025")</f>
        <v/>
      </c>
      <c r="V68">
        <f>HYPERLINK("https://klasma.github.io/Logging_2031/klagomål/A 20207-2025 FSC-klagomål.docx", "A 20207-2025")</f>
        <v/>
      </c>
      <c r="W68">
        <f>HYPERLINK("https://klasma.github.io/Logging_2031/klagomålsmail/A 20207-2025 FSC-klagomål mail.docx", "A 20207-2025")</f>
        <v/>
      </c>
      <c r="X68">
        <f>HYPERLINK("https://klasma.github.io/Logging_2031/tillsyn/A 20207-2025 tillsynsbegäran.docx", "A 20207-2025")</f>
        <v/>
      </c>
      <c r="Y68">
        <f>HYPERLINK("https://klasma.github.io/Logging_2031/tillsynsmail/A 20207-2025 tillsynsbegäran mail.docx", "A 20207-2025")</f>
        <v/>
      </c>
      <c r="Z68">
        <f>HYPERLINK("https://klasma.github.io/Logging_2031/fåglar/A 20207-2025 prioriterade fågelarter.docx", "A 20207-2025")</f>
        <v/>
      </c>
    </row>
    <row r="69" ht="15" customHeight="1">
      <c r="A69" t="inlineStr">
        <is>
          <t>A 17734-2024</t>
        </is>
      </c>
      <c r="B69" s="1" t="n">
        <v>45415</v>
      </c>
      <c r="C69" s="1" t="n">
        <v>46178</v>
      </c>
      <c r="D69" t="inlineStr">
        <is>
          <t>DALARNAS LÄN</t>
        </is>
      </c>
      <c r="E69" t="inlineStr">
        <is>
          <t>RÄTTVIK</t>
        </is>
      </c>
      <c r="G69" t="n">
        <v>9.300000000000001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HYPERLINK("https://klasma.github.io/Logging_2031/artfynd/A 17734-2024 artfynd.xlsx", "A 17734-2024")</f>
        <v/>
      </c>
      <c r="T69">
        <f>HYPERLINK("https://klasma.github.io/Logging_2031/kartor/A 17734-2024 karta.png", "A 17734-2024")</f>
        <v/>
      </c>
      <c r="V69">
        <f>HYPERLINK("https://klasma.github.io/Logging_2031/klagomål/A 17734-2024 FSC-klagomål.docx", "A 17734-2024")</f>
        <v/>
      </c>
      <c r="W69">
        <f>HYPERLINK("https://klasma.github.io/Logging_2031/klagomålsmail/A 17734-2024 FSC-klagomål mail.docx", "A 17734-2024")</f>
        <v/>
      </c>
      <c r="X69">
        <f>HYPERLINK("https://klasma.github.io/Logging_2031/tillsyn/A 17734-2024 tillsynsbegäran.docx", "A 17734-2024")</f>
        <v/>
      </c>
      <c r="Y69">
        <f>HYPERLINK("https://klasma.github.io/Logging_2031/tillsynsmail/A 17734-2024 tillsynsbegäran mail.docx", "A 17734-2024")</f>
        <v/>
      </c>
    </row>
    <row r="70" ht="15" customHeight="1">
      <c r="A70" t="inlineStr">
        <is>
          <t>A 16116-2024</t>
        </is>
      </c>
      <c r="B70" s="1" t="n">
        <v>45406.48300925926</v>
      </c>
      <c r="C70" s="1" t="n">
        <v>46178</v>
      </c>
      <c r="D70" t="inlineStr">
        <is>
          <t>DALARNAS LÄN</t>
        </is>
      </c>
      <c r="E70" t="inlineStr">
        <is>
          <t>RÄTTVIK</t>
        </is>
      </c>
      <c r="G70" t="n">
        <v>19.1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Korallblylav</t>
        </is>
      </c>
      <c r="S70">
        <f>HYPERLINK("https://klasma.github.io/Logging_2031/artfynd/A 16116-2024 artfynd.xlsx", "A 16116-2024")</f>
        <v/>
      </c>
      <c r="T70">
        <f>HYPERLINK("https://klasma.github.io/Logging_2031/kartor/A 16116-2024 karta.png", "A 16116-2024")</f>
        <v/>
      </c>
      <c r="V70">
        <f>HYPERLINK("https://klasma.github.io/Logging_2031/klagomål/A 16116-2024 FSC-klagomål.docx", "A 16116-2024")</f>
        <v/>
      </c>
      <c r="W70">
        <f>HYPERLINK("https://klasma.github.io/Logging_2031/klagomålsmail/A 16116-2024 FSC-klagomål mail.docx", "A 16116-2024")</f>
        <v/>
      </c>
      <c r="X70">
        <f>HYPERLINK("https://klasma.github.io/Logging_2031/tillsyn/A 16116-2024 tillsynsbegäran.docx", "A 16116-2024")</f>
        <v/>
      </c>
      <c r="Y70">
        <f>HYPERLINK("https://klasma.github.io/Logging_2031/tillsynsmail/A 16116-2024 tillsynsbegäran mail.docx", "A 16116-2024")</f>
        <v/>
      </c>
    </row>
    <row r="71" ht="15" customHeight="1">
      <c r="A71" t="inlineStr">
        <is>
          <t>A 16818-2024</t>
        </is>
      </c>
      <c r="B71" s="1" t="n">
        <v>45411.46664351852</v>
      </c>
      <c r="C71" s="1" t="n">
        <v>46178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2.5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HYPERLINK("https://klasma.github.io/Logging_2031/artfynd/A 16818-2024 artfynd.xlsx", "A 16818-2024")</f>
        <v/>
      </c>
      <c r="T71">
        <f>HYPERLINK("https://klasma.github.io/Logging_2031/kartor/A 16818-2024 karta.png", "A 16818-2024")</f>
        <v/>
      </c>
      <c r="V71">
        <f>HYPERLINK("https://klasma.github.io/Logging_2031/klagomål/A 16818-2024 FSC-klagomål.docx", "A 16818-2024")</f>
        <v/>
      </c>
      <c r="W71">
        <f>HYPERLINK("https://klasma.github.io/Logging_2031/klagomålsmail/A 16818-2024 FSC-klagomål mail.docx", "A 16818-2024")</f>
        <v/>
      </c>
      <c r="X71">
        <f>HYPERLINK("https://klasma.github.io/Logging_2031/tillsyn/A 16818-2024 tillsynsbegäran.docx", "A 16818-2024")</f>
        <v/>
      </c>
      <c r="Y71">
        <f>HYPERLINK("https://klasma.github.io/Logging_2031/tillsynsmail/A 16818-2024 tillsynsbegäran mail.docx", "A 16818-2024")</f>
        <v/>
      </c>
    </row>
    <row r="72" ht="15" customHeight="1">
      <c r="A72" t="inlineStr">
        <is>
          <t>A 22026-2025</t>
        </is>
      </c>
      <c r="B72" s="1" t="n">
        <v>45784.99015046296</v>
      </c>
      <c r="C72" s="1" t="n">
        <v>46178</v>
      </c>
      <c r="D72" t="inlineStr">
        <is>
          <t>DALARNAS LÄN</t>
        </is>
      </c>
      <c r="E72" t="inlineStr">
        <is>
          <t>RÄTTVIK</t>
        </is>
      </c>
      <c r="G72" t="n">
        <v>6.7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HYPERLINK("https://klasma.github.io/Logging_2031/artfynd/A 22026-2025 artfynd.xlsx", "A 22026-2025")</f>
        <v/>
      </c>
      <c r="T72">
        <f>HYPERLINK("https://klasma.github.io/Logging_2031/kartor/A 22026-2025 karta.png", "A 22026-2025")</f>
        <v/>
      </c>
      <c r="V72">
        <f>HYPERLINK("https://klasma.github.io/Logging_2031/klagomål/A 22026-2025 FSC-klagomål.docx", "A 22026-2025")</f>
        <v/>
      </c>
      <c r="W72">
        <f>HYPERLINK("https://klasma.github.io/Logging_2031/klagomålsmail/A 22026-2025 FSC-klagomål mail.docx", "A 22026-2025")</f>
        <v/>
      </c>
      <c r="X72">
        <f>HYPERLINK("https://klasma.github.io/Logging_2031/tillsyn/A 22026-2025 tillsynsbegäran.docx", "A 22026-2025")</f>
        <v/>
      </c>
      <c r="Y72">
        <f>HYPERLINK("https://klasma.github.io/Logging_2031/tillsynsmail/A 22026-2025 tillsynsbegäran mail.docx", "A 22026-2025")</f>
        <v/>
      </c>
    </row>
    <row r="73" ht="15" customHeight="1">
      <c r="A73" t="inlineStr">
        <is>
          <t>A 34305-2024</t>
        </is>
      </c>
      <c r="B73" s="1" t="n">
        <v>45524</v>
      </c>
      <c r="C73" s="1" t="n">
        <v>46178</v>
      </c>
      <c r="D73" t="inlineStr">
        <is>
          <t>DALARNAS LÄN</t>
        </is>
      </c>
      <c r="E73" t="inlineStr">
        <is>
          <t>RÄTTVIK</t>
        </is>
      </c>
      <c r="G73" t="n">
        <v>18.1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HYPERLINK("https://klasma.github.io/Logging_2031/artfynd/A 34305-2024 artfynd.xlsx", "A 34305-2024")</f>
        <v/>
      </c>
      <c r="T73">
        <f>HYPERLINK("https://klasma.github.io/Logging_2031/kartor/A 34305-2024 karta.png", "A 34305-2024")</f>
        <v/>
      </c>
      <c r="V73">
        <f>HYPERLINK("https://klasma.github.io/Logging_2031/klagomål/A 34305-2024 FSC-klagomål.docx", "A 34305-2024")</f>
        <v/>
      </c>
      <c r="W73">
        <f>HYPERLINK("https://klasma.github.io/Logging_2031/klagomålsmail/A 34305-2024 FSC-klagomål mail.docx", "A 34305-2024")</f>
        <v/>
      </c>
      <c r="X73">
        <f>HYPERLINK("https://klasma.github.io/Logging_2031/tillsyn/A 34305-2024 tillsynsbegäran.docx", "A 34305-2024")</f>
        <v/>
      </c>
      <c r="Y73">
        <f>HYPERLINK("https://klasma.github.io/Logging_2031/tillsynsmail/A 34305-2024 tillsynsbegäran mail.docx", "A 34305-2024")</f>
        <v/>
      </c>
    </row>
    <row r="74" ht="15" customHeight="1">
      <c r="A74" t="inlineStr">
        <is>
          <t>A 45776-2021</t>
        </is>
      </c>
      <c r="B74" s="1" t="n">
        <v>44441</v>
      </c>
      <c r="C74" s="1" t="n">
        <v>46178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34396-2022</t>
        </is>
      </c>
      <c r="B75" s="1" t="n">
        <v>44792.51143518519</v>
      </c>
      <c r="C75" s="1" t="n">
        <v>46178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49010-2022</t>
        </is>
      </c>
      <c r="B76" s="1" t="n">
        <v>44860</v>
      </c>
      <c r="C76" s="1" t="n">
        <v>46178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50565-2021</t>
        </is>
      </c>
      <c r="B77" s="1" t="n">
        <v>44459</v>
      </c>
      <c r="C77" s="1" t="n">
        <v>46178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46178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60205-2021</t>
        </is>
      </c>
      <c r="B79" s="1" t="n">
        <v>44495.57832175926</v>
      </c>
      <c r="C79" s="1" t="n">
        <v>46178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60206-2021</t>
        </is>
      </c>
      <c r="B80" s="1" t="n">
        <v>44495.57938657407</v>
      </c>
      <c r="C80" s="1" t="n">
        <v>46178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60207-2021</t>
        </is>
      </c>
      <c r="B81" s="1" t="n">
        <v>44495.58121527778</v>
      </c>
      <c r="C81" s="1" t="n">
        <v>46178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46178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70472-2021</t>
        </is>
      </c>
      <c r="B83" s="1" t="n">
        <v>44536.66678240741</v>
      </c>
      <c r="C83" s="1" t="n">
        <v>46178</v>
      </c>
      <c r="D83" t="inlineStr">
        <is>
          <t>DALARNAS LÄN</t>
        </is>
      </c>
      <c r="E83" t="inlineStr">
        <is>
          <t>RÄTTVIK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37560-2021</t>
        </is>
      </c>
      <c r="B84" s="1" t="n">
        <v>44399</v>
      </c>
      <c r="C84" s="1" t="n">
        <v>46178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50923-2021</t>
        </is>
      </c>
      <c r="B85" s="1" t="n">
        <v>44460.61314814815</v>
      </c>
      <c r="C85" s="1" t="n">
        <v>46178</v>
      </c>
      <c r="D85" t="inlineStr">
        <is>
          <t>DALARNAS LÄN</t>
        </is>
      </c>
      <c r="E85" t="inlineStr">
        <is>
          <t>RÄTTVIK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40791-2021</t>
        </is>
      </c>
      <c r="B86" s="1" t="n">
        <v>44421.30673611111</v>
      </c>
      <c r="C86" s="1" t="n">
        <v>46178</v>
      </c>
      <c r="D86" t="inlineStr">
        <is>
          <t>DALARNAS LÄN</t>
        </is>
      </c>
      <c r="E86" t="inlineStr">
        <is>
          <t>RÄTTVIK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8376-2022</t>
        </is>
      </c>
      <c r="B87" s="1" t="n">
        <v>44610</v>
      </c>
      <c r="C87" s="1" t="n">
        <v>46178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48098-2021</t>
        </is>
      </c>
      <c r="B88" s="1" t="n">
        <v>44449</v>
      </c>
      <c r="C88" s="1" t="n">
        <v>46178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9803-2022</t>
        </is>
      </c>
      <c r="B89" s="1" t="n">
        <v>44620</v>
      </c>
      <c r="C89" s="1" t="n">
        <v>46178</v>
      </c>
      <c r="D89" t="inlineStr">
        <is>
          <t>DALARNAS LÄN</t>
        </is>
      </c>
      <c r="E89" t="inlineStr">
        <is>
          <t>RÄTTVIK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58314-2021</t>
        </is>
      </c>
      <c r="B90" s="1" t="n">
        <v>44488</v>
      </c>
      <c r="C90" s="1" t="n">
        <v>46178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30632-2022</t>
        </is>
      </c>
      <c r="B91" s="1" t="n">
        <v>44763.44908564815</v>
      </c>
      <c r="C91" s="1" t="n">
        <v>46178</v>
      </c>
      <c r="D91" t="inlineStr">
        <is>
          <t>DALARNAS LÄN</t>
        </is>
      </c>
      <c r="E91" t="inlineStr">
        <is>
          <t>RÄTTVIK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30694-2022</t>
        </is>
      </c>
      <c r="B92" s="1" t="n">
        <v>44763.67344907407</v>
      </c>
      <c r="C92" s="1" t="n">
        <v>46178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46178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46178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46178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46178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46178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46178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46178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46178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46178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46178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46178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46178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46178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46178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46178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46178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46178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46178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39486-2021</t>
        </is>
      </c>
      <c r="B111" s="1" t="n">
        <v>44414</v>
      </c>
      <c r="C111" s="1" t="n">
        <v>46178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42911-2022</t>
        </is>
      </c>
      <c r="B112" s="1" t="n">
        <v>44833.32222222222</v>
      </c>
      <c r="C112" s="1" t="n">
        <v>46178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36616-2021</t>
        </is>
      </c>
      <c r="B113" s="1" t="n">
        <v>44391.69834490741</v>
      </c>
      <c r="C113" s="1" t="n">
        <v>46178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36617-2021</t>
        </is>
      </c>
      <c r="B114" s="1" t="n">
        <v>44391.70168981481</v>
      </c>
      <c r="C114" s="1" t="n">
        <v>46178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369-2022</t>
        </is>
      </c>
      <c r="B115" s="1" t="n">
        <v>44565.64167824074</v>
      </c>
      <c r="C115" s="1" t="n">
        <v>46178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25797-2022</t>
        </is>
      </c>
      <c r="B116" s="1" t="n">
        <v>44733.49084490741</v>
      </c>
      <c r="C116" s="1" t="n">
        <v>46178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37774-2021</t>
        </is>
      </c>
      <c r="B117" s="1" t="n">
        <v>44400.88949074074</v>
      </c>
      <c r="C117" s="1" t="n">
        <v>46178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50531-2021</t>
        </is>
      </c>
      <c r="B118" s="1" t="n">
        <v>44459.60768518518</v>
      </c>
      <c r="C118" s="1" t="n">
        <v>46178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52660-2022</t>
        </is>
      </c>
      <c r="B119" s="1" t="n">
        <v>44874.80803240741</v>
      </c>
      <c r="C119" s="1" t="n">
        <v>46178</v>
      </c>
      <c r="D119" t="inlineStr">
        <is>
          <t>DALARNAS LÄN</t>
        </is>
      </c>
      <c r="E119" t="inlineStr">
        <is>
          <t>RÄTTVIK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57834-2021</t>
        </is>
      </c>
      <c r="B120" s="1" t="n">
        <v>44484</v>
      </c>
      <c r="C120" s="1" t="n">
        <v>46178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48382-2021</t>
        </is>
      </c>
      <c r="B121" s="1" t="n">
        <v>44451.90091435185</v>
      </c>
      <c r="C121" s="1" t="n">
        <v>46178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1042-2022</t>
        </is>
      </c>
      <c r="B122" s="1" t="n">
        <v>44571.6652662037</v>
      </c>
      <c r="C122" s="1" t="n">
        <v>46178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53544-2021</t>
        </is>
      </c>
      <c r="B123" s="1" t="n">
        <v>44469.23025462963</v>
      </c>
      <c r="C123" s="1" t="n">
        <v>46178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55969-2021</t>
        </is>
      </c>
      <c r="B124" s="1" t="n">
        <v>44477</v>
      </c>
      <c r="C124" s="1" t="n">
        <v>46178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19216-2022</t>
        </is>
      </c>
      <c r="B125" s="1" t="n">
        <v>44692</v>
      </c>
      <c r="C125" s="1" t="n">
        <v>46178</v>
      </c>
      <c r="D125" t="inlineStr">
        <is>
          <t>DALARNAS LÄN</t>
        </is>
      </c>
      <c r="E125" t="inlineStr">
        <is>
          <t>RÄTTVIK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39489-2021</t>
        </is>
      </c>
      <c r="B126" s="1" t="n">
        <v>44414.71174768519</v>
      </c>
      <c r="C126" s="1" t="n">
        <v>46178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43417-2021</t>
        </is>
      </c>
      <c r="B127" s="1" t="n">
        <v>44432</v>
      </c>
      <c r="C127" s="1" t="n">
        <v>46178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31407-2022</t>
        </is>
      </c>
      <c r="B128" s="1" t="n">
        <v>44774</v>
      </c>
      <c r="C128" s="1" t="n">
        <v>46178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43804-2022</t>
        </is>
      </c>
      <c r="B129" s="1" t="n">
        <v>44838.32039351852</v>
      </c>
      <c r="C129" s="1" t="n">
        <v>46178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68996-2021</t>
        </is>
      </c>
      <c r="B130" s="1" t="n">
        <v>44529</v>
      </c>
      <c r="C130" s="1" t="n">
        <v>46178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35703-2022</t>
        </is>
      </c>
      <c r="B131" s="1" t="n">
        <v>44799.64722222222</v>
      </c>
      <c r="C131" s="1" t="n">
        <v>46178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24595-2022</t>
        </is>
      </c>
      <c r="B132" s="1" t="n">
        <v>44727</v>
      </c>
      <c r="C132" s="1" t="n">
        <v>46178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35706-2022</t>
        </is>
      </c>
      <c r="B133" s="1" t="n">
        <v>44799.64895833333</v>
      </c>
      <c r="C133" s="1" t="n">
        <v>46178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49707-2022</t>
        </is>
      </c>
      <c r="B134" s="1" t="n">
        <v>44862.54098379629</v>
      </c>
      <c r="C134" s="1" t="n">
        <v>46178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12504-2022</t>
        </is>
      </c>
      <c r="B135" s="1" t="n">
        <v>44638</v>
      </c>
      <c r="C135" s="1" t="n">
        <v>46178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30583-2022</t>
        </is>
      </c>
      <c r="B136" s="1" t="n">
        <v>44762</v>
      </c>
      <c r="C136" s="1" t="n">
        <v>46178</v>
      </c>
      <c r="D136" t="inlineStr">
        <is>
          <t>DALARNAS LÄN</t>
        </is>
      </c>
      <c r="E136" t="inlineStr">
        <is>
          <t>RÄTTVIK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73350-2021</t>
        </is>
      </c>
      <c r="B137" s="1" t="n">
        <v>44551</v>
      </c>
      <c r="C137" s="1" t="n">
        <v>46178</v>
      </c>
      <c r="D137" t="inlineStr">
        <is>
          <t>DALARNAS LÄN</t>
        </is>
      </c>
      <c r="E137" t="inlineStr">
        <is>
          <t>RÄTTVIK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33398-2021</t>
        </is>
      </c>
      <c r="B138" s="1" t="n">
        <v>44377.57457175926</v>
      </c>
      <c r="C138" s="1" t="n">
        <v>46178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45623-2022</t>
        </is>
      </c>
      <c r="B139" s="1" t="n">
        <v>44845.61091435186</v>
      </c>
      <c r="C139" s="1" t="n">
        <v>46178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70115-2021</t>
        </is>
      </c>
      <c r="B140" s="1" t="n">
        <v>44533</v>
      </c>
      <c r="C140" s="1" t="n">
        <v>46178</v>
      </c>
      <c r="D140" t="inlineStr">
        <is>
          <t>DALARNAS LÄN</t>
        </is>
      </c>
      <c r="E140" t="inlineStr">
        <is>
          <t>RÄTTVIK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57827-2021</t>
        </is>
      </c>
      <c r="B141" s="1" t="n">
        <v>44484.6912037037</v>
      </c>
      <c r="C141" s="1" t="n">
        <v>46178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44142-2022</t>
        </is>
      </c>
      <c r="B142" s="1" t="n">
        <v>44839.41791666667</v>
      </c>
      <c r="C142" s="1" t="n">
        <v>46178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44148-2022</t>
        </is>
      </c>
      <c r="B143" s="1" t="n">
        <v>44839.42304398148</v>
      </c>
      <c r="C143" s="1" t="n">
        <v>46178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40542-2022</t>
        </is>
      </c>
      <c r="B144" s="1" t="n">
        <v>44819</v>
      </c>
      <c r="C144" s="1" t="n">
        <v>46178</v>
      </c>
      <c r="D144" t="inlineStr">
        <is>
          <t>DALARNAS LÄN</t>
        </is>
      </c>
      <c r="E144" t="inlineStr">
        <is>
          <t>RÄTTVIK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39433-2021</t>
        </is>
      </c>
      <c r="B145" s="1" t="n">
        <v>44414</v>
      </c>
      <c r="C145" s="1" t="n">
        <v>46178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35123-2022</t>
        </is>
      </c>
      <c r="B146" s="1" t="n">
        <v>44797.46636574074</v>
      </c>
      <c r="C146" s="1" t="n">
        <v>46178</v>
      </c>
      <c r="D146" t="inlineStr">
        <is>
          <t>DALARNAS LÄN</t>
        </is>
      </c>
      <c r="E146" t="inlineStr">
        <is>
          <t>RÄTTVIK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73899-2021</t>
        </is>
      </c>
      <c r="B147" s="1" t="n">
        <v>44552</v>
      </c>
      <c r="C147" s="1" t="n">
        <v>46178</v>
      </c>
      <c r="D147" t="inlineStr">
        <is>
          <t>DALARNAS LÄN</t>
        </is>
      </c>
      <c r="E147" t="inlineStr">
        <is>
          <t>RÄTTVIK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72010-2021</t>
        </is>
      </c>
      <c r="B148" s="1" t="n">
        <v>44544</v>
      </c>
      <c r="C148" s="1" t="n">
        <v>46178</v>
      </c>
      <c r="D148" t="inlineStr">
        <is>
          <t>DALARNAS LÄN</t>
        </is>
      </c>
      <c r="E148" t="inlineStr">
        <is>
          <t>RÄTTVIK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74333-2021</t>
        </is>
      </c>
      <c r="B149" s="1" t="n">
        <v>44559</v>
      </c>
      <c r="C149" s="1" t="n">
        <v>46178</v>
      </c>
      <c r="D149" t="inlineStr">
        <is>
          <t>DALARNAS LÄN</t>
        </is>
      </c>
      <c r="E149" t="inlineStr">
        <is>
          <t>RÄTTVIK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13171-2022</t>
        </is>
      </c>
      <c r="B150" s="1" t="n">
        <v>44644</v>
      </c>
      <c r="C150" s="1" t="n">
        <v>46178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58829-2021</t>
        </is>
      </c>
      <c r="B151" s="1" t="n">
        <v>44489.60423611111</v>
      </c>
      <c r="C151" s="1" t="n">
        <v>46178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44985-2022</t>
        </is>
      </c>
      <c r="B152" s="1" t="n">
        <v>44841</v>
      </c>
      <c r="C152" s="1" t="n">
        <v>46178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17461-2022</t>
        </is>
      </c>
      <c r="B153" s="1" t="n">
        <v>44679.38747685185</v>
      </c>
      <c r="C153" s="1" t="n">
        <v>46178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17462-2022</t>
        </is>
      </c>
      <c r="B154" s="1" t="n">
        <v>44679.39083333333</v>
      </c>
      <c r="C154" s="1" t="n">
        <v>46178</v>
      </c>
      <c r="D154" t="inlineStr">
        <is>
          <t>DALARNAS LÄN</t>
        </is>
      </c>
      <c r="E154" t="inlineStr">
        <is>
          <t>RÄTTVIK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45622-2022</t>
        </is>
      </c>
      <c r="B155" s="1" t="n">
        <v>44845.60875</v>
      </c>
      <c r="C155" s="1" t="n">
        <v>46178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2390-2022</t>
        </is>
      </c>
      <c r="B156" s="1" t="n">
        <v>44579.39820601852</v>
      </c>
      <c r="C156" s="1" t="n">
        <v>46178</v>
      </c>
      <c r="D156" t="inlineStr">
        <is>
          <t>DALARNAS LÄN</t>
        </is>
      </c>
      <c r="E156" t="inlineStr">
        <is>
          <t>RÄTTVIK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25697-2022</t>
        </is>
      </c>
      <c r="B157" s="1" t="n">
        <v>44732</v>
      </c>
      <c r="C157" s="1" t="n">
        <v>46178</v>
      </c>
      <c r="D157" t="inlineStr">
        <is>
          <t>DALARNAS LÄN</t>
        </is>
      </c>
      <c r="E157" t="inlineStr">
        <is>
          <t>RÄTTVIK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37852-2021</t>
        </is>
      </c>
      <c r="B158" s="1" t="n">
        <v>44403.42903935185</v>
      </c>
      <c r="C158" s="1" t="n">
        <v>46178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45983-2021</t>
        </is>
      </c>
      <c r="B159" s="1" t="n">
        <v>44441</v>
      </c>
      <c r="C159" s="1" t="n">
        <v>46178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44537.29784722222</v>
      </c>
      <c r="C160" s="1" t="n">
        <v>46178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34569-2022</t>
        </is>
      </c>
      <c r="B161" s="1" t="n">
        <v>44795.28498842593</v>
      </c>
      <c r="C161" s="1" t="n">
        <v>46178</v>
      </c>
      <c r="D161" t="inlineStr">
        <is>
          <t>DALARNAS LÄN</t>
        </is>
      </c>
      <c r="E161" t="inlineStr">
        <is>
          <t>RÄTTVIK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70730-2021</t>
        </is>
      </c>
      <c r="B162" s="1" t="n">
        <v>44537</v>
      </c>
      <c r="C162" s="1" t="n">
        <v>46178</v>
      </c>
      <c r="D162" t="inlineStr">
        <is>
          <t>DALARNAS LÄN</t>
        </is>
      </c>
      <c r="E162" t="inlineStr">
        <is>
          <t>RÄTTVIK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70737-2021</t>
        </is>
      </c>
      <c r="B163" s="1" t="n">
        <v>44537.62671296296</v>
      </c>
      <c r="C163" s="1" t="n">
        <v>46178</v>
      </c>
      <c r="D163" t="inlineStr">
        <is>
          <t>DALARNAS LÄN</t>
        </is>
      </c>
      <c r="E163" t="inlineStr">
        <is>
          <t>RÄTTVIK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33530-2022</t>
        </is>
      </c>
      <c r="B164" s="1" t="n">
        <v>44789.33553240741</v>
      </c>
      <c r="C164" s="1" t="n">
        <v>46178</v>
      </c>
      <c r="D164" t="inlineStr">
        <is>
          <t>DALARNAS LÄN</t>
        </is>
      </c>
      <c r="E164" t="inlineStr">
        <is>
          <t>RÄTTVIK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2181-2022</t>
        </is>
      </c>
      <c r="B165" s="1" t="n">
        <v>44578</v>
      </c>
      <c r="C165" s="1" t="n">
        <v>46178</v>
      </c>
      <c r="D165" t="inlineStr">
        <is>
          <t>DALARNAS LÄN</t>
        </is>
      </c>
      <c r="E165" t="inlineStr">
        <is>
          <t>RÄTTVIK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28567-2022</t>
        </is>
      </c>
      <c r="B166" s="1" t="n">
        <v>44748</v>
      </c>
      <c r="C166" s="1" t="n">
        <v>46178</v>
      </c>
      <c r="D166" t="inlineStr">
        <is>
          <t>DALARNAS LÄN</t>
        </is>
      </c>
      <c r="E166" t="inlineStr">
        <is>
          <t>RÄTTVIK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28901-2022</t>
        </is>
      </c>
      <c r="B167" s="1" t="n">
        <v>44749.55309027778</v>
      </c>
      <c r="C167" s="1" t="n">
        <v>46178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40192-2022</t>
        </is>
      </c>
      <c r="B168" s="1" t="n">
        <v>44818</v>
      </c>
      <c r="C168" s="1" t="n">
        <v>46178</v>
      </c>
      <c r="D168" t="inlineStr">
        <is>
          <t>DALARNAS LÄN</t>
        </is>
      </c>
      <c r="E168" t="inlineStr">
        <is>
          <t>RÄTTVIK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64315-2021</t>
        </is>
      </c>
      <c r="B169" s="1" t="n">
        <v>44511</v>
      </c>
      <c r="C169" s="1" t="n">
        <v>46178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49232-2021</t>
        </is>
      </c>
      <c r="B170" s="1" t="n">
        <v>44454</v>
      </c>
      <c r="C170" s="1" t="n">
        <v>46178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41199-2021</t>
        </is>
      </c>
      <c r="B171" s="1" t="n">
        <v>44424</v>
      </c>
      <c r="C171" s="1" t="n">
        <v>46178</v>
      </c>
      <c r="D171" t="inlineStr">
        <is>
          <t>DALARNAS LÄN</t>
        </is>
      </c>
      <c r="E171" t="inlineStr">
        <is>
          <t>RÄTTVIK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1601-2022</t>
        </is>
      </c>
      <c r="B172" s="1" t="n">
        <v>44573.70490740741</v>
      </c>
      <c r="C172" s="1" t="n">
        <v>46178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3722-2024</t>
        </is>
      </c>
      <c r="B173" s="1" t="n">
        <v>45321.4805787037</v>
      </c>
      <c r="C173" s="1" t="n">
        <v>46178</v>
      </c>
      <c r="D173" t="inlineStr">
        <is>
          <t>DALARNAS LÄN</t>
        </is>
      </c>
      <c r="E173" t="inlineStr">
        <is>
          <t>RÄTTVIK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19619-2024</t>
        </is>
      </c>
      <c r="B174" s="1" t="n">
        <v>45432.32908564815</v>
      </c>
      <c r="C174" s="1" t="n">
        <v>46178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490-2023</t>
        </is>
      </c>
      <c r="B175" s="1" t="n">
        <v>44930</v>
      </c>
      <c r="C175" s="1" t="n">
        <v>46178</v>
      </c>
      <c r="D175" t="inlineStr">
        <is>
          <t>DALARNAS LÄN</t>
        </is>
      </c>
      <c r="E175" t="inlineStr">
        <is>
          <t>RÄTTVIK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492-2023</t>
        </is>
      </c>
      <c r="B176" s="1" t="n">
        <v>44930</v>
      </c>
      <c r="C176" s="1" t="n">
        <v>46178</v>
      </c>
      <c r="D176" t="inlineStr">
        <is>
          <t>DALARNAS LÄN</t>
        </is>
      </c>
      <c r="E176" t="inlineStr">
        <is>
          <t>RÄTTVIK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493-2023</t>
        </is>
      </c>
      <c r="B177" s="1" t="n">
        <v>44930</v>
      </c>
      <c r="C177" s="1" t="n">
        <v>46178</v>
      </c>
      <c r="D177" t="inlineStr">
        <is>
          <t>DALARNAS LÄN</t>
        </is>
      </c>
      <c r="E177" t="inlineStr">
        <is>
          <t>RÄTTVIK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33400-2021</t>
        </is>
      </c>
      <c r="B178" s="1" t="n">
        <v>44377</v>
      </c>
      <c r="C178" s="1" t="n">
        <v>46178</v>
      </c>
      <c r="D178" t="inlineStr">
        <is>
          <t>DALARNAS LÄN</t>
        </is>
      </c>
      <c r="E178" t="inlineStr">
        <is>
          <t>RÄTTVIK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60165-2023</t>
        </is>
      </c>
      <c r="B179" s="1" t="n">
        <v>45258.56001157407</v>
      </c>
      <c r="C179" s="1" t="n">
        <v>46178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14193-2022</t>
        </is>
      </c>
      <c r="B180" s="1" t="n">
        <v>44651</v>
      </c>
      <c r="C180" s="1" t="n">
        <v>46178</v>
      </c>
      <c r="D180" t="inlineStr">
        <is>
          <t>DALARNAS LÄN</t>
        </is>
      </c>
      <c r="E180" t="inlineStr">
        <is>
          <t>RÄTTVIK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18487-2024</t>
        </is>
      </c>
      <c r="B181" s="1" t="n">
        <v>45425.5419212963</v>
      </c>
      <c r="C181" s="1" t="n">
        <v>46178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62207-2023</t>
        </is>
      </c>
      <c r="B182" s="1" t="n">
        <v>45267</v>
      </c>
      <c r="C182" s="1" t="n">
        <v>46178</v>
      </c>
      <c r="D182" t="inlineStr">
        <is>
          <t>DALARNAS LÄN</t>
        </is>
      </c>
      <c r="E182" t="inlineStr">
        <is>
          <t>RÄTTVIK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41212-2022</t>
        </is>
      </c>
      <c r="B183" s="1" t="n">
        <v>44826.2996875</v>
      </c>
      <c r="C183" s="1" t="n">
        <v>46178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2098-2025</t>
        </is>
      </c>
      <c r="B184" s="1" t="n">
        <v>45672</v>
      </c>
      <c r="C184" s="1" t="n">
        <v>46178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39770-2022</t>
        </is>
      </c>
      <c r="B185" s="1" t="n">
        <v>44819</v>
      </c>
      <c r="C185" s="1" t="n">
        <v>46178</v>
      </c>
      <c r="D185" t="inlineStr">
        <is>
          <t>DALARNAS LÄN</t>
        </is>
      </c>
      <c r="E185" t="inlineStr">
        <is>
          <t>RÄTTVIK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40458-2024</t>
        </is>
      </c>
      <c r="B186" s="1" t="n">
        <v>45555.5039699074</v>
      </c>
      <c r="C186" s="1" t="n">
        <v>46178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14209-2024</t>
        </is>
      </c>
      <c r="B187" s="1" t="n">
        <v>45393</v>
      </c>
      <c r="C187" s="1" t="n">
        <v>46178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23041-2022</t>
        </is>
      </c>
      <c r="B188" s="1" t="n">
        <v>44719</v>
      </c>
      <c r="C188" s="1" t="n">
        <v>46178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58835-2024</t>
        </is>
      </c>
      <c r="B189" s="1" t="n">
        <v>45636.37861111111</v>
      </c>
      <c r="C189" s="1" t="n">
        <v>46178</v>
      </c>
      <c r="D189" t="inlineStr">
        <is>
          <t>DALARNAS LÄN</t>
        </is>
      </c>
      <c r="E189" t="inlineStr">
        <is>
          <t>RÄTTVIK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49496-2024</t>
        </is>
      </c>
      <c r="B190" s="1" t="n">
        <v>45596.36693287037</v>
      </c>
      <c r="C190" s="1" t="n">
        <v>46178</v>
      </c>
      <c r="D190" t="inlineStr">
        <is>
          <t>DALARNAS LÄN</t>
        </is>
      </c>
      <c r="E190" t="inlineStr">
        <is>
          <t>RÄTTVIK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34030-2024</t>
        </is>
      </c>
      <c r="B191" s="1" t="n">
        <v>45523.59195601852</v>
      </c>
      <c r="C191" s="1" t="n">
        <v>46178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49944-2023</t>
        </is>
      </c>
      <c r="B192" s="1" t="n">
        <v>45215.36112268519</v>
      </c>
      <c r="C192" s="1" t="n">
        <v>46178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36040-2023</t>
        </is>
      </c>
      <c r="B193" s="1" t="n">
        <v>45148</v>
      </c>
      <c r="C193" s="1" t="n">
        <v>46178</v>
      </c>
      <c r="D193" t="inlineStr">
        <is>
          <t>DALARNAS LÄN</t>
        </is>
      </c>
      <c r="E193" t="inlineStr">
        <is>
          <t>RÄTTVIK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16105-2024</t>
        </is>
      </c>
      <c r="B194" s="1" t="n">
        <v>45406.45538194444</v>
      </c>
      <c r="C194" s="1" t="n">
        <v>46178</v>
      </c>
      <c r="D194" t="inlineStr">
        <is>
          <t>DALARNAS LÄN</t>
        </is>
      </c>
      <c r="E194" t="inlineStr">
        <is>
          <t>RÄTTVIK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56459-2022</t>
        </is>
      </c>
      <c r="B195" s="1" t="n">
        <v>44893.3391550926</v>
      </c>
      <c r="C195" s="1" t="n">
        <v>46178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26717-2023</t>
        </is>
      </c>
      <c r="B196" s="1" t="n">
        <v>45093</v>
      </c>
      <c r="C196" s="1" t="n">
        <v>46178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7021-2022</t>
        </is>
      </c>
      <c r="B197" s="1" t="n">
        <v>44602</v>
      </c>
      <c r="C197" s="1" t="n">
        <v>46178</v>
      </c>
      <c r="D197" t="inlineStr">
        <is>
          <t>DALARNAS LÄN</t>
        </is>
      </c>
      <c r="E197" t="inlineStr">
        <is>
          <t>RÄTTVIK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33082-2024</t>
        </is>
      </c>
      <c r="B198" s="1" t="n">
        <v>45517</v>
      </c>
      <c r="C198" s="1" t="n">
        <v>46178</v>
      </c>
      <c r="D198" t="inlineStr">
        <is>
          <t>DALARNAS LÄN</t>
        </is>
      </c>
      <c r="E198" t="inlineStr">
        <is>
          <t>RÄTTVIK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8126-2024</t>
        </is>
      </c>
      <c r="B199" s="1" t="n">
        <v>45351.53083333333</v>
      </c>
      <c r="C199" s="1" t="n">
        <v>46178</v>
      </c>
      <c r="D199" t="inlineStr">
        <is>
          <t>DALARNAS LÄN</t>
        </is>
      </c>
      <c r="E199" t="inlineStr">
        <is>
          <t>RÄTTVIK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2042-2025</t>
        </is>
      </c>
      <c r="B200" s="1" t="n">
        <v>45671</v>
      </c>
      <c r="C200" s="1" t="n">
        <v>46178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8552-2023</t>
        </is>
      </c>
      <c r="B201" s="1" t="n">
        <v>44977.61744212963</v>
      </c>
      <c r="C201" s="1" t="n">
        <v>46178</v>
      </c>
      <c r="D201" t="inlineStr">
        <is>
          <t>DALARNAS LÄN</t>
        </is>
      </c>
      <c r="E201" t="inlineStr">
        <is>
          <t>RÄTTVIK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10410-2025</t>
        </is>
      </c>
      <c r="B202" s="1" t="n">
        <v>45720.63201388889</v>
      </c>
      <c r="C202" s="1" t="n">
        <v>46178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36442-2024</t>
        </is>
      </c>
      <c r="B203" s="1" t="n">
        <v>45537.30159722222</v>
      </c>
      <c r="C203" s="1" t="n">
        <v>46178</v>
      </c>
      <c r="D203" t="inlineStr">
        <is>
          <t>DALARNAS LÄN</t>
        </is>
      </c>
      <c r="E203" t="inlineStr">
        <is>
          <t>RÄTTVIK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43540-2024</t>
        </is>
      </c>
      <c r="B204" s="1" t="n">
        <v>45569.36322916667</v>
      </c>
      <c r="C204" s="1" t="n">
        <v>46178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38.1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562-2024</t>
        </is>
      </c>
      <c r="B205" s="1" t="n">
        <v>45299.56534722223</v>
      </c>
      <c r="C205" s="1" t="n">
        <v>46178</v>
      </c>
      <c r="D205" t="inlineStr">
        <is>
          <t>DALARNAS LÄN</t>
        </is>
      </c>
      <c r="E205" t="inlineStr">
        <is>
          <t>RÄTTVIK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7140-2024</t>
        </is>
      </c>
      <c r="B206" s="1" t="n">
        <v>45344</v>
      </c>
      <c r="C206" s="1" t="n">
        <v>46178</v>
      </c>
      <c r="D206" t="inlineStr">
        <is>
          <t>DALARNAS LÄN</t>
        </is>
      </c>
      <c r="E206" t="inlineStr">
        <is>
          <t>RÄTTVIK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55263-2023</t>
        </is>
      </c>
      <c r="B207" s="1" t="n">
        <v>45231</v>
      </c>
      <c r="C207" s="1" t="n">
        <v>46178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15767-2023</t>
        </is>
      </c>
      <c r="B208" s="1" t="n">
        <v>45021</v>
      </c>
      <c r="C208" s="1" t="n">
        <v>46178</v>
      </c>
      <c r="D208" t="inlineStr">
        <is>
          <t>DALARNAS LÄN</t>
        </is>
      </c>
      <c r="E208" t="inlineStr">
        <is>
          <t>RÄTTVIK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55270-2023</t>
        </is>
      </c>
      <c r="B209" s="1" t="n">
        <v>45231</v>
      </c>
      <c r="C209" s="1" t="n">
        <v>46178</v>
      </c>
      <c r="D209" t="inlineStr">
        <is>
          <t>DALARNAS LÄN</t>
        </is>
      </c>
      <c r="E209" t="inlineStr">
        <is>
          <t>RÄTTVIK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46905-2023</t>
        </is>
      </c>
      <c r="B210" s="1" t="n">
        <v>45201.37068287037</v>
      </c>
      <c r="C210" s="1" t="n">
        <v>46178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28660-2024</t>
        </is>
      </c>
      <c r="B211" s="1" t="n">
        <v>45478</v>
      </c>
      <c r="C211" s="1" t="n">
        <v>46178</v>
      </c>
      <c r="D211" t="inlineStr">
        <is>
          <t>DALARNAS LÄN</t>
        </is>
      </c>
      <c r="E211" t="inlineStr">
        <is>
          <t>RÄTTVIK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3643-2024</t>
        </is>
      </c>
      <c r="B212" s="1" t="n">
        <v>45321.30668981482</v>
      </c>
      <c r="C212" s="1" t="n">
        <v>46178</v>
      </c>
      <c r="D212" t="inlineStr">
        <is>
          <t>DALARNAS LÄN</t>
        </is>
      </c>
      <c r="E212" t="inlineStr">
        <is>
          <t>RÄTTVIK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29010-2022</t>
        </is>
      </c>
      <c r="B213" s="1" t="n">
        <v>44747</v>
      </c>
      <c r="C213" s="1" t="n">
        <v>46178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40994-2024</t>
        </is>
      </c>
      <c r="B214" s="1" t="n">
        <v>45558</v>
      </c>
      <c r="C214" s="1" t="n">
        <v>46178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37034-2024</t>
        </is>
      </c>
      <c r="B215" s="1" t="n">
        <v>45539.40148148148</v>
      </c>
      <c r="C215" s="1" t="n">
        <v>46178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37050-2024</t>
        </is>
      </c>
      <c r="B216" s="1" t="n">
        <v>45539.43168981482</v>
      </c>
      <c r="C216" s="1" t="n">
        <v>46178</v>
      </c>
      <c r="D216" t="inlineStr">
        <is>
          <t>DALARNAS LÄN</t>
        </is>
      </c>
      <c r="E216" t="inlineStr">
        <is>
          <t>RÄTTVIK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3651-2024</t>
        </is>
      </c>
      <c r="B217" s="1" t="n">
        <v>45321.33197916667</v>
      </c>
      <c r="C217" s="1" t="n">
        <v>46178</v>
      </c>
      <c r="D217" t="inlineStr">
        <is>
          <t>DALARNAS LÄN</t>
        </is>
      </c>
      <c r="E217" t="inlineStr">
        <is>
          <t>RÄTTVIK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3686-2024</t>
        </is>
      </c>
      <c r="B218" s="1" t="n">
        <v>45321.40265046297</v>
      </c>
      <c r="C218" s="1" t="n">
        <v>46178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7146-2024</t>
        </is>
      </c>
      <c r="B219" s="1" t="n">
        <v>45344.38203703704</v>
      </c>
      <c r="C219" s="1" t="n">
        <v>46178</v>
      </c>
      <c r="D219" t="inlineStr">
        <is>
          <t>DALARNAS LÄN</t>
        </is>
      </c>
      <c r="E219" t="inlineStr">
        <is>
          <t>RÄTTVIK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33140-2024</t>
        </is>
      </c>
      <c r="B220" s="1" t="n">
        <v>45518.34582175926</v>
      </c>
      <c r="C220" s="1" t="n">
        <v>46178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13572-2025</t>
        </is>
      </c>
      <c r="B221" s="1" t="n">
        <v>45736.57638888889</v>
      </c>
      <c r="C221" s="1" t="n">
        <v>46178</v>
      </c>
      <c r="D221" t="inlineStr">
        <is>
          <t>DALARNAS LÄN</t>
        </is>
      </c>
      <c r="E221" t="inlineStr">
        <is>
          <t>RÄTTVIK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37125-2024</t>
        </is>
      </c>
      <c r="B222" s="1" t="n">
        <v>45539.5587037037</v>
      </c>
      <c r="C222" s="1" t="n">
        <v>46178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54199-2023</t>
        </is>
      </c>
      <c r="B223" s="1" t="n">
        <v>45225</v>
      </c>
      <c r="C223" s="1" t="n">
        <v>46178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13770-2025</t>
        </is>
      </c>
      <c r="B224" s="1" t="n">
        <v>45737.43738425926</v>
      </c>
      <c r="C224" s="1" t="n">
        <v>46178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61117-2024</t>
        </is>
      </c>
      <c r="B225" s="1" t="n">
        <v>45645</v>
      </c>
      <c r="C225" s="1" t="n">
        <v>46178</v>
      </c>
      <c r="D225" t="inlineStr">
        <is>
          <t>DALARNAS LÄN</t>
        </is>
      </c>
      <c r="E225" t="inlineStr">
        <is>
          <t>RÄTTVIK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2734-2025</t>
        </is>
      </c>
      <c r="B226" s="1" t="n">
        <v>45677</v>
      </c>
      <c r="C226" s="1" t="n">
        <v>46178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56553-2023</t>
        </is>
      </c>
      <c r="B227" s="1" t="n">
        <v>45243.588125</v>
      </c>
      <c r="C227" s="1" t="n">
        <v>46178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34368-2024</t>
        </is>
      </c>
      <c r="B228" s="1" t="n">
        <v>45525.38068287037</v>
      </c>
      <c r="C228" s="1" t="n">
        <v>46178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9937-2024</t>
        </is>
      </c>
      <c r="B229" s="1" t="n">
        <v>45363.58723379629</v>
      </c>
      <c r="C229" s="1" t="n">
        <v>46178</v>
      </c>
      <c r="D229" t="inlineStr">
        <is>
          <t>DALARNAS LÄN</t>
        </is>
      </c>
      <c r="E229" t="inlineStr">
        <is>
          <t>RÄTTVIK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57761-2022</t>
        </is>
      </c>
      <c r="B230" s="1" t="n">
        <v>44890</v>
      </c>
      <c r="C230" s="1" t="n">
        <v>46178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3638-2024</t>
        </is>
      </c>
      <c r="B231" s="1" t="n">
        <v>45321</v>
      </c>
      <c r="C231" s="1" t="n">
        <v>46178</v>
      </c>
      <c r="D231" t="inlineStr">
        <is>
          <t>DALARNAS LÄN</t>
        </is>
      </c>
      <c r="E231" t="inlineStr">
        <is>
          <t>RÄTTVIK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59345-2023</t>
        </is>
      </c>
      <c r="B232" s="1" t="n">
        <v>45253.65384259259</v>
      </c>
      <c r="C232" s="1" t="n">
        <v>46178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54206-2023</t>
        </is>
      </c>
      <c r="B233" s="1" t="n">
        <v>45225</v>
      </c>
      <c r="C233" s="1" t="n">
        <v>46178</v>
      </c>
      <c r="D233" t="inlineStr">
        <is>
          <t>DALARNAS LÄN</t>
        </is>
      </c>
      <c r="E233" t="inlineStr">
        <is>
          <t>RÄTTVIK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24177-2025</t>
        </is>
      </c>
      <c r="B234" s="1" t="n">
        <v>45796.70064814815</v>
      </c>
      <c r="C234" s="1" t="n">
        <v>46178</v>
      </c>
      <c r="D234" t="inlineStr">
        <is>
          <t>DALARNAS LÄN</t>
        </is>
      </c>
      <c r="E234" t="inlineStr">
        <is>
          <t>RÄTTVIK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35889-2024</t>
        </is>
      </c>
      <c r="B235" s="1" t="n">
        <v>45533</v>
      </c>
      <c r="C235" s="1" t="n">
        <v>46178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55965-2022</t>
        </is>
      </c>
      <c r="B236" s="1" t="n">
        <v>44889.43208333333</v>
      </c>
      <c r="C236" s="1" t="n">
        <v>46178</v>
      </c>
      <c r="D236" t="inlineStr">
        <is>
          <t>DALARNAS LÄN</t>
        </is>
      </c>
      <c r="E236" t="inlineStr">
        <is>
          <t>RÄTTVIK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24024-2025</t>
        </is>
      </c>
      <c r="B237" s="1" t="n">
        <v>45796.46270833333</v>
      </c>
      <c r="C237" s="1" t="n">
        <v>46178</v>
      </c>
      <c r="D237" t="inlineStr">
        <is>
          <t>DALARNAS LÄN</t>
        </is>
      </c>
      <c r="E237" t="inlineStr">
        <is>
          <t>RÄTTVIK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10983-2023</t>
        </is>
      </c>
      <c r="B238" s="1" t="n">
        <v>44991.62319444444</v>
      </c>
      <c r="C238" s="1" t="n">
        <v>46178</v>
      </c>
      <c r="D238" t="inlineStr">
        <is>
          <t>DALARNAS LÄN</t>
        </is>
      </c>
      <c r="E238" t="inlineStr">
        <is>
          <t>RÄTTVIK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51973-2022</t>
        </is>
      </c>
      <c r="B239" s="1" t="n">
        <v>44872</v>
      </c>
      <c r="C239" s="1" t="n">
        <v>46178</v>
      </c>
      <c r="D239" t="inlineStr">
        <is>
          <t>DALARNAS LÄN</t>
        </is>
      </c>
      <c r="E239" t="inlineStr">
        <is>
          <t>RÄTTVIK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23982-2025</t>
        </is>
      </c>
      <c r="B240" s="1" t="n">
        <v>45796</v>
      </c>
      <c r="C240" s="1" t="n">
        <v>46178</v>
      </c>
      <c r="D240" t="inlineStr">
        <is>
          <t>DALARNAS LÄN</t>
        </is>
      </c>
      <c r="E240" t="inlineStr">
        <is>
          <t>RÄTTVIK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41046-2023</t>
        </is>
      </c>
      <c r="B241" s="1" t="n">
        <v>45173</v>
      </c>
      <c r="C241" s="1" t="n">
        <v>46178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64299-2023</t>
        </is>
      </c>
      <c r="B242" s="1" t="n">
        <v>45279</v>
      </c>
      <c r="C242" s="1" t="n">
        <v>46178</v>
      </c>
      <c r="D242" t="inlineStr">
        <is>
          <t>DALARNAS LÄN</t>
        </is>
      </c>
      <c r="E242" t="inlineStr">
        <is>
          <t>RÄTTVIK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5653-2025</t>
        </is>
      </c>
      <c r="B243" s="1" t="n">
        <v>45693.7193287037</v>
      </c>
      <c r="C243" s="1" t="n">
        <v>46178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24903-2025</t>
        </is>
      </c>
      <c r="B244" s="1" t="n">
        <v>45799.52755787037</v>
      </c>
      <c r="C244" s="1" t="n">
        <v>46178</v>
      </c>
      <c r="D244" t="inlineStr">
        <is>
          <t>DALARNAS LÄN</t>
        </is>
      </c>
      <c r="E244" t="inlineStr">
        <is>
          <t>RÄTTVIK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14892-2024</t>
        </is>
      </c>
      <c r="B245" s="1" t="n">
        <v>45398.57138888889</v>
      </c>
      <c r="C245" s="1" t="n">
        <v>46178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24461-2025</t>
        </is>
      </c>
      <c r="B246" s="1" t="n">
        <v>45798.35150462963</v>
      </c>
      <c r="C246" s="1" t="n">
        <v>46178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24902-2025</t>
        </is>
      </c>
      <c r="B247" s="1" t="n">
        <v>45799.52506944445</v>
      </c>
      <c r="C247" s="1" t="n">
        <v>46178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38671-2025</t>
        </is>
      </c>
      <c r="B248" s="1" t="n">
        <v>45884.6291087963</v>
      </c>
      <c r="C248" s="1" t="n">
        <v>46178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295-2023</t>
        </is>
      </c>
      <c r="B249" s="1" t="n">
        <v>44922</v>
      </c>
      <c r="C249" s="1" t="n">
        <v>46178</v>
      </c>
      <c r="D249" t="inlineStr">
        <is>
          <t>DALARNAS LÄN</t>
        </is>
      </c>
      <c r="E249" t="inlineStr">
        <is>
          <t>RÄTTVIK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53178-2025</t>
        </is>
      </c>
      <c r="B250" s="1" t="n">
        <v>45958</v>
      </c>
      <c r="C250" s="1" t="n">
        <v>46178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24573-2025</t>
        </is>
      </c>
      <c r="B251" s="1" t="n">
        <v>45798</v>
      </c>
      <c r="C251" s="1" t="n">
        <v>46178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38737-2023</t>
        </is>
      </c>
      <c r="B252" s="1" t="n">
        <v>45161</v>
      </c>
      <c r="C252" s="1" t="n">
        <v>46178</v>
      </c>
      <c r="D252" t="inlineStr">
        <is>
          <t>DALARNAS LÄN</t>
        </is>
      </c>
      <c r="E252" t="inlineStr">
        <is>
          <t>RÄTTVIK</t>
        </is>
      </c>
      <c r="F252" t="inlineStr">
        <is>
          <t>Kommuner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24811-2025</t>
        </is>
      </c>
      <c r="B253" s="1" t="n">
        <v>45799</v>
      </c>
      <c r="C253" s="1" t="n">
        <v>46178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8381-2024</t>
        </is>
      </c>
      <c r="B254" s="1" t="n">
        <v>45352.64135416667</v>
      </c>
      <c r="C254" s="1" t="n">
        <v>46178</v>
      </c>
      <c r="D254" t="inlineStr">
        <is>
          <t>DALARNAS LÄN</t>
        </is>
      </c>
      <c r="E254" t="inlineStr">
        <is>
          <t>RÄTTVIK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63788-2025</t>
        </is>
      </c>
      <c r="B255" s="1" t="n">
        <v>46019</v>
      </c>
      <c r="C255" s="1" t="n">
        <v>46178</v>
      </c>
      <c r="D255" t="inlineStr">
        <is>
          <t>DALARNAS LÄN</t>
        </is>
      </c>
      <c r="E255" t="inlineStr">
        <is>
          <t>RÄTTVIK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38805-2025</t>
        </is>
      </c>
      <c r="B256" s="1" t="n">
        <v>45887.46721064814</v>
      </c>
      <c r="C256" s="1" t="n">
        <v>46178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40409-2024</t>
        </is>
      </c>
      <c r="B257" s="1" t="n">
        <v>45555.45337962963</v>
      </c>
      <c r="C257" s="1" t="n">
        <v>46178</v>
      </c>
      <c r="D257" t="inlineStr">
        <is>
          <t>DALARNAS LÄN</t>
        </is>
      </c>
      <c r="E257" t="inlineStr">
        <is>
          <t>RÄTTVIK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49974-2024</t>
        </is>
      </c>
      <c r="B258" s="1" t="n">
        <v>45597.66034722222</v>
      </c>
      <c r="C258" s="1" t="n">
        <v>46178</v>
      </c>
      <c r="D258" t="inlineStr">
        <is>
          <t>DALARNAS LÄN</t>
        </is>
      </c>
      <c r="E258" t="inlineStr">
        <is>
          <t>RÄTTVIK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25625-2025</t>
        </is>
      </c>
      <c r="B259" s="1" t="n">
        <v>45803.58059027778</v>
      </c>
      <c r="C259" s="1" t="n">
        <v>46178</v>
      </c>
      <c r="D259" t="inlineStr">
        <is>
          <t>DALARNAS LÄN</t>
        </is>
      </c>
      <c r="E259" t="inlineStr">
        <is>
          <t>RÄTTVIK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16029-2025</t>
        </is>
      </c>
      <c r="B260" s="1" t="n">
        <v>45749</v>
      </c>
      <c r="C260" s="1" t="n">
        <v>46178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170-2026</t>
        </is>
      </c>
      <c r="B261" s="1" t="n">
        <v>46025.31461805556</v>
      </c>
      <c r="C261" s="1" t="n">
        <v>46178</v>
      </c>
      <c r="D261" t="inlineStr">
        <is>
          <t>DALARNAS LÄN</t>
        </is>
      </c>
      <c r="E261" t="inlineStr">
        <is>
          <t>RÄTTVIK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38551-2025</t>
        </is>
      </c>
      <c r="B262" s="1" t="n">
        <v>45884.43928240741</v>
      </c>
      <c r="C262" s="1" t="n">
        <v>46178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338-2026</t>
        </is>
      </c>
      <c r="B263" s="1" t="n">
        <v>46027</v>
      </c>
      <c r="C263" s="1" t="n">
        <v>46178</v>
      </c>
      <c r="D263" t="inlineStr">
        <is>
          <t>DALARNAS LÄN</t>
        </is>
      </c>
      <c r="E263" t="inlineStr">
        <is>
          <t>RÄTTVIK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348-2026</t>
        </is>
      </c>
      <c r="B264" s="1" t="n">
        <v>46027.62204861111</v>
      </c>
      <c r="C264" s="1" t="n">
        <v>46178</v>
      </c>
      <c r="D264" t="inlineStr">
        <is>
          <t>DALARNAS LÄN</t>
        </is>
      </c>
      <c r="E264" t="inlineStr">
        <is>
          <t>RÄTTVIK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582-2026</t>
        </is>
      </c>
      <c r="B265" s="1" t="n">
        <v>46027</v>
      </c>
      <c r="C265" s="1" t="n">
        <v>46178</v>
      </c>
      <c r="D265" t="inlineStr">
        <is>
          <t>DALARNAS LÄN</t>
        </is>
      </c>
      <c r="E265" t="inlineStr">
        <is>
          <t>RÄTTVIK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356-2026</t>
        </is>
      </c>
      <c r="B266" s="1" t="n">
        <v>46027.64972222222</v>
      </c>
      <c r="C266" s="1" t="n">
        <v>46178</v>
      </c>
      <c r="D266" t="inlineStr">
        <is>
          <t>DALARNAS LÄN</t>
        </is>
      </c>
      <c r="E266" t="inlineStr">
        <is>
          <t>RÄTTVIK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11630-2024</t>
        </is>
      </c>
      <c r="B267" s="1" t="n">
        <v>45373.45642361111</v>
      </c>
      <c r="C267" s="1" t="n">
        <v>46178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592-2026</t>
        </is>
      </c>
      <c r="B268" s="1" t="n">
        <v>46027</v>
      </c>
      <c r="C268" s="1" t="n">
        <v>46178</v>
      </c>
      <c r="D268" t="inlineStr">
        <is>
          <t>DALARNAS LÄN</t>
        </is>
      </c>
      <c r="E268" t="inlineStr">
        <is>
          <t>RÄTTVIK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25553-2025</t>
        </is>
      </c>
      <c r="B269" s="1" t="n">
        <v>45803.44761574074</v>
      </c>
      <c r="C269" s="1" t="n">
        <v>46178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25559-2025</t>
        </is>
      </c>
      <c r="B270" s="1" t="n">
        <v>45803.45435185185</v>
      </c>
      <c r="C270" s="1" t="n">
        <v>46178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25563-2025</t>
        </is>
      </c>
      <c r="B271" s="1" t="n">
        <v>45803.45581018519</v>
      </c>
      <c r="C271" s="1" t="n">
        <v>46178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169-2026</t>
        </is>
      </c>
      <c r="B272" s="1" t="n">
        <v>46025.31342592592</v>
      </c>
      <c r="C272" s="1" t="n">
        <v>46178</v>
      </c>
      <c r="D272" t="inlineStr">
        <is>
          <t>DALARNAS LÄN</t>
        </is>
      </c>
      <c r="E272" t="inlineStr">
        <is>
          <t>RÄTTVIK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171-2026</t>
        </is>
      </c>
      <c r="B273" s="1" t="n">
        <v>46025.33549768518</v>
      </c>
      <c r="C273" s="1" t="n">
        <v>46178</v>
      </c>
      <c r="D273" t="inlineStr">
        <is>
          <t>DALARNAS LÄN</t>
        </is>
      </c>
      <c r="E273" t="inlineStr">
        <is>
          <t>RÄTTVIK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257-2026</t>
        </is>
      </c>
      <c r="B274" s="1" t="n">
        <v>46027.43237268519</v>
      </c>
      <c r="C274" s="1" t="n">
        <v>46178</v>
      </c>
      <c r="D274" t="inlineStr">
        <is>
          <t>DALARNAS LÄN</t>
        </is>
      </c>
      <c r="E274" t="inlineStr">
        <is>
          <t>RÄTTVIK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440-2025</t>
        </is>
      </c>
      <c r="B275" s="1" t="n">
        <v>45664.3863425926</v>
      </c>
      <c r="C275" s="1" t="n">
        <v>46178</v>
      </c>
      <c r="D275" t="inlineStr">
        <is>
          <t>DALARNAS LÄN</t>
        </is>
      </c>
      <c r="E275" t="inlineStr">
        <is>
          <t>RÄTTVIK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339-2026</t>
        </is>
      </c>
      <c r="B276" s="1" t="n">
        <v>46027</v>
      </c>
      <c r="C276" s="1" t="n">
        <v>46178</v>
      </c>
      <c r="D276" t="inlineStr">
        <is>
          <t>DALARNAS LÄN</t>
        </is>
      </c>
      <c r="E276" t="inlineStr">
        <is>
          <t>RÄTTVIK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332-2026</t>
        </is>
      </c>
      <c r="B277" s="1" t="n">
        <v>46027.59638888889</v>
      </c>
      <c r="C277" s="1" t="n">
        <v>46178</v>
      </c>
      <c r="D277" t="inlineStr">
        <is>
          <t>DALARNAS LÄN</t>
        </is>
      </c>
      <c r="E277" t="inlineStr">
        <is>
          <t>RÄTTVIK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370-2026</t>
        </is>
      </c>
      <c r="B278" s="1" t="n">
        <v>46027.688125</v>
      </c>
      <c r="C278" s="1" t="n">
        <v>46178</v>
      </c>
      <c r="D278" t="inlineStr">
        <is>
          <t>DALARNAS LÄN</t>
        </is>
      </c>
      <c r="E278" t="inlineStr">
        <is>
          <t>RÄTTVIK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38658-2025</t>
        </is>
      </c>
      <c r="B279" s="1" t="n">
        <v>45884.60569444444</v>
      </c>
      <c r="C279" s="1" t="n">
        <v>46178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291-2026</t>
        </is>
      </c>
      <c r="B280" s="1" t="n">
        <v>46027</v>
      </c>
      <c r="C280" s="1" t="n">
        <v>46178</v>
      </c>
      <c r="D280" t="inlineStr">
        <is>
          <t>DALARNAS LÄN</t>
        </is>
      </c>
      <c r="E280" t="inlineStr">
        <is>
          <t>RÄTTVIK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25567-2025</t>
        </is>
      </c>
      <c r="B281" s="1" t="n">
        <v>45803.45840277777</v>
      </c>
      <c r="C281" s="1" t="n">
        <v>46178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46672-2023</t>
        </is>
      </c>
      <c r="B282" s="1" t="n">
        <v>45194</v>
      </c>
      <c r="C282" s="1" t="n">
        <v>46178</v>
      </c>
      <c r="D282" t="inlineStr">
        <is>
          <t>DALARNAS LÄN</t>
        </is>
      </c>
      <c r="E282" t="inlineStr">
        <is>
          <t>RÄTTVIK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25548-2025</t>
        </is>
      </c>
      <c r="B283" s="1" t="n">
        <v>45803.44173611111</v>
      </c>
      <c r="C283" s="1" t="n">
        <v>46178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32560-2024</t>
        </is>
      </c>
      <c r="B284" s="1" t="n">
        <v>45513.52782407407</v>
      </c>
      <c r="C284" s="1" t="n">
        <v>46178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16876-2025</t>
        </is>
      </c>
      <c r="B285" s="1" t="n">
        <v>45755.28888888889</v>
      </c>
      <c r="C285" s="1" t="n">
        <v>46178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16878-2025</t>
        </is>
      </c>
      <c r="B286" s="1" t="n">
        <v>45755.29123842593</v>
      </c>
      <c r="C286" s="1" t="n">
        <v>46178</v>
      </c>
      <c r="D286" t="inlineStr">
        <is>
          <t>DALARNAS LÄN</t>
        </is>
      </c>
      <c r="E286" t="inlineStr">
        <is>
          <t>RÄTTVIK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38538-2025</t>
        </is>
      </c>
      <c r="B287" s="1" t="n">
        <v>45884.42332175926</v>
      </c>
      <c r="C287" s="1" t="n">
        <v>46178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395-2026</t>
        </is>
      </c>
      <c r="B288" s="1" t="n">
        <v>46028.61246527778</v>
      </c>
      <c r="C288" s="1" t="n">
        <v>46178</v>
      </c>
      <c r="D288" t="inlineStr">
        <is>
          <t>DALARNAS LÄN</t>
        </is>
      </c>
      <c r="E288" t="inlineStr">
        <is>
          <t>RÄTTVIK</t>
        </is>
      </c>
      <c r="F288" t="inlineStr">
        <is>
          <t>Övriga statliga verk och myndigheter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25973-2025</t>
        </is>
      </c>
      <c r="B289" s="1" t="n">
        <v>45804.63291666667</v>
      </c>
      <c r="C289" s="1" t="n">
        <v>46178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600-2026</t>
        </is>
      </c>
      <c r="B290" s="1" t="n">
        <v>46029</v>
      </c>
      <c r="C290" s="1" t="n">
        <v>46178</v>
      </c>
      <c r="D290" t="inlineStr">
        <is>
          <t>DALARNAS LÄN</t>
        </is>
      </c>
      <c r="E290" t="inlineStr">
        <is>
          <t>RÄTTVIK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39098-2025</t>
        </is>
      </c>
      <c r="B291" s="1" t="n">
        <v>45888.50637731481</v>
      </c>
      <c r="C291" s="1" t="n">
        <v>46178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509-2026</t>
        </is>
      </c>
      <c r="B292" s="1" t="n">
        <v>46029</v>
      </c>
      <c r="C292" s="1" t="n">
        <v>46178</v>
      </c>
      <c r="D292" t="inlineStr">
        <is>
          <t>DALARNAS LÄN</t>
        </is>
      </c>
      <c r="E292" t="inlineStr">
        <is>
          <t>RÄTTVIK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55461-2024</t>
        </is>
      </c>
      <c r="B293" s="1" t="n">
        <v>45622.42818287037</v>
      </c>
      <c r="C293" s="1" t="n">
        <v>46178</v>
      </c>
      <c r="D293" t="inlineStr">
        <is>
          <t>DALARNAS LÄN</t>
        </is>
      </c>
      <c r="E293" t="inlineStr">
        <is>
          <t>RÄTTVIK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44015-2023</t>
        </is>
      </c>
      <c r="B294" s="1" t="n">
        <v>45182</v>
      </c>
      <c r="C294" s="1" t="n">
        <v>46178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39204-2025</t>
        </is>
      </c>
      <c r="B295" s="1" t="n">
        <v>45888</v>
      </c>
      <c r="C295" s="1" t="n">
        <v>46178</v>
      </c>
      <c r="D295" t="inlineStr">
        <is>
          <t>DALARNAS LÄN</t>
        </is>
      </c>
      <c r="E295" t="inlineStr">
        <is>
          <t>RÄTTVIK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785-2026</t>
        </is>
      </c>
      <c r="B296" s="1" t="n">
        <v>46029.82166666666</v>
      </c>
      <c r="C296" s="1" t="n">
        <v>46178</v>
      </c>
      <c r="D296" t="inlineStr">
        <is>
          <t>DALARNAS LÄN</t>
        </is>
      </c>
      <c r="E296" t="inlineStr">
        <is>
          <t>RÄTTVIK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39131-2025</t>
        </is>
      </c>
      <c r="B297" s="1" t="n">
        <v>45888.58789351852</v>
      </c>
      <c r="C297" s="1" t="n">
        <v>46178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19171-2025</t>
        </is>
      </c>
      <c r="B298" s="1" t="n">
        <v>45769</v>
      </c>
      <c r="C298" s="1" t="n">
        <v>46178</v>
      </c>
      <c r="D298" t="inlineStr">
        <is>
          <t>DALARNAS LÄN</t>
        </is>
      </c>
      <c r="E298" t="inlineStr">
        <is>
          <t>RÄTTVIK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23408-2024</t>
        </is>
      </c>
      <c r="B299" s="1" t="n">
        <v>45453.58515046296</v>
      </c>
      <c r="C299" s="1" t="n">
        <v>46178</v>
      </c>
      <c r="D299" t="inlineStr">
        <is>
          <t>DALARNAS LÄN</t>
        </is>
      </c>
      <c r="E299" t="inlineStr">
        <is>
          <t>RÄTTVIK</t>
        </is>
      </c>
      <c r="F299" t="inlineStr">
        <is>
          <t>Allmännings- och besparingsskogar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39027-2025</t>
        </is>
      </c>
      <c r="B300" s="1" t="n">
        <v>45888.40212962963</v>
      </c>
      <c r="C300" s="1" t="n">
        <v>46178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55898-2024</t>
        </is>
      </c>
      <c r="B301" s="1" t="n">
        <v>45623.57618055555</v>
      </c>
      <c r="C301" s="1" t="n">
        <v>46178</v>
      </c>
      <c r="D301" t="inlineStr">
        <is>
          <t>DALARNAS LÄN</t>
        </is>
      </c>
      <c r="E301" t="inlineStr">
        <is>
          <t>RÄTTVIK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1336-2026</t>
        </is>
      </c>
      <c r="B302" s="1" t="n">
        <v>46031.5739699074</v>
      </c>
      <c r="C302" s="1" t="n">
        <v>46178</v>
      </c>
      <c r="D302" t="inlineStr">
        <is>
          <t>DALARNAS LÄN</t>
        </is>
      </c>
      <c r="E302" t="inlineStr">
        <is>
          <t>RÄTTVIK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39054-2025</t>
        </is>
      </c>
      <c r="B303" s="1" t="n">
        <v>45888.44871527778</v>
      </c>
      <c r="C303" s="1" t="n">
        <v>46178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35556-2024</t>
        </is>
      </c>
      <c r="B304" s="1" t="n">
        <v>45531.61996527778</v>
      </c>
      <c r="C304" s="1" t="n">
        <v>46178</v>
      </c>
      <c r="D304" t="inlineStr">
        <is>
          <t>DALARNAS LÄN</t>
        </is>
      </c>
      <c r="E304" t="inlineStr">
        <is>
          <t>RÄTTVIK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1171-2026</t>
        </is>
      </c>
      <c r="B305" s="1" t="n">
        <v>46031.3459375</v>
      </c>
      <c r="C305" s="1" t="n">
        <v>46178</v>
      </c>
      <c r="D305" t="inlineStr">
        <is>
          <t>DALARNAS LÄN</t>
        </is>
      </c>
      <c r="E305" t="inlineStr">
        <is>
          <t>RÄTTVIK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1028-2026</t>
        </is>
      </c>
      <c r="B306" s="1" t="n">
        <v>46030</v>
      </c>
      <c r="C306" s="1" t="n">
        <v>46178</v>
      </c>
      <c r="D306" t="inlineStr">
        <is>
          <t>DALARNAS LÄN</t>
        </is>
      </c>
      <c r="E306" t="inlineStr">
        <is>
          <t>RÄTTVIK</t>
        </is>
      </c>
      <c r="F306" t="inlineStr">
        <is>
          <t>Allmännings- och besparingsskogar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934-2026</t>
        </is>
      </c>
      <c r="B307" s="1" t="n">
        <v>46030</v>
      </c>
      <c r="C307" s="1" t="n">
        <v>46178</v>
      </c>
      <c r="D307" t="inlineStr">
        <is>
          <t>DALARNAS LÄN</t>
        </is>
      </c>
      <c r="E307" t="inlineStr">
        <is>
          <t>RÄTTVIK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53080-2024</t>
        </is>
      </c>
      <c r="B308" s="1" t="n">
        <v>45611.49712962963</v>
      </c>
      <c r="C308" s="1" t="n">
        <v>46178</v>
      </c>
      <c r="D308" t="inlineStr">
        <is>
          <t>DALARNAS LÄN</t>
        </is>
      </c>
      <c r="E308" t="inlineStr">
        <is>
          <t>RÄTTVIK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1458-2026</t>
        </is>
      </c>
      <c r="B309" s="1" t="n">
        <v>46033.62140046297</v>
      </c>
      <c r="C309" s="1" t="n">
        <v>46178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1461-2026</t>
        </is>
      </c>
      <c r="B310" s="1" t="n">
        <v>46033.68042824074</v>
      </c>
      <c r="C310" s="1" t="n">
        <v>46178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1462-2026</t>
        </is>
      </c>
      <c r="B311" s="1" t="n">
        <v>46033.68228009259</v>
      </c>
      <c r="C311" s="1" t="n">
        <v>46178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1646-2026</t>
        </is>
      </c>
      <c r="B312" s="1" t="n">
        <v>46034.50962962963</v>
      </c>
      <c r="C312" s="1" t="n">
        <v>46178</v>
      </c>
      <c r="D312" t="inlineStr">
        <is>
          <t>DALARNAS LÄN</t>
        </is>
      </c>
      <c r="E312" t="inlineStr">
        <is>
          <t>RÄTTVIK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1644-2026</t>
        </is>
      </c>
      <c r="B313" s="1" t="n">
        <v>46034.50521990741</v>
      </c>
      <c r="C313" s="1" t="n">
        <v>46178</v>
      </c>
      <c r="D313" t="inlineStr">
        <is>
          <t>DALARNAS LÄN</t>
        </is>
      </c>
      <c r="E313" t="inlineStr">
        <is>
          <t>RÄTTVIK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1464-2026</t>
        </is>
      </c>
      <c r="B314" s="1" t="n">
        <v>46033.69634259259</v>
      </c>
      <c r="C314" s="1" t="n">
        <v>46178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1858-2026</t>
        </is>
      </c>
      <c r="B315" s="1" t="n">
        <v>46035.43505787037</v>
      </c>
      <c r="C315" s="1" t="n">
        <v>46178</v>
      </c>
      <c r="D315" t="inlineStr">
        <is>
          <t>DALARNAS LÄN</t>
        </is>
      </c>
      <c r="E315" t="inlineStr">
        <is>
          <t>RÄTTVIK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1463-2026</t>
        </is>
      </c>
      <c r="B316" s="1" t="n">
        <v>46033.69337962963</v>
      </c>
      <c r="C316" s="1" t="n">
        <v>46178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270-2026</t>
        </is>
      </c>
      <c r="B317" s="1" t="n">
        <v>46027</v>
      </c>
      <c r="C317" s="1" t="n">
        <v>46178</v>
      </c>
      <c r="D317" t="inlineStr">
        <is>
          <t>DALARNAS LÄN</t>
        </is>
      </c>
      <c r="E317" t="inlineStr">
        <is>
          <t>RÄTTVIK</t>
        </is>
      </c>
      <c r="G317" t="n">
        <v>18.7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1460-2026</t>
        </is>
      </c>
      <c r="B318" s="1" t="n">
        <v>46033.67858796296</v>
      </c>
      <c r="C318" s="1" t="n">
        <v>46178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1466-2026</t>
        </is>
      </c>
      <c r="B319" s="1" t="n">
        <v>46033.70020833334</v>
      </c>
      <c r="C319" s="1" t="n">
        <v>46178</v>
      </c>
      <c r="D319" t="inlineStr">
        <is>
          <t>DALARNAS LÄN</t>
        </is>
      </c>
      <c r="E319" t="inlineStr">
        <is>
          <t>RÄTTVIK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2692-2026</t>
        </is>
      </c>
      <c r="B320" s="1" t="n">
        <v>46037</v>
      </c>
      <c r="C320" s="1" t="n">
        <v>46178</v>
      </c>
      <c r="D320" t="inlineStr">
        <is>
          <t>DALARNAS LÄN</t>
        </is>
      </c>
      <c r="E320" t="inlineStr">
        <is>
          <t>RÄTTVIK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2078-2026</t>
        </is>
      </c>
      <c r="B321" s="1" t="n">
        <v>46036</v>
      </c>
      <c r="C321" s="1" t="n">
        <v>46178</v>
      </c>
      <c r="D321" t="inlineStr">
        <is>
          <t>DALARNAS LÄN</t>
        </is>
      </c>
      <c r="E321" t="inlineStr">
        <is>
          <t>RÄTTVIK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2624-2026</t>
        </is>
      </c>
      <c r="B322" s="1" t="n">
        <v>46037.59884259259</v>
      </c>
      <c r="C322" s="1" t="n">
        <v>46178</v>
      </c>
      <c r="D322" t="inlineStr">
        <is>
          <t>DALARNAS LÄN</t>
        </is>
      </c>
      <c r="E322" t="inlineStr">
        <is>
          <t>RÄTTVIK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2118-2026</t>
        </is>
      </c>
      <c r="B323" s="1" t="n">
        <v>46036</v>
      </c>
      <c r="C323" s="1" t="n">
        <v>46178</v>
      </c>
      <c r="D323" t="inlineStr">
        <is>
          <t>DALARNAS LÄN</t>
        </is>
      </c>
      <c r="E323" t="inlineStr">
        <is>
          <t>RÄTTVIK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55893-2024</t>
        </is>
      </c>
      <c r="B324" s="1" t="n">
        <v>45623.57366898148</v>
      </c>
      <c r="C324" s="1" t="n">
        <v>46178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26814-2025</t>
        </is>
      </c>
      <c r="B325" s="1" t="n">
        <v>45810.62579861111</v>
      </c>
      <c r="C325" s="1" t="n">
        <v>46178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2380-2026</t>
        </is>
      </c>
      <c r="B326" s="1" t="n">
        <v>46036</v>
      </c>
      <c r="C326" s="1" t="n">
        <v>46178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2108-2026</t>
        </is>
      </c>
      <c r="B327" s="1" t="n">
        <v>46036</v>
      </c>
      <c r="C327" s="1" t="n">
        <v>46178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2121-2026</t>
        </is>
      </c>
      <c r="B328" s="1" t="n">
        <v>46036</v>
      </c>
      <c r="C328" s="1" t="n">
        <v>46178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2163-2026</t>
        </is>
      </c>
      <c r="B329" s="1" t="n">
        <v>46036.43516203704</v>
      </c>
      <c r="C329" s="1" t="n">
        <v>46178</v>
      </c>
      <c r="D329" t="inlineStr">
        <is>
          <t>DALARNAS LÄN</t>
        </is>
      </c>
      <c r="E329" t="inlineStr">
        <is>
          <t>RÄTTVIK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2128-2026</t>
        </is>
      </c>
      <c r="B330" s="1" t="n">
        <v>46036.39015046296</v>
      </c>
      <c r="C330" s="1" t="n">
        <v>46178</v>
      </c>
      <c r="D330" t="inlineStr">
        <is>
          <t>DALARNAS LÄN</t>
        </is>
      </c>
      <c r="E330" t="inlineStr">
        <is>
          <t>RÄTTVIK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2451-2026</t>
        </is>
      </c>
      <c r="B331" s="1" t="n">
        <v>46037</v>
      </c>
      <c r="C331" s="1" t="n">
        <v>46178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6699-2025</t>
        </is>
      </c>
      <c r="B332" s="1" t="n">
        <v>45700.53663194444</v>
      </c>
      <c r="C332" s="1" t="n">
        <v>46178</v>
      </c>
      <c r="D332" t="inlineStr">
        <is>
          <t>DALARNAS LÄN</t>
        </is>
      </c>
      <c r="E332" t="inlineStr">
        <is>
          <t>RÄTTVIK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2387-2026</t>
        </is>
      </c>
      <c r="B333" s="1" t="n">
        <v>46036</v>
      </c>
      <c r="C333" s="1" t="n">
        <v>46178</v>
      </c>
      <c r="D333" t="inlineStr">
        <is>
          <t>DALARNAS LÄN</t>
        </is>
      </c>
      <c r="E333" t="inlineStr">
        <is>
          <t>RÄTTVIK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702-2024</t>
        </is>
      </c>
      <c r="B334" s="1" t="n">
        <v>45300.3930787037</v>
      </c>
      <c r="C334" s="1" t="n">
        <v>46178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40381-2025</t>
        </is>
      </c>
      <c r="B335" s="1" t="n">
        <v>45895</v>
      </c>
      <c r="C335" s="1" t="n">
        <v>46178</v>
      </c>
      <c r="D335" t="inlineStr">
        <is>
          <t>DALARNAS LÄN</t>
        </is>
      </c>
      <c r="E335" t="inlineStr">
        <is>
          <t>RÄTTVIK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12029-2024</t>
        </is>
      </c>
      <c r="B336" s="1" t="n">
        <v>45377.38084490741</v>
      </c>
      <c r="C336" s="1" t="n">
        <v>46178</v>
      </c>
      <c r="D336" t="inlineStr">
        <is>
          <t>DALARNAS LÄN</t>
        </is>
      </c>
      <c r="E336" t="inlineStr">
        <is>
          <t>RÄTTVIK</t>
        </is>
      </c>
      <c r="F336" t="inlineStr">
        <is>
          <t>Övriga statliga verk och myndigheter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2519-2026</t>
        </is>
      </c>
      <c r="B337" s="1" t="n">
        <v>46037</v>
      </c>
      <c r="C337" s="1" t="n">
        <v>46178</v>
      </c>
      <c r="D337" t="inlineStr">
        <is>
          <t>DALARNAS LÄN</t>
        </is>
      </c>
      <c r="E337" t="inlineStr">
        <is>
          <t>RÄTTVIK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40399-2025</t>
        </is>
      </c>
      <c r="B338" s="1" t="n">
        <v>45895</v>
      </c>
      <c r="C338" s="1" t="n">
        <v>46178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40189-2025</t>
        </is>
      </c>
      <c r="B339" s="1" t="n">
        <v>45894.65532407408</v>
      </c>
      <c r="C339" s="1" t="n">
        <v>46178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40212-2025</t>
        </is>
      </c>
      <c r="B340" s="1" t="n">
        <v>45894.6841087963</v>
      </c>
      <c r="C340" s="1" t="n">
        <v>46178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27512-2025</t>
        </is>
      </c>
      <c r="B341" s="1" t="n">
        <v>45813.42855324074</v>
      </c>
      <c r="C341" s="1" t="n">
        <v>46178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57740-2023</t>
        </is>
      </c>
      <c r="B342" s="1" t="n">
        <v>45243</v>
      </c>
      <c r="C342" s="1" t="n">
        <v>46178</v>
      </c>
      <c r="D342" t="inlineStr">
        <is>
          <t>DALARNAS LÄN</t>
        </is>
      </c>
      <c r="E342" t="inlineStr">
        <is>
          <t>RÄTTVIK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40216-2025</t>
        </is>
      </c>
      <c r="B343" s="1" t="n">
        <v>45894.6880787037</v>
      </c>
      <c r="C343" s="1" t="n">
        <v>46178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2629-2026</t>
        </is>
      </c>
      <c r="B344" s="1" t="n">
        <v>46037.60666666667</v>
      </c>
      <c r="C344" s="1" t="n">
        <v>46178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27656-2025</t>
        </is>
      </c>
      <c r="B345" s="1" t="n">
        <v>45813.60965277778</v>
      </c>
      <c r="C345" s="1" t="n">
        <v>46178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40250-2025</t>
        </is>
      </c>
      <c r="B346" s="1" t="n">
        <v>45895.31238425926</v>
      </c>
      <c r="C346" s="1" t="n">
        <v>46178</v>
      </c>
      <c r="D346" t="inlineStr">
        <is>
          <t>DALARNAS LÄN</t>
        </is>
      </c>
      <c r="E346" t="inlineStr">
        <is>
          <t>RÄTTVIK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14876-2025</t>
        </is>
      </c>
      <c r="B347" s="1" t="n">
        <v>45743.46100694445</v>
      </c>
      <c r="C347" s="1" t="n">
        <v>46178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9672-2024</t>
        </is>
      </c>
      <c r="B348" s="1" t="n">
        <v>45362.46164351852</v>
      </c>
      <c r="C348" s="1" t="n">
        <v>46178</v>
      </c>
      <c r="D348" t="inlineStr">
        <is>
          <t>DALARNAS LÄN</t>
        </is>
      </c>
      <c r="E348" t="inlineStr">
        <is>
          <t>RÄTTVIK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46943-2023</t>
        </is>
      </c>
      <c r="B349" s="1" t="n">
        <v>45201.42883101852</v>
      </c>
      <c r="C349" s="1" t="n">
        <v>46178</v>
      </c>
      <c r="D349" t="inlineStr">
        <is>
          <t>DALARNAS LÄN</t>
        </is>
      </c>
      <c r="E349" t="inlineStr">
        <is>
          <t>RÄTTVIK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27704-2025</t>
        </is>
      </c>
      <c r="B350" s="1" t="n">
        <v>45813</v>
      </c>
      <c r="C350" s="1" t="n">
        <v>46178</v>
      </c>
      <c r="D350" t="inlineStr">
        <is>
          <t>DALARNAS LÄN</t>
        </is>
      </c>
      <c r="E350" t="inlineStr">
        <is>
          <t>RÄTTVIK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27701-2025</t>
        </is>
      </c>
      <c r="B351" s="1" t="n">
        <v>45813</v>
      </c>
      <c r="C351" s="1" t="n">
        <v>46178</v>
      </c>
      <c r="D351" t="inlineStr">
        <is>
          <t>DALARNAS LÄN</t>
        </is>
      </c>
      <c r="E351" t="inlineStr">
        <is>
          <t>RÄTTVIK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40493-2025</t>
        </is>
      </c>
      <c r="B352" s="1" t="n">
        <v>45896.2971412037</v>
      </c>
      <c r="C352" s="1" t="n">
        <v>46178</v>
      </c>
      <c r="D352" t="inlineStr">
        <is>
          <t>DALARNAS LÄN</t>
        </is>
      </c>
      <c r="E352" t="inlineStr">
        <is>
          <t>RÄTTVIK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40663-2025</t>
        </is>
      </c>
      <c r="B353" s="1" t="n">
        <v>45896.64891203704</v>
      </c>
      <c r="C353" s="1" t="n">
        <v>46178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28044-2025</t>
        </is>
      </c>
      <c r="B354" s="1" t="n">
        <v>45817.65202546296</v>
      </c>
      <c r="C354" s="1" t="n">
        <v>46178</v>
      </c>
      <c r="D354" t="inlineStr">
        <is>
          <t>DALARNAS LÄN</t>
        </is>
      </c>
      <c r="E354" t="inlineStr">
        <is>
          <t>RÄTTVIK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14698-2025</t>
        </is>
      </c>
      <c r="B355" s="1" t="n">
        <v>45742.59943287037</v>
      </c>
      <c r="C355" s="1" t="n">
        <v>46178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14701-2025</t>
        </is>
      </c>
      <c r="B356" s="1" t="n">
        <v>45742.60391203704</v>
      </c>
      <c r="C356" s="1" t="n">
        <v>46178</v>
      </c>
      <c r="D356" t="inlineStr">
        <is>
          <t>DALARNAS LÄN</t>
        </is>
      </c>
      <c r="E356" t="inlineStr">
        <is>
          <t>RÄTTVIK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40659-2025</t>
        </is>
      </c>
      <c r="B357" s="1" t="n">
        <v>45896.64556712963</v>
      </c>
      <c r="C357" s="1" t="n">
        <v>46178</v>
      </c>
      <c r="D357" t="inlineStr">
        <is>
          <t>DALARNAS LÄN</t>
        </is>
      </c>
      <c r="E357" t="inlineStr">
        <is>
          <t>RÄTTVIK</t>
        </is>
      </c>
      <c r="G357" t="n">
        <v>16.3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28034-2025</t>
        </is>
      </c>
      <c r="B358" s="1" t="n">
        <v>45817.63287037037</v>
      </c>
      <c r="C358" s="1" t="n">
        <v>46178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40981-2025</t>
        </is>
      </c>
      <c r="B359" s="1" t="n">
        <v>45898.29179398148</v>
      </c>
      <c r="C359" s="1" t="n">
        <v>46178</v>
      </c>
      <c r="D359" t="inlineStr">
        <is>
          <t>DALARNAS LÄN</t>
        </is>
      </c>
      <c r="E359" t="inlineStr">
        <is>
          <t>RÄTTVIK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28563-2025</t>
        </is>
      </c>
      <c r="B360" s="1" t="n">
        <v>45819.55390046296</v>
      </c>
      <c r="C360" s="1" t="n">
        <v>46178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3313-2026</t>
        </is>
      </c>
      <c r="B361" s="1" t="n">
        <v>46041</v>
      </c>
      <c r="C361" s="1" t="n">
        <v>46178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55379-2022</t>
        </is>
      </c>
      <c r="B362" s="1" t="n">
        <v>44882</v>
      </c>
      <c r="C362" s="1" t="n">
        <v>46178</v>
      </c>
      <c r="D362" t="inlineStr">
        <is>
          <t>DALARNAS LÄN</t>
        </is>
      </c>
      <c r="E362" t="inlineStr">
        <is>
          <t>RÄTTVIK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28683-2025</t>
        </is>
      </c>
      <c r="B363" s="1" t="n">
        <v>45819</v>
      </c>
      <c r="C363" s="1" t="n">
        <v>46178</v>
      </c>
      <c r="D363" t="inlineStr">
        <is>
          <t>DALARNAS LÄN</t>
        </is>
      </c>
      <c r="E363" t="inlineStr">
        <is>
          <t>RÄTTVIK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61919-2024</t>
        </is>
      </c>
      <c r="B364" s="1" t="n">
        <v>45653.4371875</v>
      </c>
      <c r="C364" s="1" t="n">
        <v>46178</v>
      </c>
      <c r="D364" t="inlineStr">
        <is>
          <t>DALARNAS LÄN</t>
        </is>
      </c>
      <c r="E364" t="inlineStr">
        <is>
          <t>RÄTTVIK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41464-2025</t>
        </is>
      </c>
      <c r="B365" s="1" t="n">
        <v>45901.45232638889</v>
      </c>
      <c r="C365" s="1" t="n">
        <v>46178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29135-2025</t>
        </is>
      </c>
      <c r="B366" s="1" t="n">
        <v>45821.60831018518</v>
      </c>
      <c r="C366" s="1" t="n">
        <v>46178</v>
      </c>
      <c r="D366" t="inlineStr">
        <is>
          <t>DALARNAS LÄN</t>
        </is>
      </c>
      <c r="E366" t="inlineStr">
        <is>
          <t>RÄTTVIK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26427-2022</t>
        </is>
      </c>
      <c r="B367" s="1" t="n">
        <v>44736</v>
      </c>
      <c r="C367" s="1" t="n">
        <v>46178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2936-2025</t>
        </is>
      </c>
      <c r="B368" s="1" t="n">
        <v>45678.37991898148</v>
      </c>
      <c r="C368" s="1" t="n">
        <v>46178</v>
      </c>
      <c r="D368" t="inlineStr">
        <is>
          <t>DALARNAS LÄN</t>
        </is>
      </c>
      <c r="E368" t="inlineStr">
        <is>
          <t>RÄTTVIK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28811-2025</t>
        </is>
      </c>
      <c r="B369" s="1" t="n">
        <v>45820.52292824074</v>
      </c>
      <c r="C369" s="1" t="n">
        <v>46178</v>
      </c>
      <c r="D369" t="inlineStr">
        <is>
          <t>DALARNAS LÄN</t>
        </is>
      </c>
      <c r="E369" t="inlineStr">
        <is>
          <t>RÄTTVIK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41387-2025</t>
        </is>
      </c>
      <c r="B370" s="1" t="n">
        <v>45901.303125</v>
      </c>
      <c r="C370" s="1" t="n">
        <v>46178</v>
      </c>
      <c r="D370" t="inlineStr">
        <is>
          <t>DALARNAS LÄN</t>
        </is>
      </c>
      <c r="E370" t="inlineStr">
        <is>
          <t>RÄTTVIK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53304-2023</t>
        </is>
      </c>
      <c r="B371" s="1" t="n">
        <v>45229.59721064815</v>
      </c>
      <c r="C371" s="1" t="n">
        <v>46178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3448-2026</t>
        </is>
      </c>
      <c r="B372" s="1" t="n">
        <v>46042.48768518519</v>
      </c>
      <c r="C372" s="1" t="n">
        <v>46178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42089-2024</t>
        </is>
      </c>
      <c r="B373" s="1" t="n">
        <v>45562.34228009259</v>
      </c>
      <c r="C373" s="1" t="n">
        <v>46178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3421-2026</t>
        </is>
      </c>
      <c r="B374" s="1" t="n">
        <v>46042</v>
      </c>
      <c r="C374" s="1" t="n">
        <v>46178</v>
      </c>
      <c r="D374" t="inlineStr">
        <is>
          <t>DALARNAS LÄN</t>
        </is>
      </c>
      <c r="E374" t="inlineStr">
        <is>
          <t>RÄTTVIK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38692-2024</t>
        </is>
      </c>
      <c r="B375" s="1" t="n">
        <v>45547.35722222222</v>
      </c>
      <c r="C375" s="1" t="n">
        <v>46178</v>
      </c>
      <c r="D375" t="inlineStr">
        <is>
          <t>DALARNAS LÄN</t>
        </is>
      </c>
      <c r="E375" t="inlineStr">
        <is>
          <t>RÄTTVIK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2835-2026</t>
        </is>
      </c>
      <c r="B376" s="1" t="n">
        <v>46038</v>
      </c>
      <c r="C376" s="1" t="n">
        <v>46178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29511-2025</t>
        </is>
      </c>
      <c r="B377" s="1" t="n">
        <v>45825.30818287037</v>
      </c>
      <c r="C377" s="1" t="n">
        <v>46178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29695-2025</t>
        </is>
      </c>
      <c r="B378" s="1" t="n">
        <v>45825</v>
      </c>
      <c r="C378" s="1" t="n">
        <v>46178</v>
      </c>
      <c r="D378" t="inlineStr">
        <is>
          <t>DALARNAS LÄN</t>
        </is>
      </c>
      <c r="E378" t="inlineStr">
        <is>
          <t>RÄTTVIK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29521-2025</t>
        </is>
      </c>
      <c r="B379" s="1" t="n">
        <v>45825.33085648148</v>
      </c>
      <c r="C379" s="1" t="n">
        <v>46178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3725-2026</t>
        </is>
      </c>
      <c r="B380" s="1" t="n">
        <v>46043</v>
      </c>
      <c r="C380" s="1" t="n">
        <v>46178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42078-2025</t>
        </is>
      </c>
      <c r="B381" s="1" t="n">
        <v>45902</v>
      </c>
      <c r="C381" s="1" t="n">
        <v>46178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29687-2025</t>
        </is>
      </c>
      <c r="B382" s="1" t="n">
        <v>45825.51869212963</v>
      </c>
      <c r="C382" s="1" t="n">
        <v>46178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29684-2025</t>
        </is>
      </c>
      <c r="B383" s="1" t="n">
        <v>45825.513125</v>
      </c>
      <c r="C383" s="1" t="n">
        <v>46178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15.3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3704-2026</t>
        </is>
      </c>
      <c r="B384" s="1" t="n">
        <v>46043.47447916667</v>
      </c>
      <c r="C384" s="1" t="n">
        <v>46178</v>
      </c>
      <c r="D384" t="inlineStr">
        <is>
          <t>DALARNAS LÄN</t>
        </is>
      </c>
      <c r="E384" t="inlineStr">
        <is>
          <t>RÄTTVIK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3714-2026</t>
        </is>
      </c>
      <c r="B385" s="1" t="n">
        <v>46043</v>
      </c>
      <c r="C385" s="1" t="n">
        <v>46178</v>
      </c>
      <c r="D385" t="inlineStr">
        <is>
          <t>DALARNAS LÄN</t>
        </is>
      </c>
      <c r="E385" t="inlineStr">
        <is>
          <t>RÄTTVIK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29697-2025</t>
        </is>
      </c>
      <c r="B386" s="1" t="n">
        <v>45825</v>
      </c>
      <c r="C386" s="1" t="n">
        <v>46178</v>
      </c>
      <c r="D386" t="inlineStr">
        <is>
          <t>DALARNAS LÄN</t>
        </is>
      </c>
      <c r="E386" t="inlineStr">
        <is>
          <t>RÄTTVIK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6169-2024</t>
        </is>
      </c>
      <c r="B387" s="1" t="n">
        <v>45337.53060185185</v>
      </c>
      <c r="C387" s="1" t="n">
        <v>46178</v>
      </c>
      <c r="D387" t="inlineStr">
        <is>
          <t>DALARNAS LÄN</t>
        </is>
      </c>
      <c r="E387" t="inlineStr">
        <is>
          <t>RÄTTVIK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29519-2025</t>
        </is>
      </c>
      <c r="B388" s="1" t="n">
        <v>45825.32450231481</v>
      </c>
      <c r="C388" s="1" t="n">
        <v>46178</v>
      </c>
      <c r="D388" t="inlineStr">
        <is>
          <t>DALARNAS LÄN</t>
        </is>
      </c>
      <c r="E388" t="inlineStr">
        <is>
          <t>RÄTTVIK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29676-2025</t>
        </is>
      </c>
      <c r="B389" s="1" t="n">
        <v>45825</v>
      </c>
      <c r="C389" s="1" t="n">
        <v>46178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29289-2025</t>
        </is>
      </c>
      <c r="B390" s="1" t="n">
        <v>45824.43866898148</v>
      </c>
      <c r="C390" s="1" t="n">
        <v>46178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14706-2025</t>
        </is>
      </c>
      <c r="B391" s="1" t="n">
        <v>45742.60677083334</v>
      </c>
      <c r="C391" s="1" t="n">
        <v>46178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14709-2025</t>
        </is>
      </c>
      <c r="B392" s="1" t="n">
        <v>45742.60869212963</v>
      </c>
      <c r="C392" s="1" t="n">
        <v>46178</v>
      </c>
      <c r="D392" t="inlineStr">
        <is>
          <t>DALARNAS LÄN</t>
        </is>
      </c>
      <c r="E392" t="inlineStr">
        <is>
          <t>RÄTTVIK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29360-2025</t>
        </is>
      </c>
      <c r="B393" s="1" t="n">
        <v>45824.56244212963</v>
      </c>
      <c r="C393" s="1" t="n">
        <v>46178</v>
      </c>
      <c r="D393" t="inlineStr">
        <is>
          <t>DALARNAS LÄN</t>
        </is>
      </c>
      <c r="E393" t="inlineStr">
        <is>
          <t>RÄTTVIK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3466-2026</t>
        </is>
      </c>
      <c r="B394" s="1" t="n">
        <v>46042.5277199074</v>
      </c>
      <c r="C394" s="1" t="n">
        <v>46178</v>
      </c>
      <c r="D394" t="inlineStr">
        <is>
          <t>DALARNAS LÄN</t>
        </is>
      </c>
      <c r="E394" t="inlineStr">
        <is>
          <t>RÄTTVIK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16833-2023</t>
        </is>
      </c>
      <c r="B395" s="1" t="n">
        <v>45033</v>
      </c>
      <c r="C395" s="1" t="n">
        <v>46178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3449-2026</t>
        </is>
      </c>
      <c r="B396" s="1" t="n">
        <v>46042.49140046296</v>
      </c>
      <c r="C396" s="1" t="n">
        <v>46178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3476-2026</t>
        </is>
      </c>
      <c r="B397" s="1" t="n">
        <v>46042.54991898148</v>
      </c>
      <c r="C397" s="1" t="n">
        <v>46178</v>
      </c>
      <c r="D397" t="inlineStr">
        <is>
          <t>DALARNAS LÄN</t>
        </is>
      </c>
      <c r="E397" t="inlineStr">
        <is>
          <t>RÄTTVIK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3797-2026</t>
        </is>
      </c>
      <c r="B398" s="1" t="n">
        <v>46043.58049768519</v>
      </c>
      <c r="C398" s="1" t="n">
        <v>46178</v>
      </c>
      <c r="D398" t="inlineStr">
        <is>
          <t>DALARNAS LÄN</t>
        </is>
      </c>
      <c r="E398" t="inlineStr">
        <is>
          <t>RÄTTVIK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4162-2026</t>
        </is>
      </c>
      <c r="B399" s="1" t="n">
        <v>46044</v>
      </c>
      <c r="C399" s="1" t="n">
        <v>46178</v>
      </c>
      <c r="D399" t="inlineStr">
        <is>
          <t>DALARNAS LÄN</t>
        </is>
      </c>
      <c r="E399" t="inlineStr">
        <is>
          <t>RÄTTVIK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37055-2024</t>
        </is>
      </c>
      <c r="B400" s="1" t="n">
        <v>45539.43597222222</v>
      </c>
      <c r="C400" s="1" t="n">
        <v>46178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13090-2023</t>
        </is>
      </c>
      <c r="B401" s="1" t="n">
        <v>45002.4266087963</v>
      </c>
      <c r="C401" s="1" t="n">
        <v>46178</v>
      </c>
      <c r="D401" t="inlineStr">
        <is>
          <t>DALARNAS LÄN</t>
        </is>
      </c>
      <c r="E401" t="inlineStr">
        <is>
          <t>RÄTTVIK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30444-2025</t>
        </is>
      </c>
      <c r="B402" s="1" t="n">
        <v>45827.64935185185</v>
      </c>
      <c r="C402" s="1" t="n">
        <v>46178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29943-2025</t>
        </is>
      </c>
      <c r="B403" s="1" t="n">
        <v>45826.45706018519</v>
      </c>
      <c r="C403" s="1" t="n">
        <v>46178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4061-2026</t>
        </is>
      </c>
      <c r="B404" s="1" t="n">
        <v>46044</v>
      </c>
      <c r="C404" s="1" t="n">
        <v>46178</v>
      </c>
      <c r="D404" t="inlineStr">
        <is>
          <t>DALARNAS LÄN</t>
        </is>
      </c>
      <c r="E404" t="inlineStr">
        <is>
          <t>RÄTTVIK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51925-2023</t>
        </is>
      </c>
      <c r="B405" s="1" t="n">
        <v>45223</v>
      </c>
      <c r="C405" s="1" t="n">
        <v>46178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59921-2024</t>
        </is>
      </c>
      <c r="B406" s="1" t="n">
        <v>45641.90386574074</v>
      </c>
      <c r="C406" s="1" t="n">
        <v>46178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30446-2025</t>
        </is>
      </c>
      <c r="B407" s="1" t="n">
        <v>45827.65038194445</v>
      </c>
      <c r="C407" s="1" t="n">
        <v>46178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30148-2025</t>
        </is>
      </c>
      <c r="B408" s="1" t="n">
        <v>45827.30564814815</v>
      </c>
      <c r="C408" s="1" t="n">
        <v>46178</v>
      </c>
      <c r="D408" t="inlineStr">
        <is>
          <t>DALARNAS LÄN</t>
        </is>
      </c>
      <c r="E408" t="inlineStr">
        <is>
          <t>RÄTTVIK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4092-2026</t>
        </is>
      </c>
      <c r="B409" s="1" t="n">
        <v>46044</v>
      </c>
      <c r="C409" s="1" t="n">
        <v>46178</v>
      </c>
      <c r="D409" t="inlineStr">
        <is>
          <t>DALARNAS LÄN</t>
        </is>
      </c>
      <c r="E409" t="inlineStr">
        <is>
          <t>RÄTTVIK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30556-2025</t>
        </is>
      </c>
      <c r="B410" s="1" t="n">
        <v>45831.3905787037</v>
      </c>
      <c r="C410" s="1" t="n">
        <v>46178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41879-2025</t>
        </is>
      </c>
      <c r="B411" s="1" t="n">
        <v>45903.35346064815</v>
      </c>
      <c r="C411" s="1" t="n">
        <v>46178</v>
      </c>
      <c r="D411" t="inlineStr">
        <is>
          <t>DALARNAS LÄN</t>
        </is>
      </c>
      <c r="E411" t="inlineStr">
        <is>
          <t>RÄTTVIK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63540-2023</t>
        </is>
      </c>
      <c r="B412" s="1" t="n">
        <v>45275.31835648148</v>
      </c>
      <c r="C412" s="1" t="n">
        <v>46178</v>
      </c>
      <c r="D412" t="inlineStr">
        <is>
          <t>DALARNAS LÄN</t>
        </is>
      </c>
      <c r="E412" t="inlineStr">
        <is>
          <t>RÄTTVIK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30707-2025</t>
        </is>
      </c>
      <c r="B413" s="1" t="n">
        <v>45831.55048611111</v>
      </c>
      <c r="C413" s="1" t="n">
        <v>46178</v>
      </c>
      <c r="D413" t="inlineStr">
        <is>
          <t>DALARNAS LÄN</t>
        </is>
      </c>
      <c r="E413" t="inlineStr">
        <is>
          <t>RÄTTVIK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42079-2025</t>
        </is>
      </c>
      <c r="B414" s="1" t="n">
        <v>45902</v>
      </c>
      <c r="C414" s="1" t="n">
        <v>46178</v>
      </c>
      <c r="D414" t="inlineStr">
        <is>
          <t>DALARNAS LÄN</t>
        </is>
      </c>
      <c r="E414" t="inlineStr">
        <is>
          <t>RÄTTVIK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30724-2025</t>
        </is>
      </c>
      <c r="B415" s="1" t="n">
        <v>45831.56690972222</v>
      </c>
      <c r="C415" s="1" t="n">
        <v>46178</v>
      </c>
      <c r="D415" t="inlineStr">
        <is>
          <t>DALARNAS LÄN</t>
        </is>
      </c>
      <c r="E415" t="inlineStr">
        <is>
          <t>RÄTTVIK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38004-2024</t>
        </is>
      </c>
      <c r="B416" s="1" t="n">
        <v>45544</v>
      </c>
      <c r="C416" s="1" t="n">
        <v>46178</v>
      </c>
      <c r="D416" t="inlineStr">
        <is>
          <t>DALARNAS LÄN</t>
        </is>
      </c>
      <c r="E416" t="inlineStr">
        <is>
          <t>RÄTTVIK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4304-2026</t>
        </is>
      </c>
      <c r="B417" s="1" t="n">
        <v>46045</v>
      </c>
      <c r="C417" s="1" t="n">
        <v>46178</v>
      </c>
      <c r="D417" t="inlineStr">
        <is>
          <t>DALARNAS LÄN</t>
        </is>
      </c>
      <c r="E417" t="inlineStr">
        <is>
          <t>RÄTTVIK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30934-2025</t>
        </is>
      </c>
      <c r="B418" s="1" t="n">
        <v>45832.4041087963</v>
      </c>
      <c r="C418" s="1" t="n">
        <v>46178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41862-2025</t>
        </is>
      </c>
      <c r="B419" s="1" t="n">
        <v>45903.32292824074</v>
      </c>
      <c r="C419" s="1" t="n">
        <v>46178</v>
      </c>
      <c r="D419" t="inlineStr">
        <is>
          <t>DALARNAS LÄN</t>
        </is>
      </c>
      <c r="E419" t="inlineStr">
        <is>
          <t>RÄTTVIK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17138-2024</t>
        </is>
      </c>
      <c r="B420" s="1" t="n">
        <v>45412.62952546297</v>
      </c>
      <c r="C420" s="1" t="n">
        <v>46178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31260-2025</t>
        </is>
      </c>
      <c r="B421" s="1" t="n">
        <v>45833</v>
      </c>
      <c r="C421" s="1" t="n">
        <v>46178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42508-2025</t>
        </is>
      </c>
      <c r="B422" s="1" t="n">
        <v>45905.53444444444</v>
      </c>
      <c r="C422" s="1" t="n">
        <v>46178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42461-2025</t>
        </is>
      </c>
      <c r="B423" s="1" t="n">
        <v>45905.45695601852</v>
      </c>
      <c r="C423" s="1" t="n">
        <v>46178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17379-2025</t>
        </is>
      </c>
      <c r="B424" s="1" t="n">
        <v>45757.29122685185</v>
      </c>
      <c r="C424" s="1" t="n">
        <v>46178</v>
      </c>
      <c r="D424" t="inlineStr">
        <is>
          <t>DALARNAS LÄN</t>
        </is>
      </c>
      <c r="E424" t="inlineStr">
        <is>
          <t>RÄTTVIK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4827-2026</t>
        </is>
      </c>
      <c r="B425" s="1" t="n">
        <v>46048.59709490741</v>
      </c>
      <c r="C425" s="1" t="n">
        <v>46178</v>
      </c>
      <c r="D425" t="inlineStr">
        <is>
          <t>DALARNAS LÄN</t>
        </is>
      </c>
      <c r="E425" t="inlineStr">
        <is>
          <t>RÄTTVIK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31297-2025</t>
        </is>
      </c>
      <c r="B426" s="1" t="n">
        <v>45833</v>
      </c>
      <c r="C426" s="1" t="n">
        <v>46178</v>
      </c>
      <c r="D426" t="inlineStr">
        <is>
          <t>DALARNAS LÄN</t>
        </is>
      </c>
      <c r="E426" t="inlineStr">
        <is>
          <t>RÄTTVIK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31300-2025</t>
        </is>
      </c>
      <c r="B427" s="1" t="n">
        <v>45833.37924768519</v>
      </c>
      <c r="C427" s="1" t="n">
        <v>46178</v>
      </c>
      <c r="D427" t="inlineStr">
        <is>
          <t>DALARNAS LÄN</t>
        </is>
      </c>
      <c r="E427" t="inlineStr">
        <is>
          <t>RÄTTVIK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4648-2026</t>
        </is>
      </c>
      <c r="B428" s="1" t="n">
        <v>46048.40478009259</v>
      </c>
      <c r="C428" s="1" t="n">
        <v>46178</v>
      </c>
      <c r="D428" t="inlineStr">
        <is>
          <t>DALARNAS LÄN</t>
        </is>
      </c>
      <c r="E428" t="inlineStr">
        <is>
          <t>RÄTTVIK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4817-2026</t>
        </is>
      </c>
      <c r="B429" s="1" t="n">
        <v>46048</v>
      </c>
      <c r="C429" s="1" t="n">
        <v>46178</v>
      </c>
      <c r="D429" t="inlineStr">
        <is>
          <t>DALARNAS LÄN</t>
        </is>
      </c>
      <c r="E429" t="inlineStr">
        <is>
          <t>RÄTTVIK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5005-2026</t>
        </is>
      </c>
      <c r="B430" s="1" t="n">
        <v>46049</v>
      </c>
      <c r="C430" s="1" t="n">
        <v>46178</v>
      </c>
      <c r="D430" t="inlineStr">
        <is>
          <t>DALARNAS LÄN</t>
        </is>
      </c>
      <c r="E430" t="inlineStr">
        <is>
          <t>RÄTTVIK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42447-2025</t>
        </is>
      </c>
      <c r="B431" s="1" t="n">
        <v>45905.44015046296</v>
      </c>
      <c r="C431" s="1" t="n">
        <v>46178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5051-2026</t>
        </is>
      </c>
      <c r="B432" s="1" t="n">
        <v>46049.47159722223</v>
      </c>
      <c r="C432" s="1" t="n">
        <v>46178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31572-2025</t>
        </is>
      </c>
      <c r="B433" s="1" t="n">
        <v>45833</v>
      </c>
      <c r="C433" s="1" t="n">
        <v>46178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4824-2026</t>
        </is>
      </c>
      <c r="B434" s="1" t="n">
        <v>46048</v>
      </c>
      <c r="C434" s="1" t="n">
        <v>46178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4707-2026</t>
        </is>
      </c>
      <c r="B435" s="1" t="n">
        <v>46048.45552083333</v>
      </c>
      <c r="C435" s="1" t="n">
        <v>46178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25891-2023</t>
        </is>
      </c>
      <c r="B436" s="1" t="n">
        <v>45085</v>
      </c>
      <c r="C436" s="1" t="n">
        <v>46178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31273-2025</t>
        </is>
      </c>
      <c r="B437" s="1" t="n">
        <v>45833.34159722222</v>
      </c>
      <c r="C437" s="1" t="n">
        <v>46178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31286-2025</t>
        </is>
      </c>
      <c r="B438" s="1" t="n">
        <v>45833.35479166666</v>
      </c>
      <c r="C438" s="1" t="n">
        <v>46178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31310-2025</t>
        </is>
      </c>
      <c r="B439" s="1" t="n">
        <v>45833</v>
      </c>
      <c r="C439" s="1" t="n">
        <v>46178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4984-2026</t>
        </is>
      </c>
      <c r="B440" s="1" t="n">
        <v>46049</v>
      </c>
      <c r="C440" s="1" t="n">
        <v>46178</v>
      </c>
      <c r="D440" t="inlineStr">
        <is>
          <t>DALARNAS LÄN</t>
        </is>
      </c>
      <c r="E440" t="inlineStr">
        <is>
          <t>RÄTTVIK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4990-2026</t>
        </is>
      </c>
      <c r="B441" s="1" t="n">
        <v>46049</v>
      </c>
      <c r="C441" s="1" t="n">
        <v>46178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68.2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42735-2025</t>
        </is>
      </c>
      <c r="B442" s="1" t="n">
        <v>45908.41019675926</v>
      </c>
      <c r="C442" s="1" t="n">
        <v>46178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42801-2025</t>
        </is>
      </c>
      <c r="B443" s="1" t="n">
        <v>45908.53179398148</v>
      </c>
      <c r="C443" s="1" t="n">
        <v>46178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31946-2025</t>
        </is>
      </c>
      <c r="B444" s="1" t="n">
        <v>45835.3232175926</v>
      </c>
      <c r="C444" s="1" t="n">
        <v>46178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31976-2025</t>
        </is>
      </c>
      <c r="B445" s="1" t="n">
        <v>45835.35462962963</v>
      </c>
      <c r="C445" s="1" t="n">
        <v>46178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31995-2025</t>
        </is>
      </c>
      <c r="B446" s="1" t="n">
        <v>45835.37127314815</v>
      </c>
      <c r="C446" s="1" t="n">
        <v>46178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57208-2023</t>
        </is>
      </c>
      <c r="B447" s="1" t="n">
        <v>45245.48416666667</v>
      </c>
      <c r="C447" s="1" t="n">
        <v>46178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32166-2025</t>
        </is>
      </c>
      <c r="B448" s="1" t="n">
        <v>45835.54628472222</v>
      </c>
      <c r="C448" s="1" t="n">
        <v>46178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5304-2026</t>
        </is>
      </c>
      <c r="B449" s="1" t="n">
        <v>46050.34916666667</v>
      </c>
      <c r="C449" s="1" t="n">
        <v>46178</v>
      </c>
      <c r="D449" t="inlineStr">
        <is>
          <t>DALARNAS LÄN</t>
        </is>
      </c>
      <c r="E449" t="inlineStr">
        <is>
          <t>RÄTTVIK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43159-2025</t>
        </is>
      </c>
      <c r="B450" s="1" t="n">
        <v>45909</v>
      </c>
      <c r="C450" s="1" t="n">
        <v>46178</v>
      </c>
      <c r="D450" t="inlineStr">
        <is>
          <t>DALARNAS LÄN</t>
        </is>
      </c>
      <c r="E450" t="inlineStr">
        <is>
          <t>RÄTTVIK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55092-2024</t>
        </is>
      </c>
      <c r="B451" s="1" t="n">
        <v>45621</v>
      </c>
      <c r="C451" s="1" t="n">
        <v>46178</v>
      </c>
      <c r="D451" t="inlineStr">
        <is>
          <t>DALARNAS LÄN</t>
        </is>
      </c>
      <c r="E451" t="inlineStr">
        <is>
          <t>RÄTTVIK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40344-2023</t>
        </is>
      </c>
      <c r="B452" s="1" t="n">
        <v>45168</v>
      </c>
      <c r="C452" s="1" t="n">
        <v>46178</v>
      </c>
      <c r="D452" t="inlineStr">
        <is>
          <t>DALARNAS LÄN</t>
        </is>
      </c>
      <c r="E452" t="inlineStr">
        <is>
          <t>RÄTTVIK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31622-2025</t>
        </is>
      </c>
      <c r="B453" s="1" t="n">
        <v>45833.89387731482</v>
      </c>
      <c r="C453" s="1" t="n">
        <v>46178</v>
      </c>
      <c r="D453" t="inlineStr">
        <is>
          <t>DALARNAS LÄN</t>
        </is>
      </c>
      <c r="E453" t="inlineStr">
        <is>
          <t>RÄTTVIK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5376-2026</t>
        </is>
      </c>
      <c r="B454" s="1" t="n">
        <v>46050</v>
      </c>
      <c r="C454" s="1" t="n">
        <v>46178</v>
      </c>
      <c r="D454" t="inlineStr">
        <is>
          <t>DALARNAS LÄN</t>
        </is>
      </c>
      <c r="E454" t="inlineStr">
        <is>
          <t>RÄTTVIK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5272-2026</t>
        </is>
      </c>
      <c r="B455" s="1" t="n">
        <v>46050.31886574074</v>
      </c>
      <c r="C455" s="1" t="n">
        <v>46178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5793-2026</t>
        </is>
      </c>
      <c r="B456" s="1" t="n">
        <v>46051</v>
      </c>
      <c r="C456" s="1" t="n">
        <v>46178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43511-2025</t>
        </is>
      </c>
      <c r="B457" s="1" t="n">
        <v>45911.56076388889</v>
      </c>
      <c r="C457" s="1" t="n">
        <v>46178</v>
      </c>
      <c r="D457" t="inlineStr">
        <is>
          <t>DALARNAS LÄN</t>
        </is>
      </c>
      <c r="E457" t="inlineStr">
        <is>
          <t>RÄTTVIK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28938-2024</t>
        </is>
      </c>
      <c r="B458" s="1" t="n">
        <v>45481.37175925926</v>
      </c>
      <c r="C458" s="1" t="n">
        <v>46178</v>
      </c>
      <c r="D458" t="inlineStr">
        <is>
          <t>DALARNAS LÄN</t>
        </is>
      </c>
      <c r="E458" t="inlineStr">
        <is>
          <t>RÄTTVIK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43450-2025</t>
        </is>
      </c>
      <c r="B459" s="1" t="n">
        <v>45911.45704861111</v>
      </c>
      <c r="C459" s="1" t="n">
        <v>46178</v>
      </c>
      <c r="D459" t="inlineStr">
        <is>
          <t>DALARNAS LÄN</t>
        </is>
      </c>
      <c r="E459" t="inlineStr">
        <is>
          <t>RÄTTVIK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5430-2026</t>
        </is>
      </c>
      <c r="B460" s="1" t="n">
        <v>46050.55347222222</v>
      </c>
      <c r="C460" s="1" t="n">
        <v>46178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43258-2025</t>
        </is>
      </c>
      <c r="B461" s="1" t="n">
        <v>45910.56046296296</v>
      </c>
      <c r="C461" s="1" t="n">
        <v>46178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43282-2025</t>
        </is>
      </c>
      <c r="B462" s="1" t="n">
        <v>45910.59958333334</v>
      </c>
      <c r="C462" s="1" t="n">
        <v>46178</v>
      </c>
      <c r="D462" t="inlineStr">
        <is>
          <t>DALARNAS LÄN</t>
        </is>
      </c>
      <c r="E462" t="inlineStr">
        <is>
          <t>RÄTTVIK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5523-2026</t>
        </is>
      </c>
      <c r="B463" s="1" t="n">
        <v>46050</v>
      </c>
      <c r="C463" s="1" t="n">
        <v>46178</v>
      </c>
      <c r="D463" t="inlineStr">
        <is>
          <t>DALARNAS LÄN</t>
        </is>
      </c>
      <c r="E463" t="inlineStr">
        <is>
          <t>RÄTTVIK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5268-2026</t>
        </is>
      </c>
      <c r="B464" s="1" t="n">
        <v>46050.31621527778</v>
      </c>
      <c r="C464" s="1" t="n">
        <v>46178</v>
      </c>
      <c r="D464" t="inlineStr">
        <is>
          <t>DALARNAS LÄN</t>
        </is>
      </c>
      <c r="E464" t="inlineStr">
        <is>
          <t>RÄTTVIK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5269-2026</t>
        </is>
      </c>
      <c r="B465" s="1" t="n">
        <v>46050.31758101852</v>
      </c>
      <c r="C465" s="1" t="n">
        <v>46178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5570-2026</t>
        </is>
      </c>
      <c r="B466" s="1" t="n">
        <v>46050</v>
      </c>
      <c r="C466" s="1" t="n">
        <v>46178</v>
      </c>
      <c r="D466" t="inlineStr">
        <is>
          <t>DALARNAS LÄN</t>
        </is>
      </c>
      <c r="E466" t="inlineStr">
        <is>
          <t>RÄTTVIK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27388-2022</t>
        </is>
      </c>
      <c r="B467" s="1" t="n">
        <v>44742.47446759259</v>
      </c>
      <c r="C467" s="1" t="n">
        <v>46178</v>
      </c>
      <c r="D467" t="inlineStr">
        <is>
          <t>DALARNAS LÄN</t>
        </is>
      </c>
      <c r="E467" t="inlineStr">
        <is>
          <t>RÄTTVIK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43513-2025</t>
        </is>
      </c>
      <c r="B468" s="1" t="n">
        <v>45911.56247685185</v>
      </c>
      <c r="C468" s="1" t="n">
        <v>46178</v>
      </c>
      <c r="D468" t="inlineStr">
        <is>
          <t>DALARNAS LÄN</t>
        </is>
      </c>
      <c r="E468" t="inlineStr">
        <is>
          <t>RÄTTVIK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53468-2023</t>
        </is>
      </c>
      <c r="B469" s="1" t="n">
        <v>45230</v>
      </c>
      <c r="C469" s="1" t="n">
        <v>46178</v>
      </c>
      <c r="D469" t="inlineStr">
        <is>
          <t>DALARNAS LÄN</t>
        </is>
      </c>
      <c r="E469" t="inlineStr">
        <is>
          <t>RÄTTVIK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HYPERLINK("https://klasma.github.io/Logging_2031/knärot/A 53468-2023 karta knärot.png", "A 53468-2023")</f>
        <v/>
      </c>
      <c r="V469">
        <f>HYPERLINK("https://klasma.github.io/Logging_2031/klagomål/A 53468-2023 FSC-klagomål.docx", "A 53468-2023")</f>
        <v/>
      </c>
      <c r="W469">
        <f>HYPERLINK("https://klasma.github.io/Logging_2031/klagomålsmail/A 53468-2023 FSC-klagomål mail.docx", "A 53468-2023")</f>
        <v/>
      </c>
      <c r="X469">
        <f>HYPERLINK("https://klasma.github.io/Logging_2031/tillsyn/A 53468-2023 tillsynsbegäran.docx", "A 53468-2023")</f>
        <v/>
      </c>
      <c r="Y469">
        <f>HYPERLINK("https://klasma.github.io/Logging_2031/tillsynsmail/A 53468-2023 tillsynsbegäran mail.docx", "A 53468-2023")</f>
        <v/>
      </c>
    </row>
    <row r="470" ht="15" customHeight="1">
      <c r="A470" t="inlineStr">
        <is>
          <t>A 33640-2025</t>
        </is>
      </c>
      <c r="B470" s="1" t="n">
        <v>45841.64982638889</v>
      </c>
      <c r="C470" s="1" t="n">
        <v>46178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6088-2026</t>
        </is>
      </c>
      <c r="B471" s="1" t="n">
        <v>46052</v>
      </c>
      <c r="C471" s="1" t="n">
        <v>46178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60.6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33117-2025</t>
        </is>
      </c>
      <c r="B472" s="1" t="n">
        <v>45840</v>
      </c>
      <c r="C472" s="1" t="n">
        <v>46178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33118-2025</t>
        </is>
      </c>
      <c r="B473" s="1" t="n">
        <v>45840</v>
      </c>
      <c r="C473" s="1" t="n">
        <v>46178</v>
      </c>
      <c r="D473" t="inlineStr">
        <is>
          <t>DALARNAS LÄN</t>
        </is>
      </c>
      <c r="E473" t="inlineStr">
        <is>
          <t>RÄTTVIK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33385-2025</t>
        </is>
      </c>
      <c r="B474" s="1" t="n">
        <v>45841.40537037037</v>
      </c>
      <c r="C474" s="1" t="n">
        <v>46178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43935-2025</t>
        </is>
      </c>
      <c r="B475" s="1" t="n">
        <v>45915.34190972222</v>
      </c>
      <c r="C475" s="1" t="n">
        <v>46178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58485-2023</t>
        </is>
      </c>
      <c r="B476" s="1" t="n">
        <v>45251</v>
      </c>
      <c r="C476" s="1" t="n">
        <v>46178</v>
      </c>
      <c r="D476" t="inlineStr">
        <is>
          <t>DALARNAS LÄN</t>
        </is>
      </c>
      <c r="E476" t="inlineStr">
        <is>
          <t>RÄTTVIK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43941-2025</t>
        </is>
      </c>
      <c r="B477" s="1" t="n">
        <v>45915.36021990741</v>
      </c>
      <c r="C477" s="1" t="n">
        <v>46178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6291-2026</t>
        </is>
      </c>
      <c r="B478" s="1" t="n">
        <v>46055</v>
      </c>
      <c r="C478" s="1" t="n">
        <v>46178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33002-2025</t>
        </is>
      </c>
      <c r="B479" s="1" t="n">
        <v>45840</v>
      </c>
      <c r="C479" s="1" t="n">
        <v>46178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15661-2023</t>
        </is>
      </c>
      <c r="B480" s="1" t="n">
        <v>45019</v>
      </c>
      <c r="C480" s="1" t="n">
        <v>46178</v>
      </c>
      <c r="D480" t="inlineStr">
        <is>
          <t>DALARNAS LÄN</t>
        </is>
      </c>
      <c r="E480" t="inlineStr">
        <is>
          <t>RÄTTVIK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15668-2023</t>
        </is>
      </c>
      <c r="B481" s="1" t="n">
        <v>45019</v>
      </c>
      <c r="C481" s="1" t="n">
        <v>46178</v>
      </c>
      <c r="D481" t="inlineStr">
        <is>
          <t>DALARNAS LÄN</t>
        </is>
      </c>
      <c r="E481" t="inlineStr">
        <is>
          <t>RÄTTVIK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48290-2023</t>
        </is>
      </c>
      <c r="B482" s="1" t="n">
        <v>45205</v>
      </c>
      <c r="C482" s="1" t="n">
        <v>46178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43937-2025</t>
        </is>
      </c>
      <c r="B483" s="1" t="n">
        <v>45915.34418981482</v>
      </c>
      <c r="C483" s="1" t="n">
        <v>46178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6470-2026</t>
        </is>
      </c>
      <c r="B484" s="1" t="n">
        <v>46056.32505787037</v>
      </c>
      <c r="C484" s="1" t="n">
        <v>46178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6608-2026</t>
        </is>
      </c>
      <c r="B485" s="1" t="n">
        <v>46056</v>
      </c>
      <c r="C485" s="1" t="n">
        <v>46178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50.1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48634-2023</t>
        </is>
      </c>
      <c r="B486" s="1" t="n">
        <v>45202</v>
      </c>
      <c r="C486" s="1" t="n">
        <v>46178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43730-2025</t>
        </is>
      </c>
      <c r="B487" s="1" t="n">
        <v>45912.43482638889</v>
      </c>
      <c r="C487" s="1" t="n">
        <v>46178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43945-2025</t>
        </is>
      </c>
      <c r="B488" s="1" t="n">
        <v>45915.37336805555</v>
      </c>
      <c r="C488" s="1" t="n">
        <v>46178</v>
      </c>
      <c r="D488" t="inlineStr">
        <is>
          <t>DALARNAS LÄN</t>
        </is>
      </c>
      <c r="E488" t="inlineStr">
        <is>
          <t>RÄTTVIK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6858-2026</t>
        </is>
      </c>
      <c r="B489" s="1" t="n">
        <v>46057</v>
      </c>
      <c r="C489" s="1" t="n">
        <v>46178</v>
      </c>
      <c r="D489" t="inlineStr">
        <is>
          <t>DALARNAS LÄN</t>
        </is>
      </c>
      <c r="E489" t="inlineStr">
        <is>
          <t>RÄTTVIK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7001-2026</t>
        </is>
      </c>
      <c r="B490" s="1" t="n">
        <v>46057</v>
      </c>
      <c r="C490" s="1" t="n">
        <v>46178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12758-2025</t>
        </is>
      </c>
      <c r="B491" s="1" t="n">
        <v>45733.56675925926</v>
      </c>
      <c r="C491" s="1" t="n">
        <v>46178</v>
      </c>
      <c r="D491" t="inlineStr">
        <is>
          <t>DALARNAS LÄN</t>
        </is>
      </c>
      <c r="E491" t="inlineStr">
        <is>
          <t>RÄTTVIK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6497-2026</t>
        </is>
      </c>
      <c r="B492" s="1" t="n">
        <v>46056.36570601852</v>
      </c>
      <c r="C492" s="1" t="n">
        <v>46178</v>
      </c>
      <c r="D492" t="inlineStr">
        <is>
          <t>DALARNAS LÄN</t>
        </is>
      </c>
      <c r="E492" t="inlineStr">
        <is>
          <t>RÄTTVIK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373-2026</t>
        </is>
      </c>
      <c r="B493" s="1" t="n">
        <v>46027</v>
      </c>
      <c r="C493" s="1" t="n">
        <v>46178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44455-2025</t>
        </is>
      </c>
      <c r="B494" s="1" t="n">
        <v>45916.61092592592</v>
      </c>
      <c r="C494" s="1" t="n">
        <v>46178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44264-2025</t>
        </is>
      </c>
      <c r="B495" s="1" t="n">
        <v>45916.2806712963</v>
      </c>
      <c r="C495" s="1" t="n">
        <v>46178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44458-2025</t>
        </is>
      </c>
      <c r="B496" s="1" t="n">
        <v>45916.61517361111</v>
      </c>
      <c r="C496" s="1" t="n">
        <v>46178</v>
      </c>
      <c r="D496" t="inlineStr">
        <is>
          <t>DALARNAS LÄN</t>
        </is>
      </c>
      <c r="E496" t="inlineStr">
        <is>
          <t>RÄTTVIK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44544-2025</t>
        </is>
      </c>
      <c r="B497" s="1" t="n">
        <v>45917.30706018519</v>
      </c>
      <c r="C497" s="1" t="n">
        <v>46178</v>
      </c>
      <c r="D497" t="inlineStr">
        <is>
          <t>DALARNAS LÄN</t>
        </is>
      </c>
      <c r="E497" t="inlineStr">
        <is>
          <t>RÄTTVIK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34595-2025</t>
        </is>
      </c>
      <c r="B498" s="1" t="n">
        <v>45847.63825231481</v>
      </c>
      <c r="C498" s="1" t="n">
        <v>46178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61607-2024</t>
        </is>
      </c>
      <c r="B499" s="1" t="n">
        <v>45646.64365740741</v>
      </c>
      <c r="C499" s="1" t="n">
        <v>46178</v>
      </c>
      <c r="D499" t="inlineStr">
        <is>
          <t>DALARNAS LÄN</t>
        </is>
      </c>
      <c r="E499" t="inlineStr">
        <is>
          <t>RÄTTVIK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7368-2026</t>
        </is>
      </c>
      <c r="B500" s="1" t="n">
        <v>46059</v>
      </c>
      <c r="C500" s="1" t="n">
        <v>46178</v>
      </c>
      <c r="D500" t="inlineStr">
        <is>
          <t>DALARNAS LÄN</t>
        </is>
      </c>
      <c r="E500" t="inlineStr">
        <is>
          <t>RÄTTVIK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2262-2024</t>
        </is>
      </c>
      <c r="B501" s="1" t="n">
        <v>45310</v>
      </c>
      <c r="C501" s="1" t="n">
        <v>46178</v>
      </c>
      <c r="D501" t="inlineStr">
        <is>
          <t>DALARNAS LÄN</t>
        </is>
      </c>
      <c r="E501" t="inlineStr">
        <is>
          <t>RÄTTVIK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34810-2025</t>
        </is>
      </c>
      <c r="B502" s="1" t="n">
        <v>45849.34428240741</v>
      </c>
      <c r="C502" s="1" t="n">
        <v>46178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34908-2025</t>
        </is>
      </c>
      <c r="B503" s="1" t="n">
        <v>45849.53065972222</v>
      </c>
      <c r="C503" s="1" t="n">
        <v>46178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19170-2025</t>
        </is>
      </c>
      <c r="B504" s="1" t="n">
        <v>45769.389375</v>
      </c>
      <c r="C504" s="1" t="n">
        <v>46178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61970-2023</t>
        </is>
      </c>
      <c r="B505" s="1" t="n">
        <v>45266.58407407408</v>
      </c>
      <c r="C505" s="1" t="n">
        <v>46178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62035-2023</t>
        </is>
      </c>
      <c r="B506" s="1" t="n">
        <v>45265</v>
      </c>
      <c r="C506" s="1" t="n">
        <v>46178</v>
      </c>
      <c r="D506" t="inlineStr">
        <is>
          <t>DALARNAS LÄN</t>
        </is>
      </c>
      <c r="E506" t="inlineStr">
        <is>
          <t>RÄTTVIK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45049-2025</t>
        </is>
      </c>
      <c r="B507" s="1" t="n">
        <v>45919.29888888889</v>
      </c>
      <c r="C507" s="1" t="n">
        <v>46178</v>
      </c>
      <c r="D507" t="inlineStr">
        <is>
          <t>DALARNAS LÄN</t>
        </is>
      </c>
      <c r="E507" t="inlineStr">
        <is>
          <t>RÄTTVIK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7177-2026</t>
        </is>
      </c>
      <c r="B508" s="1" t="n">
        <v>46058</v>
      </c>
      <c r="C508" s="1" t="n">
        <v>46178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7456-2026</t>
        </is>
      </c>
      <c r="B509" s="1" t="n">
        <v>46059</v>
      </c>
      <c r="C509" s="1" t="n">
        <v>46178</v>
      </c>
      <c r="D509" t="inlineStr">
        <is>
          <t>DALARNAS LÄN</t>
        </is>
      </c>
      <c r="E509" t="inlineStr">
        <is>
          <t>RÄTTVIK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7915-2026</t>
        </is>
      </c>
      <c r="B510" s="1" t="n">
        <v>46063.37831018519</v>
      </c>
      <c r="C510" s="1" t="n">
        <v>46178</v>
      </c>
      <c r="D510" t="inlineStr">
        <is>
          <t>DALARNAS LÄN</t>
        </is>
      </c>
      <c r="E510" t="inlineStr">
        <is>
          <t>RÄTTVIK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7790-2026</t>
        </is>
      </c>
      <c r="B511" s="1" t="n">
        <v>46062</v>
      </c>
      <c r="C511" s="1" t="n">
        <v>46178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3637-2026</t>
        </is>
      </c>
      <c r="B512" s="1" t="n">
        <v>46043</v>
      </c>
      <c r="C512" s="1" t="n">
        <v>46178</v>
      </c>
      <c r="D512" t="inlineStr">
        <is>
          <t>DALARNAS LÄN</t>
        </is>
      </c>
      <c r="E512" t="inlineStr">
        <is>
          <t>RÄTTVIK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7663-2026</t>
        </is>
      </c>
      <c r="B513" s="1" t="n">
        <v>46062</v>
      </c>
      <c r="C513" s="1" t="n">
        <v>46178</v>
      </c>
      <c r="D513" t="inlineStr">
        <is>
          <t>DALARNAS LÄN</t>
        </is>
      </c>
      <c r="E513" t="inlineStr">
        <is>
          <t>RÄTTVIK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45295-2025</t>
        </is>
      </c>
      <c r="B514" s="1" t="n">
        <v>45920.57372685185</v>
      </c>
      <c r="C514" s="1" t="n">
        <v>46178</v>
      </c>
      <c r="D514" t="inlineStr">
        <is>
          <t>DALARNAS LÄN</t>
        </is>
      </c>
      <c r="E514" t="inlineStr">
        <is>
          <t>RÄTTVIK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7663-2026</t>
        </is>
      </c>
      <c r="B515" s="1" t="n">
        <v>46062</v>
      </c>
      <c r="C515" s="1" t="n">
        <v>46178</v>
      </c>
      <c r="D515" t="inlineStr">
        <is>
          <t>DALARNAS LÄN</t>
        </is>
      </c>
      <c r="E515" t="inlineStr">
        <is>
          <t>RÄTTVIK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58692-2024</t>
        </is>
      </c>
      <c r="B516" s="1" t="n">
        <v>45635.63310185185</v>
      </c>
      <c r="C516" s="1" t="n">
        <v>46178</v>
      </c>
      <c r="D516" t="inlineStr">
        <is>
          <t>DALARNAS LÄN</t>
        </is>
      </c>
      <c r="E516" t="inlineStr">
        <is>
          <t>RÄTTVIK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7671-2026</t>
        </is>
      </c>
      <c r="B517" s="1" t="n">
        <v>46062.41719907407</v>
      </c>
      <c r="C517" s="1" t="n">
        <v>46178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45806-2025</t>
        </is>
      </c>
      <c r="B518" s="1" t="n">
        <v>45923.5828125</v>
      </c>
      <c r="C518" s="1" t="n">
        <v>46178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45681-2025</t>
        </is>
      </c>
      <c r="B519" s="1" t="n">
        <v>45923.37561342592</v>
      </c>
      <c r="C519" s="1" t="n">
        <v>46178</v>
      </c>
      <c r="D519" t="inlineStr">
        <is>
          <t>DALARNAS LÄN</t>
        </is>
      </c>
      <c r="E519" t="inlineStr">
        <is>
          <t>RÄTTVIK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45597-2025</t>
        </is>
      </c>
      <c r="B520" s="1" t="n">
        <v>45922.68672453704</v>
      </c>
      <c r="C520" s="1" t="n">
        <v>46178</v>
      </c>
      <c r="D520" t="inlineStr">
        <is>
          <t>DALARNAS LÄN</t>
        </is>
      </c>
      <c r="E520" t="inlineStr">
        <is>
          <t>RÄTTVIK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35247-2025</t>
        </is>
      </c>
      <c r="B521" s="1" t="n">
        <v>45853.65163194444</v>
      </c>
      <c r="C521" s="1" t="n">
        <v>46178</v>
      </c>
      <c r="D521" t="inlineStr">
        <is>
          <t>DALARNAS LÄN</t>
        </is>
      </c>
      <c r="E521" t="inlineStr">
        <is>
          <t>RÄTTVIK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35138-2025</t>
        </is>
      </c>
      <c r="B522" s="1" t="n">
        <v>45852.64936342592</v>
      </c>
      <c r="C522" s="1" t="n">
        <v>46178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30.4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35424-2025</t>
        </is>
      </c>
      <c r="B523" s="1" t="n">
        <v>45855.41770833333</v>
      </c>
      <c r="C523" s="1" t="n">
        <v>46178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8073-2026</t>
        </is>
      </c>
      <c r="B524" s="1" t="n">
        <v>46063</v>
      </c>
      <c r="C524" s="1" t="n">
        <v>46178</v>
      </c>
      <c r="D524" t="inlineStr">
        <is>
          <t>DALARNAS LÄN</t>
        </is>
      </c>
      <c r="E524" t="inlineStr">
        <is>
          <t>RÄTTVIK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35317-2025</t>
        </is>
      </c>
      <c r="B525" s="1" t="n">
        <v>45854.47782407407</v>
      </c>
      <c r="C525" s="1" t="n">
        <v>46178</v>
      </c>
      <c r="D525" t="inlineStr">
        <is>
          <t>DALARNAS LÄN</t>
        </is>
      </c>
      <c r="E525" t="inlineStr">
        <is>
          <t>RÄTTVIK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7787-2026</t>
        </is>
      </c>
      <c r="B526" s="1" t="n">
        <v>46062</v>
      </c>
      <c r="C526" s="1" t="n">
        <v>46178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9971-2022</t>
        </is>
      </c>
      <c r="B527" s="1" t="n">
        <v>44621</v>
      </c>
      <c r="C527" s="1" t="n">
        <v>46178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9477-2024</t>
        </is>
      </c>
      <c r="B528" s="1" t="n">
        <v>45359</v>
      </c>
      <c r="C528" s="1" t="n">
        <v>46178</v>
      </c>
      <c r="D528" t="inlineStr">
        <is>
          <t>DALARNAS LÄN</t>
        </is>
      </c>
      <c r="E528" t="inlineStr">
        <is>
          <t>RÄTTVIK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20617-2025</t>
        </is>
      </c>
      <c r="B529" s="1" t="n">
        <v>45776.29358796297</v>
      </c>
      <c r="C529" s="1" t="n">
        <v>46178</v>
      </c>
      <c r="D529" t="inlineStr">
        <is>
          <t>DALARNAS LÄN</t>
        </is>
      </c>
      <c r="E529" t="inlineStr">
        <is>
          <t>RÄTTVIK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59307-2023</t>
        </is>
      </c>
      <c r="B530" s="1" t="n">
        <v>45253.60089120371</v>
      </c>
      <c r="C530" s="1" t="n">
        <v>46178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45726-2025</t>
        </is>
      </c>
      <c r="B531" s="1" t="n">
        <v>45923.45712962963</v>
      </c>
      <c r="C531" s="1" t="n">
        <v>46178</v>
      </c>
      <c r="D531" t="inlineStr">
        <is>
          <t>DALARNAS LÄN</t>
        </is>
      </c>
      <c r="E531" t="inlineStr">
        <is>
          <t>RÄTTVIK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61622-2024</t>
        </is>
      </c>
      <c r="B532" s="1" t="n">
        <v>45646</v>
      </c>
      <c r="C532" s="1" t="n">
        <v>46178</v>
      </c>
      <c r="D532" t="inlineStr">
        <is>
          <t>DALARNAS LÄN</t>
        </is>
      </c>
      <c r="E532" t="inlineStr">
        <is>
          <t>RÄTTVIK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7805-2026</t>
        </is>
      </c>
      <c r="B533" s="1" t="n">
        <v>46062</v>
      </c>
      <c r="C533" s="1" t="n">
        <v>46178</v>
      </c>
      <c r="D533" t="inlineStr">
        <is>
          <t>DALARNAS LÄN</t>
        </is>
      </c>
      <c r="E533" t="inlineStr">
        <is>
          <t>RÄTTVIK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45826-2025</t>
        </is>
      </c>
      <c r="B534" s="1" t="n">
        <v>45923.60047453704</v>
      </c>
      <c r="C534" s="1" t="n">
        <v>46178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7851-2026</t>
        </is>
      </c>
      <c r="B535" s="1" t="n">
        <v>46062.66341435185</v>
      </c>
      <c r="C535" s="1" t="n">
        <v>46178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2775-2023</t>
        </is>
      </c>
      <c r="B536" s="1" t="n">
        <v>44944.65050925926</v>
      </c>
      <c r="C536" s="1" t="n">
        <v>46178</v>
      </c>
      <c r="D536" t="inlineStr">
        <is>
          <t>DALARNAS LÄN</t>
        </is>
      </c>
      <c r="E536" t="inlineStr">
        <is>
          <t>RÄTTVIK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17657-2022</t>
        </is>
      </c>
      <c r="B537" s="1" t="n">
        <v>44680</v>
      </c>
      <c r="C537" s="1" t="n">
        <v>46178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43671-2022</t>
        </is>
      </c>
      <c r="B538" s="1" t="n">
        <v>44834</v>
      </c>
      <c r="C538" s="1" t="n">
        <v>46178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1046-2025</t>
        </is>
      </c>
      <c r="B539" s="1" t="n">
        <v>45666.55527777778</v>
      </c>
      <c r="C539" s="1" t="n">
        <v>46178</v>
      </c>
      <c r="D539" t="inlineStr">
        <is>
          <t>DALARNAS LÄN</t>
        </is>
      </c>
      <c r="E539" t="inlineStr">
        <is>
          <t>RÄTTVIK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8140-2026</t>
        </is>
      </c>
      <c r="B540" s="1" t="n">
        <v>46064.32984953704</v>
      </c>
      <c r="C540" s="1" t="n">
        <v>46178</v>
      </c>
      <c r="D540" t="inlineStr">
        <is>
          <t>DALARNAS LÄN</t>
        </is>
      </c>
      <c r="E540" t="inlineStr">
        <is>
          <t>RÄTTVIK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8141-2026</t>
        </is>
      </c>
      <c r="B541" s="1" t="n">
        <v>46064.33961805556</v>
      </c>
      <c r="C541" s="1" t="n">
        <v>46178</v>
      </c>
      <c r="D541" t="inlineStr">
        <is>
          <t>DALARNAS LÄN</t>
        </is>
      </c>
      <c r="E541" t="inlineStr">
        <is>
          <t>RÄTTVIK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46248-2025</t>
        </is>
      </c>
      <c r="B542" s="1" t="n">
        <v>45925.33582175926</v>
      </c>
      <c r="C542" s="1" t="n">
        <v>46178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8173-2026</t>
        </is>
      </c>
      <c r="B543" s="1" t="n">
        <v>46064.39819444445</v>
      </c>
      <c r="C543" s="1" t="n">
        <v>46178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8393-2026</t>
        </is>
      </c>
      <c r="B544" s="1" t="n">
        <v>46065.01725694445</v>
      </c>
      <c r="C544" s="1" t="n">
        <v>46178</v>
      </c>
      <c r="D544" t="inlineStr">
        <is>
          <t>DALARNAS LÄN</t>
        </is>
      </c>
      <c r="E544" t="inlineStr">
        <is>
          <t>RÄTTVIK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45425-2023</t>
        </is>
      </c>
      <c r="B545" s="1" t="n">
        <v>45194.36666666667</v>
      </c>
      <c r="C545" s="1" t="n">
        <v>46178</v>
      </c>
      <c r="D545" t="inlineStr">
        <is>
          <t>DALARNAS LÄN</t>
        </is>
      </c>
      <c r="E545" t="inlineStr">
        <is>
          <t>RÄTTVIK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8537-2026</t>
        </is>
      </c>
      <c r="B546" s="1" t="n">
        <v>46065.60702546296</v>
      </c>
      <c r="C546" s="1" t="n">
        <v>46178</v>
      </c>
      <c r="D546" t="inlineStr">
        <is>
          <t>DALARNAS LÄN</t>
        </is>
      </c>
      <c r="E546" t="inlineStr">
        <is>
          <t>RÄTTVIK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8458-2026</t>
        </is>
      </c>
      <c r="B547" s="1" t="n">
        <v>46065</v>
      </c>
      <c r="C547" s="1" t="n">
        <v>46178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35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8554-2026</t>
        </is>
      </c>
      <c r="B548" s="1" t="n">
        <v>46065.62890046297</v>
      </c>
      <c r="C548" s="1" t="n">
        <v>46178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35900-2025</t>
        </is>
      </c>
      <c r="B549" s="1" t="n">
        <v>45862.48969907407</v>
      </c>
      <c r="C549" s="1" t="n">
        <v>46178</v>
      </c>
      <c r="D549" t="inlineStr">
        <is>
          <t>DALARNAS LÄN</t>
        </is>
      </c>
      <c r="E549" t="inlineStr">
        <is>
          <t>RÄTTVIK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35918-2025</t>
        </is>
      </c>
      <c r="B550" s="1" t="n">
        <v>45862.56081018518</v>
      </c>
      <c r="C550" s="1" t="n">
        <v>46178</v>
      </c>
      <c r="D550" t="inlineStr">
        <is>
          <t>DALARNAS LÄN</t>
        </is>
      </c>
      <c r="E550" t="inlineStr">
        <is>
          <t>RÄTTVIK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46389-2025</t>
        </is>
      </c>
      <c r="B551" s="1" t="n">
        <v>45925.54184027778</v>
      </c>
      <c r="C551" s="1" t="n">
        <v>46178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HYPERLINK("https://klasma.github.io/Logging_2031/knärot/A 46389-2025 karta knärot.png", "A 46389-2025")</f>
        <v/>
      </c>
      <c r="V551">
        <f>HYPERLINK("https://klasma.github.io/Logging_2031/klagomål/A 46389-2025 FSC-klagomål.docx", "A 46389-2025")</f>
        <v/>
      </c>
      <c r="W551">
        <f>HYPERLINK("https://klasma.github.io/Logging_2031/klagomålsmail/A 46389-2025 FSC-klagomål mail.docx", "A 46389-2025")</f>
        <v/>
      </c>
      <c r="X551">
        <f>HYPERLINK("https://klasma.github.io/Logging_2031/tillsyn/A 46389-2025 tillsynsbegäran.docx", "A 46389-2025")</f>
        <v/>
      </c>
      <c r="Y551">
        <f>HYPERLINK("https://klasma.github.io/Logging_2031/tillsynsmail/A 46389-2025 tillsynsbegäran mail.docx", "A 46389-2025")</f>
        <v/>
      </c>
    </row>
    <row r="552" ht="15" customHeight="1">
      <c r="A552" t="inlineStr">
        <is>
          <t>A 46394-2025</t>
        </is>
      </c>
      <c r="B552" s="1" t="n">
        <v>45925.54701388889</v>
      </c>
      <c r="C552" s="1" t="n">
        <v>46178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46246-2025</t>
        </is>
      </c>
      <c r="B553" s="1" t="n">
        <v>45925.32719907408</v>
      </c>
      <c r="C553" s="1" t="n">
        <v>46178</v>
      </c>
      <c r="D553" t="inlineStr">
        <is>
          <t>DALARNAS LÄN</t>
        </is>
      </c>
      <c r="E553" t="inlineStr">
        <is>
          <t>RÄTTVIK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46646-2025</t>
        </is>
      </c>
      <c r="B554" s="1" t="n">
        <v>45926.47548611111</v>
      </c>
      <c r="C554" s="1" t="n">
        <v>46178</v>
      </c>
      <c r="D554" t="inlineStr">
        <is>
          <t>DALARNAS LÄN</t>
        </is>
      </c>
      <c r="E554" t="inlineStr">
        <is>
          <t>RÄTTVIK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3154-2025</t>
        </is>
      </c>
      <c r="B555" s="1" t="n">
        <v>45679</v>
      </c>
      <c r="C555" s="1" t="n">
        <v>46178</v>
      </c>
      <c r="D555" t="inlineStr">
        <is>
          <t>DALARNAS LÄN</t>
        </is>
      </c>
      <c r="E555" t="inlineStr">
        <is>
          <t>RÄTTVIK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8559-2026</t>
        </is>
      </c>
      <c r="B556" s="1" t="n">
        <v>46065</v>
      </c>
      <c r="C556" s="1" t="n">
        <v>46178</v>
      </c>
      <c r="D556" t="inlineStr">
        <is>
          <t>DALARNAS LÄN</t>
        </is>
      </c>
      <c r="E556" t="inlineStr">
        <is>
          <t>RÄTTVIK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32561-2024</t>
        </is>
      </c>
      <c r="B557" s="1" t="n">
        <v>45513.53226851852</v>
      </c>
      <c r="C557" s="1" t="n">
        <v>46178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8695-2026</t>
        </is>
      </c>
      <c r="B558" s="1" t="n">
        <v>46066.45186342593</v>
      </c>
      <c r="C558" s="1" t="n">
        <v>46178</v>
      </c>
      <c r="D558" t="inlineStr">
        <is>
          <t>DALARNAS LÄN</t>
        </is>
      </c>
      <c r="E558" t="inlineStr">
        <is>
          <t>RÄTTVIK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8766-2026</t>
        </is>
      </c>
      <c r="B559" s="1" t="n">
        <v>46066</v>
      </c>
      <c r="C559" s="1" t="n">
        <v>46178</v>
      </c>
      <c r="D559" t="inlineStr">
        <is>
          <t>DALARNAS LÄN</t>
        </is>
      </c>
      <c r="E559" t="inlineStr">
        <is>
          <t>RÄTTVIK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36033-2025</t>
        </is>
      </c>
      <c r="B560" s="1" t="n">
        <v>45865.62479166667</v>
      </c>
      <c r="C560" s="1" t="n">
        <v>46178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8665-2026</t>
        </is>
      </c>
      <c r="B561" s="1" t="n">
        <v>46066.38585648148</v>
      </c>
      <c r="C561" s="1" t="n">
        <v>46178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4355-2025</t>
        </is>
      </c>
      <c r="B562" s="1" t="n">
        <v>45686.32821759259</v>
      </c>
      <c r="C562" s="1" t="n">
        <v>46178</v>
      </c>
      <c r="D562" t="inlineStr">
        <is>
          <t>DALARNAS LÄN</t>
        </is>
      </c>
      <c r="E562" t="inlineStr">
        <is>
          <t>RÄTTVIK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8924-2026</t>
        </is>
      </c>
      <c r="B563" s="1" t="n">
        <v>46069</v>
      </c>
      <c r="C563" s="1" t="n">
        <v>46178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8851-2026</t>
        </is>
      </c>
      <c r="B564" s="1" t="n">
        <v>46066</v>
      </c>
      <c r="C564" s="1" t="n">
        <v>46178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9280-2026</t>
        </is>
      </c>
      <c r="B565" s="1" t="n">
        <v>46070.57946759259</v>
      </c>
      <c r="C565" s="1" t="n">
        <v>46178</v>
      </c>
      <c r="D565" t="inlineStr">
        <is>
          <t>DALARNAS LÄN</t>
        </is>
      </c>
      <c r="E565" t="inlineStr">
        <is>
          <t>RÄTTVIK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9286-2026</t>
        </is>
      </c>
      <c r="B566" s="1" t="n">
        <v>46070</v>
      </c>
      <c r="C566" s="1" t="n">
        <v>46178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2043-2025</t>
        </is>
      </c>
      <c r="B567" s="1" t="n">
        <v>45671</v>
      </c>
      <c r="C567" s="1" t="n">
        <v>46178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46866-2025</t>
        </is>
      </c>
      <c r="B568" s="1" t="n">
        <v>45929</v>
      </c>
      <c r="C568" s="1" t="n">
        <v>46178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9547-2026</t>
        </is>
      </c>
      <c r="B569" s="1" t="n">
        <v>46071.63194444445</v>
      </c>
      <c r="C569" s="1" t="n">
        <v>46178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36748-2025</t>
        </is>
      </c>
      <c r="B570" s="1" t="n">
        <v>45873.54944444444</v>
      </c>
      <c r="C570" s="1" t="n">
        <v>46178</v>
      </c>
      <c r="D570" t="inlineStr">
        <is>
          <t>DALARNAS LÄN</t>
        </is>
      </c>
      <c r="E570" t="inlineStr">
        <is>
          <t>RÄTTVIK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4417-2025</t>
        </is>
      </c>
      <c r="B571" s="1" t="n">
        <v>45686.46539351852</v>
      </c>
      <c r="C571" s="1" t="n">
        <v>46178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47781-2025</t>
        </is>
      </c>
      <c r="B572" s="1" t="n">
        <v>45931.7471875</v>
      </c>
      <c r="C572" s="1" t="n">
        <v>46178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9552-2026</t>
        </is>
      </c>
      <c r="B573" s="1" t="n">
        <v>46071.64008101852</v>
      </c>
      <c r="C573" s="1" t="n">
        <v>46178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47201-2025</t>
        </is>
      </c>
      <c r="B574" s="1" t="n">
        <v>45930.36114583333</v>
      </c>
      <c r="C574" s="1" t="n">
        <v>46178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37328-2023</t>
        </is>
      </c>
      <c r="B575" s="1" t="n">
        <v>45155</v>
      </c>
      <c r="C575" s="1" t="n">
        <v>46178</v>
      </c>
      <c r="D575" t="inlineStr">
        <is>
          <t>DALARNAS LÄN</t>
        </is>
      </c>
      <c r="E575" t="inlineStr">
        <is>
          <t>RÄTTVIK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47294-2025</t>
        </is>
      </c>
      <c r="B576" s="1" t="n">
        <v>45930.491875</v>
      </c>
      <c r="C576" s="1" t="n">
        <v>46178</v>
      </c>
      <c r="D576" t="inlineStr">
        <is>
          <t>DALARNAS LÄN</t>
        </is>
      </c>
      <c r="E576" t="inlineStr">
        <is>
          <t>RÄTTVIK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61135-2024</t>
        </is>
      </c>
      <c r="B577" s="1" t="n">
        <v>45645.58376157407</v>
      </c>
      <c r="C577" s="1" t="n">
        <v>46178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47286-2025</t>
        </is>
      </c>
      <c r="B578" s="1" t="n">
        <v>45930.48436342592</v>
      </c>
      <c r="C578" s="1" t="n">
        <v>46178</v>
      </c>
      <c r="D578" t="inlineStr">
        <is>
          <t>DALARNAS LÄN</t>
        </is>
      </c>
      <c r="E578" t="inlineStr">
        <is>
          <t>RÄTTVIK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9371-2026</t>
        </is>
      </c>
      <c r="B579" s="1" t="n">
        <v>46070</v>
      </c>
      <c r="C579" s="1" t="n">
        <v>46178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47361-2025</t>
        </is>
      </c>
      <c r="B580" s="1" t="n">
        <v>45930.58505787037</v>
      </c>
      <c r="C580" s="1" t="n">
        <v>46178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47203-2025</t>
        </is>
      </c>
      <c r="B581" s="1" t="n">
        <v>45930.36337962963</v>
      </c>
      <c r="C581" s="1" t="n">
        <v>46178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9285-2026</t>
        </is>
      </c>
      <c r="B582" s="1" t="n">
        <v>46070.58225694444</v>
      </c>
      <c r="C582" s="1" t="n">
        <v>46178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9372-2026</t>
        </is>
      </c>
      <c r="B583" s="1" t="n">
        <v>46070.81976851852</v>
      </c>
      <c r="C583" s="1" t="n">
        <v>46178</v>
      </c>
      <c r="D583" t="inlineStr">
        <is>
          <t>DALARNAS LÄN</t>
        </is>
      </c>
      <c r="E583" t="inlineStr">
        <is>
          <t>RÄTTVIK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9607-2026</t>
        </is>
      </c>
      <c r="B584" s="1" t="n">
        <v>46071</v>
      </c>
      <c r="C584" s="1" t="n">
        <v>46178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9981-2026</t>
        </is>
      </c>
      <c r="B585" s="1" t="n">
        <v>46073</v>
      </c>
      <c r="C585" s="1" t="n">
        <v>46178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40.1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9996-2026</t>
        </is>
      </c>
      <c r="B586" s="1" t="n">
        <v>46073</v>
      </c>
      <c r="C586" s="1" t="n">
        <v>46178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9999-2026</t>
        </is>
      </c>
      <c r="B587" s="1" t="n">
        <v>46073</v>
      </c>
      <c r="C587" s="1" t="n">
        <v>46178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25907-2025</t>
        </is>
      </c>
      <c r="B588" s="1" t="n">
        <v>45803</v>
      </c>
      <c r="C588" s="1" t="n">
        <v>46178</v>
      </c>
      <c r="D588" t="inlineStr">
        <is>
          <t>DALARNAS LÄN</t>
        </is>
      </c>
      <c r="E588" t="inlineStr">
        <is>
          <t>RÄTTVIK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9859-2026</t>
        </is>
      </c>
      <c r="B589" s="1" t="n">
        <v>46072.94371527778</v>
      </c>
      <c r="C589" s="1" t="n">
        <v>46178</v>
      </c>
      <c r="D589" t="inlineStr">
        <is>
          <t>DALARNAS LÄN</t>
        </is>
      </c>
      <c r="E589" t="inlineStr">
        <is>
          <t>RÄTTVIK</t>
        </is>
      </c>
      <c r="F589" t="inlineStr">
        <is>
          <t>Övriga statliga verk och myndigheter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9860-2026</t>
        </is>
      </c>
      <c r="B590" s="1" t="n">
        <v>46072.94550925926</v>
      </c>
      <c r="C590" s="1" t="n">
        <v>46178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48280-2025</t>
        </is>
      </c>
      <c r="B591" s="1" t="n">
        <v>45933.58769675926</v>
      </c>
      <c r="C591" s="1" t="n">
        <v>46178</v>
      </c>
      <c r="D591" t="inlineStr">
        <is>
          <t>DALARNAS LÄN</t>
        </is>
      </c>
      <c r="E591" t="inlineStr">
        <is>
          <t>RÄTTVIK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50349-2025</t>
        </is>
      </c>
      <c r="B592" s="1" t="n">
        <v>45944.54912037037</v>
      </c>
      <c r="C592" s="1" t="n">
        <v>46178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10023-2026</t>
        </is>
      </c>
      <c r="B593" s="1" t="n">
        <v>46073</v>
      </c>
      <c r="C593" s="1" t="n">
        <v>46178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10005-2026</t>
        </is>
      </c>
      <c r="B594" s="1" t="n">
        <v>46073</v>
      </c>
      <c r="C594" s="1" t="n">
        <v>46178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10008-2026</t>
        </is>
      </c>
      <c r="B595" s="1" t="n">
        <v>46073</v>
      </c>
      <c r="C595" s="1" t="n">
        <v>46178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51529-2024</t>
        </is>
      </c>
      <c r="B596" s="1" t="n">
        <v>45603</v>
      </c>
      <c r="C596" s="1" t="n">
        <v>46178</v>
      </c>
      <c r="D596" t="inlineStr">
        <is>
          <t>DALARNAS LÄN</t>
        </is>
      </c>
      <c r="E596" t="inlineStr">
        <is>
          <t>RÄTTVIK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9989-2026</t>
        </is>
      </c>
      <c r="B597" s="1" t="n">
        <v>46073</v>
      </c>
      <c r="C597" s="1" t="n">
        <v>46178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53666-2024</t>
        </is>
      </c>
      <c r="B598" s="1" t="n">
        <v>45615.33318287037</v>
      </c>
      <c r="C598" s="1" t="n">
        <v>46178</v>
      </c>
      <c r="D598" t="inlineStr">
        <is>
          <t>DALARNAS LÄN</t>
        </is>
      </c>
      <c r="E598" t="inlineStr">
        <is>
          <t>RÄTTVIK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10507-2026</t>
        </is>
      </c>
      <c r="B599" s="1" t="n">
        <v>46077</v>
      </c>
      <c r="C599" s="1" t="n">
        <v>46178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82.8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10497-2026</t>
        </is>
      </c>
      <c r="B600" s="1" t="n">
        <v>46077.54371527778</v>
      </c>
      <c r="C600" s="1" t="n">
        <v>46178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10503-2026</t>
        </is>
      </c>
      <c r="B601" s="1" t="n">
        <v>46077.55415509259</v>
      </c>
      <c r="C601" s="1" t="n">
        <v>46178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36897-2025</t>
        </is>
      </c>
      <c r="B602" s="1" t="n">
        <v>45874.47474537037</v>
      </c>
      <c r="C602" s="1" t="n">
        <v>46178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14178-2024</t>
        </is>
      </c>
      <c r="B603" s="1" t="n">
        <v>45393</v>
      </c>
      <c r="C603" s="1" t="n">
        <v>46178</v>
      </c>
      <c r="D603" t="inlineStr">
        <is>
          <t>DALARNAS LÄN</t>
        </is>
      </c>
      <c r="E603" t="inlineStr">
        <is>
          <t>RÄTTVIK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10703-2026</t>
        </is>
      </c>
      <c r="B604" s="1" t="n">
        <v>46078</v>
      </c>
      <c r="C604" s="1" t="n">
        <v>46178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7063-2026</t>
        </is>
      </c>
      <c r="B605" s="1" t="n">
        <v>46057</v>
      </c>
      <c r="C605" s="1" t="n">
        <v>46178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49493-2024</t>
        </is>
      </c>
      <c r="B606" s="1" t="n">
        <v>45596.36552083334</v>
      </c>
      <c r="C606" s="1" t="n">
        <v>46178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36879-2025</t>
        </is>
      </c>
      <c r="B607" s="1" t="n">
        <v>45874.43518518518</v>
      </c>
      <c r="C607" s="1" t="n">
        <v>46178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36889-2025</t>
        </is>
      </c>
      <c r="B608" s="1" t="n">
        <v>45874.45763888889</v>
      </c>
      <c r="C608" s="1" t="n">
        <v>46178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10560-2026</t>
        </is>
      </c>
      <c r="B609" s="1" t="n">
        <v>46077</v>
      </c>
      <c r="C609" s="1" t="n">
        <v>46178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5690-2025</t>
        </is>
      </c>
      <c r="B610" s="1" t="n">
        <v>45694.3725</v>
      </c>
      <c r="C610" s="1" t="n">
        <v>46178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10545-2026</t>
        </is>
      </c>
      <c r="B611" s="1" t="n">
        <v>46077</v>
      </c>
      <c r="C611" s="1" t="n">
        <v>46178</v>
      </c>
      <c r="D611" t="inlineStr">
        <is>
          <t>DALARNAS LÄN</t>
        </is>
      </c>
      <c r="E611" t="inlineStr">
        <is>
          <t>RÄTTVIK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10175-2026</t>
        </is>
      </c>
      <c r="B612" s="1" t="n">
        <v>46076.42642361111</v>
      </c>
      <c r="C612" s="1" t="n">
        <v>46178</v>
      </c>
      <c r="D612" t="inlineStr">
        <is>
          <t>DALARNAS LÄN</t>
        </is>
      </c>
      <c r="E612" t="inlineStr">
        <is>
          <t>RÄTTVIK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10509-2026</t>
        </is>
      </c>
      <c r="B613" s="1" t="n">
        <v>46077.56442129629</v>
      </c>
      <c r="C613" s="1" t="n">
        <v>46178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37341-2025</t>
        </is>
      </c>
      <c r="B614" s="1" t="n">
        <v>45876.69614583333</v>
      </c>
      <c r="C614" s="1" t="n">
        <v>46178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10788-2026</t>
        </is>
      </c>
      <c r="B615" s="1" t="n">
        <v>46078.58292824074</v>
      </c>
      <c r="C615" s="1" t="n">
        <v>46178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10662-2026</t>
        </is>
      </c>
      <c r="B616" s="1" t="n">
        <v>46078.37723379629</v>
      </c>
      <c r="C616" s="1" t="n">
        <v>46178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10667-2026</t>
        </is>
      </c>
      <c r="B617" s="1" t="n">
        <v>46078</v>
      </c>
      <c r="C617" s="1" t="n">
        <v>46178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71.3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35483-2024</t>
        </is>
      </c>
      <c r="B618" s="1" t="n">
        <v>45531.48523148148</v>
      </c>
      <c r="C618" s="1" t="n">
        <v>46178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37447-2025</t>
        </is>
      </c>
      <c r="B619" s="1" t="n">
        <v>45877.55079861111</v>
      </c>
      <c r="C619" s="1" t="n">
        <v>46178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37446-2025</t>
        </is>
      </c>
      <c r="B620" s="1" t="n">
        <v>45877.54670138889</v>
      </c>
      <c r="C620" s="1" t="n">
        <v>46178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11032-2026</t>
        </is>
      </c>
      <c r="B621" s="1" t="n">
        <v>46079</v>
      </c>
      <c r="C621" s="1" t="n">
        <v>46178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48930-2025</t>
        </is>
      </c>
      <c r="B622" s="1" t="n">
        <v>45937.52008101852</v>
      </c>
      <c r="C622" s="1" t="n">
        <v>46178</v>
      </c>
      <c r="D622" t="inlineStr">
        <is>
          <t>DALARNAS LÄN</t>
        </is>
      </c>
      <c r="E622" t="inlineStr">
        <is>
          <t>RÄTTVIK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48980-2025</t>
        </is>
      </c>
      <c r="B623" s="1" t="n">
        <v>45937.57186342592</v>
      </c>
      <c r="C623" s="1" t="n">
        <v>46178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54816-2024</t>
        </is>
      </c>
      <c r="B624" s="1" t="n">
        <v>45618</v>
      </c>
      <c r="C624" s="1" t="n">
        <v>46178</v>
      </c>
      <c r="D624" t="inlineStr">
        <is>
          <t>DALARNAS LÄN</t>
        </is>
      </c>
      <c r="E624" t="inlineStr">
        <is>
          <t>RÄTTVIK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11003-2026</t>
        </is>
      </c>
      <c r="B625" s="1" t="n">
        <v>46079</v>
      </c>
      <c r="C625" s="1" t="n">
        <v>46178</v>
      </c>
      <c r="D625" t="inlineStr">
        <is>
          <t>DALARNAS LÄN</t>
        </is>
      </c>
      <c r="E625" t="inlineStr">
        <is>
          <t>RÄTTVIK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11002-2026</t>
        </is>
      </c>
      <c r="B626" s="1" t="n">
        <v>46079.50486111111</v>
      </c>
      <c r="C626" s="1" t="n">
        <v>46178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37703-2025</t>
        </is>
      </c>
      <c r="B627" s="1" t="n">
        <v>45880</v>
      </c>
      <c r="C627" s="1" t="n">
        <v>46178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35403-2022</t>
        </is>
      </c>
      <c r="B628" s="1" t="n">
        <v>44798</v>
      </c>
      <c r="C628" s="1" t="n">
        <v>46178</v>
      </c>
      <c r="D628" t="inlineStr">
        <is>
          <t>DALARNAS LÄN</t>
        </is>
      </c>
      <c r="E628" t="inlineStr">
        <is>
          <t>RÄTTVIK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48883-2025</t>
        </is>
      </c>
      <c r="B629" s="1" t="n">
        <v>45937.46483796297</v>
      </c>
      <c r="C629" s="1" t="n">
        <v>46178</v>
      </c>
      <c r="D629" t="inlineStr">
        <is>
          <t>DALARNAS LÄN</t>
        </is>
      </c>
      <c r="E629" t="inlineStr">
        <is>
          <t>RÄTTVIK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49467-2025</t>
        </is>
      </c>
      <c r="B630" s="1" t="n">
        <v>45939.33846064815</v>
      </c>
      <c r="C630" s="1" t="n">
        <v>46178</v>
      </c>
      <c r="D630" t="inlineStr">
        <is>
          <t>DALARNAS LÄN</t>
        </is>
      </c>
      <c r="E630" t="inlineStr">
        <is>
          <t>RÄTTVIK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359-2025</t>
        </is>
      </c>
      <c r="B631" s="1" t="n">
        <v>45659</v>
      </c>
      <c r="C631" s="1" t="n">
        <v>46178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29360-2023</t>
        </is>
      </c>
      <c r="B632" s="1" t="n">
        <v>45106.3487962963</v>
      </c>
      <c r="C632" s="1" t="n">
        <v>46178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11602-2026</t>
        </is>
      </c>
      <c r="B633" s="1" t="n">
        <v>46084</v>
      </c>
      <c r="C633" s="1" t="n">
        <v>46178</v>
      </c>
      <c r="D633" t="inlineStr">
        <is>
          <t>DALARNAS LÄN</t>
        </is>
      </c>
      <c r="E633" t="inlineStr">
        <is>
          <t>RÄTTVIK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5975-2026</t>
        </is>
      </c>
      <c r="B634" s="1" t="n">
        <v>46052</v>
      </c>
      <c r="C634" s="1" t="n">
        <v>46178</v>
      </c>
      <c r="D634" t="inlineStr">
        <is>
          <t>DALARNAS LÄN</t>
        </is>
      </c>
      <c r="E634" t="inlineStr">
        <is>
          <t>RÄTTVIK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49479-2025</t>
        </is>
      </c>
      <c r="B635" s="1" t="n">
        <v>45939.34798611111</v>
      </c>
      <c r="C635" s="1" t="n">
        <v>46178</v>
      </c>
      <c r="D635" t="inlineStr">
        <is>
          <t>DALARNAS LÄN</t>
        </is>
      </c>
      <c r="E635" t="inlineStr">
        <is>
          <t>RÄTTVIK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41451-2024</t>
        </is>
      </c>
      <c r="B636" s="1" t="n">
        <v>45560</v>
      </c>
      <c r="C636" s="1" t="n">
        <v>46178</v>
      </c>
      <c r="D636" t="inlineStr">
        <is>
          <t>DALARNAS LÄN</t>
        </is>
      </c>
      <c r="E636" t="inlineStr">
        <is>
          <t>RÄTTVIK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37852-2025</t>
        </is>
      </c>
      <c r="B637" s="1" t="n">
        <v>45881.44997685185</v>
      </c>
      <c r="C637" s="1" t="n">
        <v>46178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69058-2021</t>
        </is>
      </c>
      <c r="B638" s="1" t="n">
        <v>44529</v>
      </c>
      <c r="C638" s="1" t="n">
        <v>46178</v>
      </c>
      <c r="D638" t="inlineStr">
        <is>
          <t>DALARNAS LÄN</t>
        </is>
      </c>
      <c r="E638" t="inlineStr">
        <is>
          <t>RÄTTVIK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61347-2023</t>
        </is>
      </c>
      <c r="B639" s="1" t="n">
        <v>45264.60055555555</v>
      </c>
      <c r="C639" s="1" t="n">
        <v>46178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38129-2025</t>
        </is>
      </c>
      <c r="B640" s="1" t="n">
        <v>45882.56026620371</v>
      </c>
      <c r="C640" s="1" t="n">
        <v>46178</v>
      </c>
      <c r="D640" t="inlineStr">
        <is>
          <t>DALARNAS LÄN</t>
        </is>
      </c>
      <c r="E640" t="inlineStr">
        <is>
          <t>RÄTTVIK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5978-2026</t>
        </is>
      </c>
      <c r="B641" s="1" t="n">
        <v>46052</v>
      </c>
      <c r="C641" s="1" t="n">
        <v>46178</v>
      </c>
      <c r="D641" t="inlineStr">
        <is>
          <t>DALARNAS LÄN</t>
        </is>
      </c>
      <c r="E641" t="inlineStr">
        <is>
          <t>RÄTTVIK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11392-2026</t>
        </is>
      </c>
      <c r="B642" s="1" t="n">
        <v>46083</v>
      </c>
      <c r="C642" s="1" t="n">
        <v>46178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37850-2025</t>
        </is>
      </c>
      <c r="B643" s="1" t="n">
        <v>45881.4490625</v>
      </c>
      <c r="C643" s="1" t="n">
        <v>46178</v>
      </c>
      <c r="D643" t="inlineStr">
        <is>
          <t>DALARNAS LÄN</t>
        </is>
      </c>
      <c r="E643" t="inlineStr">
        <is>
          <t>RÄTTVIK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11537-2026</t>
        </is>
      </c>
      <c r="B644" s="1" t="n">
        <v>46083.81802083334</v>
      </c>
      <c r="C644" s="1" t="n">
        <v>46178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11476-2026</t>
        </is>
      </c>
      <c r="B645" s="1" t="n">
        <v>46083.59767361111</v>
      </c>
      <c r="C645" s="1" t="n">
        <v>46178</v>
      </c>
      <c r="D645" t="inlineStr">
        <is>
          <t>DALARNAS LÄN</t>
        </is>
      </c>
      <c r="E645" t="inlineStr">
        <is>
          <t>RÄTTVIK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38307-2025</t>
        </is>
      </c>
      <c r="B646" s="1" t="n">
        <v>45883</v>
      </c>
      <c r="C646" s="1" t="n">
        <v>46178</v>
      </c>
      <c r="D646" t="inlineStr">
        <is>
          <t>DALARNAS LÄN</t>
        </is>
      </c>
      <c r="E646" t="inlineStr">
        <is>
          <t>RÄTTVIK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11298-2025</t>
        </is>
      </c>
      <c r="B647" s="1" t="n">
        <v>45726.43910879629</v>
      </c>
      <c r="C647" s="1" t="n">
        <v>46178</v>
      </c>
      <c r="D647" t="inlineStr">
        <is>
          <t>DALARNAS LÄN</t>
        </is>
      </c>
      <c r="E647" t="inlineStr">
        <is>
          <t>RÄTTVIK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11468-2026</t>
        </is>
      </c>
      <c r="B648" s="1" t="n">
        <v>46083</v>
      </c>
      <c r="C648" s="1" t="n">
        <v>46178</v>
      </c>
      <c r="D648" t="inlineStr">
        <is>
          <t>DALARNAS LÄN</t>
        </is>
      </c>
      <c r="E648" t="inlineStr">
        <is>
          <t>RÄTTVIK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43592-2023</t>
        </is>
      </c>
      <c r="B649" s="1" t="n">
        <v>45181</v>
      </c>
      <c r="C649" s="1" t="n">
        <v>46178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38118-2025</t>
        </is>
      </c>
      <c r="B650" s="1" t="n">
        <v>45882.54722222222</v>
      </c>
      <c r="C650" s="1" t="n">
        <v>46178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49810-2025</t>
        </is>
      </c>
      <c r="B651" s="1" t="n">
        <v>45940.42287037037</v>
      </c>
      <c r="C651" s="1" t="n">
        <v>46178</v>
      </c>
      <c r="D651" t="inlineStr">
        <is>
          <t>DALARNAS LÄN</t>
        </is>
      </c>
      <c r="E651" t="inlineStr">
        <is>
          <t>RÄTTVIK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50201-2025</t>
        </is>
      </c>
      <c r="B652" s="1" t="n">
        <v>45943.6525462963</v>
      </c>
      <c r="C652" s="1" t="n">
        <v>46178</v>
      </c>
      <c r="D652" t="inlineStr">
        <is>
          <t>DALARNAS LÄN</t>
        </is>
      </c>
      <c r="E652" t="inlineStr">
        <is>
          <t>RÄTTVIK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49723-2025</t>
        </is>
      </c>
      <c r="B653" s="1" t="n">
        <v>45939.82416666667</v>
      </c>
      <c r="C653" s="1" t="n">
        <v>46178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11787-2026</t>
        </is>
      </c>
      <c r="B654" s="1" t="n">
        <v>46085</v>
      </c>
      <c r="C654" s="1" t="n">
        <v>46178</v>
      </c>
      <c r="D654" t="inlineStr">
        <is>
          <t>DALARNAS LÄN</t>
        </is>
      </c>
      <c r="E654" t="inlineStr">
        <is>
          <t>RÄTTVIK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50140-2025</t>
        </is>
      </c>
      <c r="B655" s="1" t="n">
        <v>45943.56582175926</v>
      </c>
      <c r="C655" s="1" t="n">
        <v>46178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12147-2026</t>
        </is>
      </c>
      <c r="B656" s="1" t="n">
        <v>46086</v>
      </c>
      <c r="C656" s="1" t="n">
        <v>46178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49722-2025</t>
        </is>
      </c>
      <c r="B657" s="1" t="n">
        <v>45939.82260416666</v>
      </c>
      <c r="C657" s="1" t="n">
        <v>46178</v>
      </c>
      <c r="D657" t="inlineStr">
        <is>
          <t>DALARNAS LÄN</t>
        </is>
      </c>
      <c r="E657" t="inlineStr">
        <is>
          <t>RÄTTVIK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50107-2025</t>
        </is>
      </c>
      <c r="B658" s="1" t="n">
        <v>45943.53743055555</v>
      </c>
      <c r="C658" s="1" t="n">
        <v>46178</v>
      </c>
      <c r="D658" t="inlineStr">
        <is>
          <t>DALARNAS LÄN</t>
        </is>
      </c>
      <c r="E658" t="inlineStr">
        <is>
          <t>RÄTTVIK</t>
        </is>
      </c>
      <c r="F658" t="inlineStr">
        <is>
          <t>Sveaskog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11879-2026</t>
        </is>
      </c>
      <c r="B659" s="1" t="n">
        <v>46085</v>
      </c>
      <c r="C659" s="1" t="n">
        <v>46178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50186-2025</t>
        </is>
      </c>
      <c r="B660" s="1" t="n">
        <v>45943.62554398148</v>
      </c>
      <c r="C660" s="1" t="n">
        <v>46178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50197-2025</t>
        </is>
      </c>
      <c r="B661" s="1" t="n">
        <v>45943.64564814815</v>
      </c>
      <c r="C661" s="1" t="n">
        <v>46178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11789-2026</t>
        </is>
      </c>
      <c r="B662" s="1" t="n">
        <v>46085</v>
      </c>
      <c r="C662" s="1" t="n">
        <v>46178</v>
      </c>
      <c r="D662" t="inlineStr">
        <is>
          <t>DALARNAS LÄN</t>
        </is>
      </c>
      <c r="E662" t="inlineStr">
        <is>
          <t>RÄTTVIK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11790-2026</t>
        </is>
      </c>
      <c r="B663" s="1" t="n">
        <v>46085</v>
      </c>
      <c r="C663" s="1" t="n">
        <v>46178</v>
      </c>
      <c r="D663" t="inlineStr">
        <is>
          <t>DALARNAS LÄN</t>
        </is>
      </c>
      <c r="E663" t="inlineStr">
        <is>
          <t>RÄTTVIK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49956-2025</t>
        </is>
      </c>
      <c r="B664" s="1" t="n">
        <v>45940</v>
      </c>
      <c r="C664" s="1" t="n">
        <v>46178</v>
      </c>
      <c r="D664" t="inlineStr">
        <is>
          <t>DALARNAS LÄN</t>
        </is>
      </c>
      <c r="E664" t="inlineStr">
        <is>
          <t>RÄTTVIK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11835-2026</t>
        </is>
      </c>
      <c r="B665" s="1" t="n">
        <v>46085</v>
      </c>
      <c r="C665" s="1" t="n">
        <v>46178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11890-2026</t>
        </is>
      </c>
      <c r="B666" s="1" t="n">
        <v>46085</v>
      </c>
      <c r="C666" s="1" t="n">
        <v>46178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49954-2025</t>
        </is>
      </c>
      <c r="B667" s="1" t="n">
        <v>45940</v>
      </c>
      <c r="C667" s="1" t="n">
        <v>46178</v>
      </c>
      <c r="D667" t="inlineStr">
        <is>
          <t>DALARNAS LÄN</t>
        </is>
      </c>
      <c r="E667" t="inlineStr">
        <is>
          <t>RÄTTVIK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49955-2025</t>
        </is>
      </c>
      <c r="B668" s="1" t="n">
        <v>45940</v>
      </c>
      <c r="C668" s="1" t="n">
        <v>46178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50136-2025</t>
        </is>
      </c>
      <c r="B669" s="1" t="n">
        <v>45943.56230324074</v>
      </c>
      <c r="C669" s="1" t="n">
        <v>46178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6007-2026</t>
        </is>
      </c>
      <c r="B670" s="1" t="n">
        <v>46052</v>
      </c>
      <c r="C670" s="1" t="n">
        <v>46178</v>
      </c>
      <c r="D670" t="inlineStr">
        <is>
          <t>DALARNAS LÄN</t>
        </is>
      </c>
      <c r="E670" t="inlineStr">
        <is>
          <t>RÄTTVIK</t>
        </is>
      </c>
      <c r="F670" t="inlineStr">
        <is>
          <t>Kyrkan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8899-2026</t>
        </is>
      </c>
      <c r="B671" s="1" t="n">
        <v>46068</v>
      </c>
      <c r="C671" s="1" t="n">
        <v>46178</v>
      </c>
      <c r="D671" t="inlineStr">
        <is>
          <t>DALARNAS LÄN</t>
        </is>
      </c>
      <c r="E671" t="inlineStr">
        <is>
          <t>RÄTTVIK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11849-2026</t>
        </is>
      </c>
      <c r="B672" s="1" t="n">
        <v>46085.46038194445</v>
      </c>
      <c r="C672" s="1" t="n">
        <v>46178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12049-2026</t>
        </is>
      </c>
      <c r="B673" s="1" t="n">
        <v>46086</v>
      </c>
      <c r="C673" s="1" t="n">
        <v>46178</v>
      </c>
      <c r="D673" t="inlineStr">
        <is>
          <t>DALARNAS LÄN</t>
        </is>
      </c>
      <c r="E673" t="inlineStr">
        <is>
          <t>RÄTTVIK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60619-2022</t>
        </is>
      </c>
      <c r="B674" s="1" t="n">
        <v>44911</v>
      </c>
      <c r="C674" s="1" t="n">
        <v>46178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12057-2026</t>
        </is>
      </c>
      <c r="B675" s="1" t="n">
        <v>46086</v>
      </c>
      <c r="C675" s="1" t="n">
        <v>46178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11788-2026</t>
        </is>
      </c>
      <c r="B676" s="1" t="n">
        <v>46085.29969907407</v>
      </c>
      <c r="C676" s="1" t="n">
        <v>46178</v>
      </c>
      <c r="D676" t="inlineStr">
        <is>
          <t>DALARNAS LÄN</t>
        </is>
      </c>
      <c r="E676" t="inlineStr">
        <is>
          <t>RÄTTVIK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12053-2026</t>
        </is>
      </c>
      <c r="B677" s="1" t="n">
        <v>46086</v>
      </c>
      <c r="C677" s="1" t="n">
        <v>46178</v>
      </c>
      <c r="D677" t="inlineStr">
        <is>
          <t>DALARNAS LÄN</t>
        </is>
      </c>
      <c r="E677" t="inlineStr">
        <is>
          <t>RÄTTVIK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19455-2025</t>
        </is>
      </c>
      <c r="B678" s="1" t="n">
        <v>45770.35403935185</v>
      </c>
      <c r="C678" s="1" t="n">
        <v>46178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12592-2026</t>
        </is>
      </c>
      <c r="B679" s="1" t="n">
        <v>46090</v>
      </c>
      <c r="C679" s="1" t="n">
        <v>46178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47344-2025</t>
        </is>
      </c>
      <c r="B680" s="1" t="n">
        <v>45930</v>
      </c>
      <c r="C680" s="1" t="n">
        <v>46178</v>
      </c>
      <c r="D680" t="inlineStr">
        <is>
          <t>DALARNAS LÄN</t>
        </is>
      </c>
      <c r="E680" t="inlineStr">
        <is>
          <t>RÄTTVIK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12591-2026</t>
        </is>
      </c>
      <c r="B681" s="1" t="n">
        <v>46090</v>
      </c>
      <c r="C681" s="1" t="n">
        <v>46178</v>
      </c>
      <c r="D681" t="inlineStr">
        <is>
          <t>DALARNAS LÄN</t>
        </is>
      </c>
      <c r="E681" t="inlineStr">
        <is>
          <t>RÄTTVIK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60483-2023</t>
        </is>
      </c>
      <c r="B682" s="1" t="n">
        <v>45259.61207175926</v>
      </c>
      <c r="C682" s="1" t="n">
        <v>46178</v>
      </c>
      <c r="D682" t="inlineStr">
        <is>
          <t>DALARNAS LÄN</t>
        </is>
      </c>
      <c r="E682" t="inlineStr">
        <is>
          <t>RÄTTVIK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38502-2025</t>
        </is>
      </c>
      <c r="B683" s="1" t="n">
        <v>45884.37982638889</v>
      </c>
      <c r="C683" s="1" t="n">
        <v>46178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59272-2024</t>
        </is>
      </c>
      <c r="B684" s="1" t="n">
        <v>45637.61962962963</v>
      </c>
      <c r="C684" s="1" t="n">
        <v>46178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21174-2024</t>
        </is>
      </c>
      <c r="B685" s="1" t="n">
        <v>45440.46175925926</v>
      </c>
      <c r="C685" s="1" t="n">
        <v>46178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32894-2023</t>
        </is>
      </c>
      <c r="B686" s="1" t="n">
        <v>45124.8894212963</v>
      </c>
      <c r="C686" s="1" t="n">
        <v>46178</v>
      </c>
      <c r="D686" t="inlineStr">
        <is>
          <t>DALARNAS LÄN</t>
        </is>
      </c>
      <c r="E686" t="inlineStr">
        <is>
          <t>RÄTTVIK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2722-2024</t>
        </is>
      </c>
      <c r="B687" s="1" t="n">
        <v>45314</v>
      </c>
      <c r="C687" s="1" t="n">
        <v>46178</v>
      </c>
      <c r="D687" t="inlineStr">
        <is>
          <t>DALARNAS LÄN</t>
        </is>
      </c>
      <c r="E687" t="inlineStr">
        <is>
          <t>RÄTTVIK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23667-2023</t>
        </is>
      </c>
      <c r="B688" s="1" t="n">
        <v>45077</v>
      </c>
      <c r="C688" s="1" t="n">
        <v>46178</v>
      </c>
      <c r="D688" t="inlineStr">
        <is>
          <t>DALARNAS LÄN</t>
        </is>
      </c>
      <c r="E688" t="inlineStr">
        <is>
          <t>RÄTTVIK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56772-2024</t>
        </is>
      </c>
      <c r="B689" s="1" t="n">
        <v>45628.41666666666</v>
      </c>
      <c r="C689" s="1" t="n">
        <v>46178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50902-2025</t>
        </is>
      </c>
      <c r="B690" s="1" t="n">
        <v>45946.64559027777</v>
      </c>
      <c r="C690" s="1" t="n">
        <v>46178</v>
      </c>
      <c r="D690" t="inlineStr">
        <is>
          <t>DALARNAS LÄN</t>
        </is>
      </c>
      <c r="E690" t="inlineStr">
        <is>
          <t>RÄTTVIK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12264-2026</t>
        </is>
      </c>
      <c r="B691" s="1" t="n">
        <v>46087</v>
      </c>
      <c r="C691" s="1" t="n">
        <v>46178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47616-2024</t>
        </is>
      </c>
      <c r="B692" s="1" t="n">
        <v>45588.31988425926</v>
      </c>
      <c r="C692" s="1" t="n">
        <v>46178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9322-2026</t>
        </is>
      </c>
      <c r="B693" s="1" t="n">
        <v>46070</v>
      </c>
      <c r="C693" s="1" t="n">
        <v>46178</v>
      </c>
      <c r="D693" t="inlineStr">
        <is>
          <t>DALARNAS LÄN</t>
        </is>
      </c>
      <c r="E693" t="inlineStr">
        <is>
          <t>RÄTTVIK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12753-2026</t>
        </is>
      </c>
      <c r="B694" s="1" t="n">
        <v>46091.65896990741</v>
      </c>
      <c r="C694" s="1" t="n">
        <v>46178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43756-2024</t>
        </is>
      </c>
      <c r="B695" s="1" t="n">
        <v>45569</v>
      </c>
      <c r="C695" s="1" t="n">
        <v>46178</v>
      </c>
      <c r="D695" t="inlineStr">
        <is>
          <t>DALARNAS LÄN</t>
        </is>
      </c>
      <c r="E695" t="inlineStr">
        <is>
          <t>RÄTTVIK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463-2024</t>
        </is>
      </c>
      <c r="B696" s="1" t="n">
        <v>45297.50574074074</v>
      </c>
      <c r="C696" s="1" t="n">
        <v>46178</v>
      </c>
      <c r="D696" t="inlineStr">
        <is>
          <t>DALARNAS LÄN</t>
        </is>
      </c>
      <c r="E696" t="inlineStr">
        <is>
          <t>RÄTTVIK</t>
        </is>
      </c>
      <c r="F696" t="inlineStr">
        <is>
          <t>Övriga statliga verk och myndigheter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51448-2025</t>
        </is>
      </c>
      <c r="B697" s="1" t="n">
        <v>45950.58851851852</v>
      </c>
      <c r="C697" s="1" t="n">
        <v>46178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12453-2026</t>
        </is>
      </c>
      <c r="B698" s="1" t="n">
        <v>46090</v>
      </c>
      <c r="C698" s="1" t="n">
        <v>46178</v>
      </c>
      <c r="D698" t="inlineStr">
        <is>
          <t>DALARNAS LÄN</t>
        </is>
      </c>
      <c r="E698" t="inlineStr">
        <is>
          <t>RÄTTVIK</t>
        </is>
      </c>
      <c r="F698" t="inlineStr">
        <is>
          <t>Kyrkan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37120-2024</t>
        </is>
      </c>
      <c r="B699" s="1" t="n">
        <v>45539.53831018518</v>
      </c>
      <c r="C699" s="1" t="n">
        <v>46178</v>
      </c>
      <c r="D699" t="inlineStr">
        <is>
          <t>DALARNAS LÄN</t>
        </is>
      </c>
      <c r="E699" t="inlineStr">
        <is>
          <t>RÄTTVIK</t>
        </is>
      </c>
      <c r="G699" t="n">
        <v>13.6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3655-2024</t>
        </is>
      </c>
      <c r="B700" s="1" t="n">
        <v>45321.33939814815</v>
      </c>
      <c r="C700" s="1" t="n">
        <v>46178</v>
      </c>
      <c r="D700" t="inlineStr">
        <is>
          <t>DALARNAS LÄN</t>
        </is>
      </c>
      <c r="E700" t="inlineStr">
        <is>
          <t>RÄTTVIK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4644-2026</t>
        </is>
      </c>
      <c r="B701" s="1" t="n">
        <v>46048</v>
      </c>
      <c r="C701" s="1" t="n">
        <v>46178</v>
      </c>
      <c r="D701" t="inlineStr">
        <is>
          <t>DALARNAS LÄN</t>
        </is>
      </c>
      <c r="E701" t="inlineStr">
        <is>
          <t>RÄTTVIK</t>
        </is>
      </c>
      <c r="G701" t="n">
        <v>13.1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12742-2026</t>
        </is>
      </c>
      <c r="B702" s="1" t="n">
        <v>46091.64923611111</v>
      </c>
      <c r="C702" s="1" t="n">
        <v>46178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52158-2025</t>
        </is>
      </c>
      <c r="B703" s="1" t="n">
        <v>45953.35728009259</v>
      </c>
      <c r="C703" s="1" t="n">
        <v>46178</v>
      </c>
      <c r="D703" t="inlineStr">
        <is>
          <t>DALARNAS LÄN</t>
        </is>
      </c>
      <c r="E703" t="inlineStr">
        <is>
          <t>RÄTTVIK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51833-2025</t>
        </is>
      </c>
      <c r="B704" s="1" t="n">
        <v>45952.32971064815</v>
      </c>
      <c r="C704" s="1" t="n">
        <v>46178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48230-2024</t>
        </is>
      </c>
      <c r="B705" s="1" t="n">
        <v>45590.37570601852</v>
      </c>
      <c r="C705" s="1" t="n">
        <v>46178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52051-2025</t>
        </is>
      </c>
      <c r="B706" s="1" t="n">
        <v>45952.61993055556</v>
      </c>
      <c r="C706" s="1" t="n">
        <v>46178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57094-2023</t>
        </is>
      </c>
      <c r="B707" s="1" t="n">
        <v>45245.31895833334</v>
      </c>
      <c r="C707" s="1" t="n">
        <v>46178</v>
      </c>
      <c r="D707" t="inlineStr">
        <is>
          <t>DALARNAS LÄN</t>
        </is>
      </c>
      <c r="E707" t="inlineStr">
        <is>
          <t>RÄTTVIK</t>
        </is>
      </c>
      <c r="F707" t="inlineStr">
        <is>
          <t>Kyrkan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54212-2023</t>
        </is>
      </c>
      <c r="B708" s="1" t="n">
        <v>45225</v>
      </c>
      <c r="C708" s="1" t="n">
        <v>46178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52046-2025</t>
        </is>
      </c>
      <c r="B709" s="1" t="n">
        <v>45952.61695601852</v>
      </c>
      <c r="C709" s="1" t="n">
        <v>46178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52048-2025</t>
        </is>
      </c>
      <c r="B710" s="1" t="n">
        <v>45952.61868055556</v>
      </c>
      <c r="C710" s="1" t="n">
        <v>46178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52296-2025</t>
        </is>
      </c>
      <c r="B711" s="1" t="n">
        <v>45953.60881944445</v>
      </c>
      <c r="C711" s="1" t="n">
        <v>46178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48947-2023</t>
        </is>
      </c>
      <c r="B712" s="1" t="n">
        <v>45209</v>
      </c>
      <c r="C712" s="1" t="n">
        <v>46178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36172-2024</t>
        </is>
      </c>
      <c r="B713" s="1" t="n">
        <v>45534.40519675926</v>
      </c>
      <c r="C713" s="1" t="n">
        <v>46178</v>
      </c>
      <c r="D713" t="inlineStr">
        <is>
          <t>DALARNAS LÄN</t>
        </is>
      </c>
      <c r="E713" t="inlineStr">
        <is>
          <t>RÄTTVIK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52424-2025</t>
        </is>
      </c>
      <c r="B714" s="1" t="n">
        <v>45954</v>
      </c>
      <c r="C714" s="1" t="n">
        <v>46178</v>
      </c>
      <c r="D714" t="inlineStr">
        <is>
          <t>DALARNAS LÄN</t>
        </is>
      </c>
      <c r="E714" t="inlineStr">
        <is>
          <t>RÄTTVIK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13086-2026</t>
        </is>
      </c>
      <c r="B715" s="1" t="n">
        <v>46093</v>
      </c>
      <c r="C715" s="1" t="n">
        <v>46178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13531-2026</t>
        </is>
      </c>
      <c r="B716" s="1" t="n">
        <v>46094</v>
      </c>
      <c r="C716" s="1" t="n">
        <v>46178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53226-2025</t>
        </is>
      </c>
      <c r="B717" s="1" t="n">
        <v>45957</v>
      </c>
      <c r="C717" s="1" t="n">
        <v>46178</v>
      </c>
      <c r="D717" t="inlineStr">
        <is>
          <t>DALARNAS LÄN</t>
        </is>
      </c>
      <c r="E717" t="inlineStr">
        <is>
          <t>RÄTTVIK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53231-2025</t>
        </is>
      </c>
      <c r="B718" s="1" t="n">
        <v>45957</v>
      </c>
      <c r="C718" s="1" t="n">
        <v>46178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19980-2026</t>
        </is>
      </c>
      <c r="B719" s="1" t="n">
        <v>46136.44820601852</v>
      </c>
      <c r="C719" s="1" t="n">
        <v>46178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58088-2023</t>
        </is>
      </c>
      <c r="B720" s="1" t="n">
        <v>45248.37060185185</v>
      </c>
      <c r="C720" s="1" t="n">
        <v>46178</v>
      </c>
      <c r="D720" t="inlineStr">
        <is>
          <t>DALARNAS LÄN</t>
        </is>
      </c>
      <c r="E720" t="inlineStr">
        <is>
          <t>RÄTTVIK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53229-2025</t>
        </is>
      </c>
      <c r="B721" s="1" t="n">
        <v>45958.62193287037</v>
      </c>
      <c r="C721" s="1" t="n">
        <v>46178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53064-2025</t>
        </is>
      </c>
      <c r="B722" s="1" t="n">
        <v>45958.37493055555</v>
      </c>
      <c r="C722" s="1" t="n">
        <v>46178</v>
      </c>
      <c r="D722" t="inlineStr">
        <is>
          <t>DALARNAS LÄN</t>
        </is>
      </c>
      <c r="E722" t="inlineStr">
        <is>
          <t>RÄTTVIK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4677-2026</t>
        </is>
      </c>
      <c r="B723" s="1" t="n">
        <v>46048</v>
      </c>
      <c r="C723" s="1" t="n">
        <v>46178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19986-2026</t>
        </is>
      </c>
      <c r="B724" s="1" t="n">
        <v>46136.45366898148</v>
      </c>
      <c r="C724" s="1" t="n">
        <v>46178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5651-2025</t>
        </is>
      </c>
      <c r="B725" s="1" t="n">
        <v>45693.71571759259</v>
      </c>
      <c r="C725" s="1" t="n">
        <v>46178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13844-2026</t>
        </is>
      </c>
      <c r="B726" s="1" t="n">
        <v>46098</v>
      </c>
      <c r="C726" s="1" t="n">
        <v>46178</v>
      </c>
      <c r="D726" t="inlineStr">
        <is>
          <t>DALARNAS LÄN</t>
        </is>
      </c>
      <c r="E726" t="inlineStr">
        <is>
          <t>RÄTTVIK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34813-2022</t>
        </is>
      </c>
      <c r="B727" s="1" t="n">
        <v>44796.28063657408</v>
      </c>
      <c r="C727" s="1" t="n">
        <v>46178</v>
      </c>
      <c r="D727" t="inlineStr">
        <is>
          <t>DALARNAS LÄN</t>
        </is>
      </c>
      <c r="E727" t="inlineStr">
        <is>
          <t>RÄTTVIK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20298-2026</t>
        </is>
      </c>
      <c r="B728" s="1" t="n">
        <v>46139.56988425926</v>
      </c>
      <c r="C728" s="1" t="n">
        <v>46178</v>
      </c>
      <c r="D728" t="inlineStr">
        <is>
          <t>DALARNAS LÄN</t>
        </is>
      </c>
      <c r="E728" t="inlineStr">
        <is>
          <t>RÄTTVIK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14010-2026</t>
        </is>
      </c>
      <c r="B729" s="1" t="n">
        <v>46098.66170138889</v>
      </c>
      <c r="C729" s="1" t="n">
        <v>46178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13975-2026</t>
        </is>
      </c>
      <c r="B730" s="1" t="n">
        <v>46098</v>
      </c>
      <c r="C730" s="1" t="n">
        <v>46178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20284-2026</t>
        </is>
      </c>
      <c r="B731" s="1" t="n">
        <v>46139.54461805556</v>
      </c>
      <c r="C731" s="1" t="n">
        <v>46178</v>
      </c>
      <c r="D731" t="inlineStr">
        <is>
          <t>DALARNAS LÄN</t>
        </is>
      </c>
      <c r="E731" t="inlineStr">
        <is>
          <t>RÄTTVIK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13692-2026</t>
        </is>
      </c>
      <c r="B732" s="1" t="n">
        <v>46094</v>
      </c>
      <c r="C732" s="1" t="n">
        <v>46178</v>
      </c>
      <c r="D732" t="inlineStr">
        <is>
          <t>DALARNAS LÄN</t>
        </is>
      </c>
      <c r="E732" t="inlineStr">
        <is>
          <t>RÄTTVIK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20234-2026</t>
        </is>
      </c>
      <c r="B733" s="1" t="n">
        <v>46139.4633912037</v>
      </c>
      <c r="C733" s="1" t="n">
        <v>46178</v>
      </c>
      <c r="D733" t="inlineStr">
        <is>
          <t>DALARNAS LÄN</t>
        </is>
      </c>
      <c r="E733" t="inlineStr">
        <is>
          <t>RÄTTVIK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20276-2026</t>
        </is>
      </c>
      <c r="B734" s="1" t="n">
        <v>46139.5315625</v>
      </c>
      <c r="C734" s="1" t="n">
        <v>46178</v>
      </c>
      <c r="D734" t="inlineStr">
        <is>
          <t>DALARNAS LÄN</t>
        </is>
      </c>
      <c r="E734" t="inlineStr">
        <is>
          <t>RÄTTVIK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20565-2026</t>
        </is>
      </c>
      <c r="B735" s="1" t="n">
        <v>46140.60636574074</v>
      </c>
      <c r="C735" s="1" t="n">
        <v>46178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53667-2025</t>
        </is>
      </c>
      <c r="B736" s="1" t="n">
        <v>45960.54859953704</v>
      </c>
      <c r="C736" s="1" t="n">
        <v>46178</v>
      </c>
      <c r="D736" t="inlineStr">
        <is>
          <t>DALARNAS LÄN</t>
        </is>
      </c>
      <c r="E736" t="inlineStr">
        <is>
          <t>RÄTTVIK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9211-2024</t>
        </is>
      </c>
      <c r="B737" s="1" t="n">
        <v>45358.49988425926</v>
      </c>
      <c r="C737" s="1" t="n">
        <v>46178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53711-2025</t>
        </is>
      </c>
      <c r="B738" s="1" t="n">
        <v>45960.61532407408</v>
      </c>
      <c r="C738" s="1" t="n">
        <v>46178</v>
      </c>
      <c r="D738" t="inlineStr">
        <is>
          <t>DALARNAS LÄN</t>
        </is>
      </c>
      <c r="E738" t="inlineStr">
        <is>
          <t>RÄTTVIK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20562-2026</t>
        </is>
      </c>
      <c r="B739" s="1" t="n">
        <v>46140.60119212963</v>
      </c>
      <c r="C739" s="1" t="n">
        <v>46178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53673-2025</t>
        </is>
      </c>
      <c r="B740" s="1" t="n">
        <v>45960.55550925926</v>
      </c>
      <c r="C740" s="1" t="n">
        <v>46178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53944-2025</t>
        </is>
      </c>
      <c r="B741" s="1" t="n">
        <v>45961</v>
      </c>
      <c r="C741" s="1" t="n">
        <v>46178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20817-2026</t>
        </is>
      </c>
      <c r="B742" s="1" t="n">
        <v>46141</v>
      </c>
      <c r="C742" s="1" t="n">
        <v>46178</v>
      </c>
      <c r="D742" t="inlineStr">
        <is>
          <t>DALARNAS LÄN</t>
        </is>
      </c>
      <c r="E742" t="inlineStr">
        <is>
          <t>RÄTTVIK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20818-2026</t>
        </is>
      </c>
      <c r="B743" s="1" t="n">
        <v>46141</v>
      </c>
      <c r="C743" s="1" t="n">
        <v>46178</v>
      </c>
      <c r="D743" t="inlineStr">
        <is>
          <t>DALARNAS LÄN</t>
        </is>
      </c>
      <c r="E743" t="inlineStr">
        <is>
          <t>RÄTTVIK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53968-2025</t>
        </is>
      </c>
      <c r="B744" s="1" t="n">
        <v>45961.54652777778</v>
      </c>
      <c r="C744" s="1" t="n">
        <v>46178</v>
      </c>
      <c r="D744" t="inlineStr">
        <is>
          <t>DALARNAS LÄN</t>
        </is>
      </c>
      <c r="E744" t="inlineStr">
        <is>
          <t>RÄTTVIK</t>
        </is>
      </c>
      <c r="F744" t="inlineStr">
        <is>
          <t>Övriga statliga verk och myndigheter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60-2023</t>
        </is>
      </c>
      <c r="B745" s="1" t="n">
        <v>44928.42864583333</v>
      </c>
      <c r="C745" s="1" t="n">
        <v>46178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53987-2025</t>
        </is>
      </c>
      <c r="B746" s="1" t="n">
        <v>45961.57497685185</v>
      </c>
      <c r="C746" s="1" t="n">
        <v>46178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53602-2025</t>
        </is>
      </c>
      <c r="B747" s="1" t="n">
        <v>45960.46038194445</v>
      </c>
      <c r="C747" s="1" t="n">
        <v>46178</v>
      </c>
      <c r="D747" t="inlineStr">
        <is>
          <t>DALARNAS LÄN</t>
        </is>
      </c>
      <c r="E747" t="inlineStr">
        <is>
          <t>RÄTTVIK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14088-2026</t>
        </is>
      </c>
      <c r="B748" s="1" t="n">
        <v>46099</v>
      </c>
      <c r="C748" s="1" t="n">
        <v>46178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53698-2025</t>
        </is>
      </c>
      <c r="B749" s="1" t="n">
        <v>45960.59271990741</v>
      </c>
      <c r="C749" s="1" t="n">
        <v>46178</v>
      </c>
      <c r="D749" t="inlineStr">
        <is>
          <t>DALARNAS LÄN</t>
        </is>
      </c>
      <c r="E749" t="inlineStr">
        <is>
          <t>RÄTTVIK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20114-2026</t>
        </is>
      </c>
      <c r="B750" s="1" t="n">
        <v>46136</v>
      </c>
      <c r="C750" s="1" t="n">
        <v>46178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14496-2026</t>
        </is>
      </c>
      <c r="B751" s="1" t="n">
        <v>46100</v>
      </c>
      <c r="C751" s="1" t="n">
        <v>46178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20704-2026</t>
        </is>
      </c>
      <c r="B752" s="1" t="n">
        <v>46141.48478009259</v>
      </c>
      <c r="C752" s="1" t="n">
        <v>46178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54388-2025</t>
        </is>
      </c>
      <c r="B753" s="1" t="n">
        <v>45965.43789351852</v>
      </c>
      <c r="C753" s="1" t="n">
        <v>46178</v>
      </c>
      <c r="D753" t="inlineStr">
        <is>
          <t>DALARNAS LÄN</t>
        </is>
      </c>
      <c r="E753" t="inlineStr">
        <is>
          <t>RÄTTVIK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14317-2026</t>
        </is>
      </c>
      <c r="B754" s="1" t="n">
        <v>46099</v>
      </c>
      <c r="C754" s="1" t="n">
        <v>46178</v>
      </c>
      <c r="D754" t="inlineStr">
        <is>
          <t>DALARNAS LÄN</t>
        </is>
      </c>
      <c r="E754" t="inlineStr">
        <is>
          <t>RÄTTVIK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20689-2026</t>
        </is>
      </c>
      <c r="B755" s="1" t="n">
        <v>46141.45616898148</v>
      </c>
      <c r="C755" s="1" t="n">
        <v>46178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20693-2026</t>
        </is>
      </c>
      <c r="B756" s="1" t="n">
        <v>46141.46710648148</v>
      </c>
      <c r="C756" s="1" t="n">
        <v>46178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14029-2026</t>
        </is>
      </c>
      <c r="B757" s="1" t="n">
        <v>46098.7690625</v>
      </c>
      <c r="C757" s="1" t="n">
        <v>46178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14060-2026</t>
        </is>
      </c>
      <c r="B758" s="1" t="n">
        <v>46099.32761574074</v>
      </c>
      <c r="C758" s="1" t="n">
        <v>46178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20691-2026</t>
        </is>
      </c>
      <c r="B759" s="1" t="n">
        <v>46141.46039351852</v>
      </c>
      <c r="C759" s="1" t="n">
        <v>46178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20692-2026</t>
        </is>
      </c>
      <c r="B760" s="1" t="n">
        <v>46141.46577546297</v>
      </c>
      <c r="C760" s="1" t="n">
        <v>46178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20702-2026</t>
        </is>
      </c>
      <c r="B761" s="1" t="n">
        <v>46141.48043981481</v>
      </c>
      <c r="C761" s="1" t="n">
        <v>46178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20939-2026</t>
        </is>
      </c>
      <c r="B762" s="1" t="n">
        <v>46142.49870370371</v>
      </c>
      <c r="C762" s="1" t="n">
        <v>46178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20944-2026</t>
        </is>
      </c>
      <c r="B763" s="1" t="n">
        <v>46142.50190972222</v>
      </c>
      <c r="C763" s="1" t="n">
        <v>46178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14453-2026</t>
        </is>
      </c>
      <c r="B764" s="1" t="n">
        <v>46100</v>
      </c>
      <c r="C764" s="1" t="n">
        <v>46178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20717-2026</t>
        </is>
      </c>
      <c r="B765" s="1" t="n">
        <v>46141.52577546296</v>
      </c>
      <c r="C765" s="1" t="n">
        <v>46178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14028-2026</t>
        </is>
      </c>
      <c r="B766" s="1" t="n">
        <v>46098.75048611111</v>
      </c>
      <c r="C766" s="1" t="n">
        <v>46178</v>
      </c>
      <c r="D766" t="inlineStr">
        <is>
          <t>DALARNAS LÄN</t>
        </is>
      </c>
      <c r="E766" t="inlineStr">
        <is>
          <t>RÄTTVIK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20510-2026</t>
        </is>
      </c>
      <c r="B767" s="1" t="n">
        <v>46140</v>
      </c>
      <c r="C767" s="1" t="n">
        <v>46178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20515-2026</t>
        </is>
      </c>
      <c r="B768" s="1" t="n">
        <v>46140</v>
      </c>
      <c r="C768" s="1" t="n">
        <v>46178</v>
      </c>
      <c r="D768" t="inlineStr">
        <is>
          <t>DALARNAS LÄN</t>
        </is>
      </c>
      <c r="E768" t="inlineStr">
        <is>
          <t>RÄTTVIK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14508-2026</t>
        </is>
      </c>
      <c r="B769" s="1" t="n">
        <v>46100</v>
      </c>
      <c r="C769" s="1" t="n">
        <v>46178</v>
      </c>
      <c r="D769" t="inlineStr">
        <is>
          <t>DALARNAS LÄN</t>
        </is>
      </c>
      <c r="E769" t="inlineStr">
        <is>
          <t>RÄTTVIK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15021-2026</t>
        </is>
      </c>
      <c r="B770" s="1" t="n">
        <v>46104</v>
      </c>
      <c r="C770" s="1" t="n">
        <v>46178</v>
      </c>
      <c r="D770" t="inlineStr">
        <is>
          <t>DALARNAS LÄN</t>
        </is>
      </c>
      <c r="E770" t="inlineStr">
        <is>
          <t>RÄTTVIK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21185-2026</t>
        </is>
      </c>
      <c r="B771" s="1" t="n">
        <v>46146.6375462963</v>
      </c>
      <c r="C771" s="1" t="n">
        <v>46178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14903-2026</t>
        </is>
      </c>
      <c r="B772" s="1" t="n">
        <v>46104</v>
      </c>
      <c r="C772" s="1" t="n">
        <v>46178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6189-2023</t>
        </is>
      </c>
      <c r="B773" s="1" t="n">
        <v>44964.72545138889</v>
      </c>
      <c r="C773" s="1" t="n">
        <v>46178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54386-2025</t>
        </is>
      </c>
      <c r="B774" s="1" t="n">
        <v>45965.43679398148</v>
      </c>
      <c r="C774" s="1" t="n">
        <v>46178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14930-2026</t>
        </is>
      </c>
      <c r="B775" s="1" t="n">
        <v>46104.48550925926</v>
      </c>
      <c r="C775" s="1" t="n">
        <v>46178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21156-2026</t>
        </is>
      </c>
      <c r="B776" s="1" t="n">
        <v>46146.57708333333</v>
      </c>
      <c r="C776" s="1" t="n">
        <v>46178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15040-2026</t>
        </is>
      </c>
      <c r="B777" s="1" t="n">
        <v>46104</v>
      </c>
      <c r="C777" s="1" t="n">
        <v>46178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65176-2021</t>
        </is>
      </c>
      <c r="B778" s="1" t="n">
        <v>44515.47277777778</v>
      </c>
      <c r="C778" s="1" t="n">
        <v>46178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21143-2026</t>
        </is>
      </c>
      <c r="B779" s="1" t="n">
        <v>46146.55953703704</v>
      </c>
      <c r="C779" s="1" t="n">
        <v>46178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14940-2026</t>
        </is>
      </c>
      <c r="B780" s="1" t="n">
        <v>46104</v>
      </c>
      <c r="C780" s="1" t="n">
        <v>46178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15026-2026</t>
        </is>
      </c>
      <c r="B781" s="1" t="n">
        <v>46104</v>
      </c>
      <c r="C781" s="1" t="n">
        <v>46178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15033-2026</t>
        </is>
      </c>
      <c r="B782" s="1" t="n">
        <v>46104</v>
      </c>
      <c r="C782" s="1" t="n">
        <v>46178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15038-2026</t>
        </is>
      </c>
      <c r="B783" s="1" t="n">
        <v>46104</v>
      </c>
      <c r="C783" s="1" t="n">
        <v>46178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55055-2025</t>
        </is>
      </c>
      <c r="B784" s="1" t="n">
        <v>45967.67859953704</v>
      </c>
      <c r="C784" s="1" t="n">
        <v>46178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15633-2026</t>
        </is>
      </c>
      <c r="B785" s="1" t="n">
        <v>46106</v>
      </c>
      <c r="C785" s="1" t="n">
        <v>46178</v>
      </c>
      <c r="D785" t="inlineStr">
        <is>
          <t>DALARNAS LÄN</t>
        </is>
      </c>
      <c r="E785" t="inlineStr">
        <is>
          <t>RÄTTVIK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15257-2026</t>
        </is>
      </c>
      <c r="B786" s="1" t="n">
        <v>46105</v>
      </c>
      <c r="C786" s="1" t="n">
        <v>46178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54928-2025</t>
        </is>
      </c>
      <c r="B787" s="1" t="n">
        <v>45967.41774305556</v>
      </c>
      <c r="C787" s="1" t="n">
        <v>46178</v>
      </c>
      <c r="D787" t="inlineStr">
        <is>
          <t>DALARNAS LÄN</t>
        </is>
      </c>
      <c r="E787" t="inlineStr">
        <is>
          <t>RÄTTVIK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55059-2025</t>
        </is>
      </c>
      <c r="B788" s="1" t="n">
        <v>45967.68416666667</v>
      </c>
      <c r="C788" s="1" t="n">
        <v>46178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15088-2026</t>
        </is>
      </c>
      <c r="B789" s="1" t="n">
        <v>46105</v>
      </c>
      <c r="C789" s="1" t="n">
        <v>46178</v>
      </c>
      <c r="D789" t="inlineStr">
        <is>
          <t>DALARNAS LÄN</t>
        </is>
      </c>
      <c r="E789" t="inlineStr">
        <is>
          <t>RÄTTVIK</t>
        </is>
      </c>
      <c r="F789" t="inlineStr">
        <is>
          <t>Allmännings- och besparingsskogar</t>
        </is>
      </c>
      <c r="G789" t="n">
        <v>19.4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15560-2026</t>
        </is>
      </c>
      <c r="B790" s="1" t="n">
        <v>46106.54900462963</v>
      </c>
      <c r="C790" s="1" t="n">
        <v>46178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54648-2025</t>
        </is>
      </c>
      <c r="B791" s="1" t="n">
        <v>45966.37459490741</v>
      </c>
      <c r="C791" s="1" t="n">
        <v>46178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15588-2026</t>
        </is>
      </c>
      <c r="B792" s="1" t="n">
        <v>46106</v>
      </c>
      <c r="C792" s="1" t="n">
        <v>46178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21496-2026</t>
        </is>
      </c>
      <c r="B793" s="1" t="n">
        <v>46148.57049768518</v>
      </c>
      <c r="C793" s="1" t="n">
        <v>46178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15573-2026</t>
        </is>
      </c>
      <c r="B794" s="1" t="n">
        <v>46106</v>
      </c>
      <c r="C794" s="1" t="n">
        <v>46178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20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15090-2026</t>
        </is>
      </c>
      <c r="B795" s="1" t="n">
        <v>46105</v>
      </c>
      <c r="C795" s="1" t="n">
        <v>46178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21252-2026</t>
        </is>
      </c>
      <c r="B796" s="1" t="n">
        <v>46147</v>
      </c>
      <c r="C796" s="1" t="n">
        <v>46178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55172-2025</t>
        </is>
      </c>
      <c r="B797" s="1" t="n">
        <v>45968.49980324074</v>
      </c>
      <c r="C797" s="1" t="n">
        <v>46178</v>
      </c>
      <c r="D797" t="inlineStr">
        <is>
          <t>DALARNAS LÄN</t>
        </is>
      </c>
      <c r="E797" t="inlineStr">
        <is>
          <t>RÄTTVIK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15650-2026</t>
        </is>
      </c>
      <c r="B798" s="1" t="n">
        <v>46106.65469907408</v>
      </c>
      <c r="C798" s="1" t="n">
        <v>46178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15497-2026</t>
        </is>
      </c>
      <c r="B799" s="1" t="n">
        <v>46106</v>
      </c>
      <c r="C799" s="1" t="n">
        <v>46178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15500-2026</t>
        </is>
      </c>
      <c r="B800" s="1" t="n">
        <v>46106</v>
      </c>
      <c r="C800" s="1" t="n">
        <v>46178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15243-2026</t>
        </is>
      </c>
      <c r="B801" s="1" t="n">
        <v>46105</v>
      </c>
      <c r="C801" s="1" t="n">
        <v>46178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15260-2026</t>
        </is>
      </c>
      <c r="B802" s="1" t="n">
        <v>46105</v>
      </c>
      <c r="C802" s="1" t="n">
        <v>46178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15312-2026</t>
        </is>
      </c>
      <c r="B803" s="1" t="n">
        <v>46105</v>
      </c>
      <c r="C803" s="1" t="n">
        <v>46178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15319-2026</t>
        </is>
      </c>
      <c r="B804" s="1" t="n">
        <v>46105</v>
      </c>
      <c r="C804" s="1" t="n">
        <v>46178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55708-2025</t>
        </is>
      </c>
      <c r="B805" s="1" t="n">
        <v>45971</v>
      </c>
      <c r="C805" s="1" t="n">
        <v>46178</v>
      </c>
      <c r="D805" t="inlineStr">
        <is>
          <t>DALARNAS LÄN</t>
        </is>
      </c>
      <c r="E805" t="inlineStr">
        <is>
          <t>RÄTTVIK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21493-2026</t>
        </is>
      </c>
      <c r="B806" s="1" t="n">
        <v>46148.56592592593</v>
      </c>
      <c r="C806" s="1" t="n">
        <v>46178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15266-2026</t>
        </is>
      </c>
      <c r="B807" s="1" t="n">
        <v>46105</v>
      </c>
      <c r="C807" s="1" t="n">
        <v>46178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15315-2026</t>
        </is>
      </c>
      <c r="B808" s="1" t="n">
        <v>46105</v>
      </c>
      <c r="C808" s="1" t="n">
        <v>46178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12617-2022</t>
        </is>
      </c>
      <c r="B809" s="1" t="n">
        <v>44641</v>
      </c>
      <c r="C809" s="1" t="n">
        <v>46178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21470-2026</t>
        </is>
      </c>
      <c r="B810" s="1" t="n">
        <v>46148.4784375</v>
      </c>
      <c r="C810" s="1" t="n">
        <v>46178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21492-2026</t>
        </is>
      </c>
      <c r="B811" s="1" t="n">
        <v>46148.56071759259</v>
      </c>
      <c r="C811" s="1" t="n">
        <v>46178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15335-2026</t>
        </is>
      </c>
      <c r="B812" s="1" t="n">
        <v>46105</v>
      </c>
      <c r="C812" s="1" t="n">
        <v>46178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15253-2026</t>
        </is>
      </c>
      <c r="B813" s="1" t="n">
        <v>46105.57429398148</v>
      </c>
      <c r="C813" s="1" t="n">
        <v>46178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15188-2026</t>
        </is>
      </c>
      <c r="B814" s="1" t="n">
        <v>46105</v>
      </c>
      <c r="C814" s="1" t="n">
        <v>46178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9.300000000000001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15226-2026</t>
        </is>
      </c>
      <c r="B815" s="1" t="n">
        <v>46105</v>
      </c>
      <c r="C815" s="1" t="n">
        <v>46178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15267-2026</t>
        </is>
      </c>
      <c r="B816" s="1" t="n">
        <v>46105</v>
      </c>
      <c r="C816" s="1" t="n">
        <v>46178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15589-2026</t>
        </is>
      </c>
      <c r="B817" s="1" t="n">
        <v>46106</v>
      </c>
      <c r="C817" s="1" t="n">
        <v>46178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15087-2026</t>
        </is>
      </c>
      <c r="B818" s="1" t="n">
        <v>46105</v>
      </c>
      <c r="C818" s="1" t="n">
        <v>46178</v>
      </c>
      <c r="D818" t="inlineStr">
        <is>
          <t>DALARNAS LÄN</t>
        </is>
      </c>
      <c r="E818" t="inlineStr">
        <is>
          <t>RÄTTVIK</t>
        </is>
      </c>
      <c r="F818" t="inlineStr">
        <is>
          <t>Allmännings- och besparingsskogar</t>
        </is>
      </c>
      <c r="G818" t="n">
        <v>42.9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15201-2026</t>
        </is>
      </c>
      <c r="B819" s="1" t="n">
        <v>46105.48222222222</v>
      </c>
      <c r="C819" s="1" t="n">
        <v>46178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20977-2026</t>
        </is>
      </c>
      <c r="B820" s="1" t="n">
        <v>46142</v>
      </c>
      <c r="C820" s="1" t="n">
        <v>46178</v>
      </c>
      <c r="D820" t="inlineStr">
        <is>
          <t>DALARNAS LÄN</t>
        </is>
      </c>
      <c r="E820" t="inlineStr">
        <is>
          <t>RÄTTVIK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15318-2026</t>
        </is>
      </c>
      <c r="B821" s="1" t="n">
        <v>46105</v>
      </c>
      <c r="C821" s="1" t="n">
        <v>46178</v>
      </c>
      <c r="D821" t="inlineStr">
        <is>
          <t>DALARNAS LÄN</t>
        </is>
      </c>
      <c r="E821" t="inlineStr">
        <is>
          <t>RÄTTVIK</t>
        </is>
      </c>
      <c r="F821" t="inlineStr">
        <is>
          <t>Allmännings- och besparingsskogar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55321-2025</t>
        </is>
      </c>
      <c r="B822" s="1" t="n">
        <v>45971.32695601852</v>
      </c>
      <c r="C822" s="1" t="n">
        <v>46178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15089-2026</t>
        </is>
      </c>
      <c r="B823" s="1" t="n">
        <v>46105</v>
      </c>
      <c r="C823" s="1" t="n">
        <v>46178</v>
      </c>
      <c r="D823" t="inlineStr">
        <is>
          <t>DALARNAS LÄN</t>
        </is>
      </c>
      <c r="E823" t="inlineStr">
        <is>
          <t>RÄTTVIK</t>
        </is>
      </c>
      <c r="F823" t="inlineStr">
        <is>
          <t>Allmännings- och besparingsskogar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16115-2026</t>
        </is>
      </c>
      <c r="B824" s="1" t="n">
        <v>46108.6127662037</v>
      </c>
      <c r="C824" s="1" t="n">
        <v>46178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55704-2025</t>
        </is>
      </c>
      <c r="B825" s="1" t="n">
        <v>45971</v>
      </c>
      <c r="C825" s="1" t="n">
        <v>46178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55712-2025</t>
        </is>
      </c>
      <c r="B826" s="1" t="n">
        <v>45971</v>
      </c>
      <c r="C826" s="1" t="n">
        <v>46178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55412-2025</t>
        </is>
      </c>
      <c r="B827" s="1" t="n">
        <v>45971.46777777778</v>
      </c>
      <c r="C827" s="1" t="n">
        <v>46178</v>
      </c>
      <c r="D827" t="inlineStr">
        <is>
          <t>DALARNAS LÄN</t>
        </is>
      </c>
      <c r="E827" t="inlineStr">
        <is>
          <t>RÄTTVIK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15733-2026</t>
        </is>
      </c>
      <c r="B828" s="1" t="n">
        <v>46107</v>
      </c>
      <c r="C828" s="1" t="n">
        <v>46178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15752-2026</t>
        </is>
      </c>
      <c r="B829" s="1" t="n">
        <v>46107</v>
      </c>
      <c r="C829" s="1" t="n">
        <v>46178</v>
      </c>
      <c r="D829" t="inlineStr">
        <is>
          <t>DALARNAS LÄN</t>
        </is>
      </c>
      <c r="E829" t="inlineStr">
        <is>
          <t>RÄTTVIK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55171-2025</t>
        </is>
      </c>
      <c r="B830" s="1" t="n">
        <v>45968.49690972222</v>
      </c>
      <c r="C830" s="1" t="n">
        <v>46178</v>
      </c>
      <c r="D830" t="inlineStr">
        <is>
          <t>DALARNAS LÄN</t>
        </is>
      </c>
      <c r="E830" t="inlineStr">
        <is>
          <t>RÄTTVIK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55196-2025</t>
        </is>
      </c>
      <c r="B831" s="1" t="n">
        <v>45968</v>
      </c>
      <c r="C831" s="1" t="n">
        <v>46178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61814-2023</t>
        </is>
      </c>
      <c r="B832" s="1" t="n">
        <v>45266.32162037037</v>
      </c>
      <c r="C832" s="1" t="n">
        <v>46178</v>
      </c>
      <c r="D832" t="inlineStr">
        <is>
          <t>DALARNAS LÄN</t>
        </is>
      </c>
      <c r="E832" t="inlineStr">
        <is>
          <t>RÄTTVIK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56063-2025</t>
        </is>
      </c>
      <c r="B833" s="1" t="n">
        <v>45973.64146990741</v>
      </c>
      <c r="C833" s="1" t="n">
        <v>46178</v>
      </c>
      <c r="D833" t="inlineStr">
        <is>
          <t>DALARNAS LÄN</t>
        </is>
      </c>
      <c r="E833" t="inlineStr">
        <is>
          <t>RÄTTVIK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18064-2022</t>
        </is>
      </c>
      <c r="B834" s="1" t="n">
        <v>44684</v>
      </c>
      <c r="C834" s="1" t="n">
        <v>46178</v>
      </c>
      <c r="D834" t="inlineStr">
        <is>
          <t>DALARNAS LÄN</t>
        </is>
      </c>
      <c r="E834" t="inlineStr">
        <is>
          <t>RÄTTVIK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15742-2026</t>
        </is>
      </c>
      <c r="B835" s="1" t="n">
        <v>46107</v>
      </c>
      <c r="C835" s="1" t="n">
        <v>46178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37124-2024</t>
        </is>
      </c>
      <c r="B836" s="1" t="n">
        <v>45539.55662037037</v>
      </c>
      <c r="C836" s="1" t="n">
        <v>46178</v>
      </c>
      <c r="D836" t="inlineStr">
        <is>
          <t>DALARNAS LÄN</t>
        </is>
      </c>
      <c r="E836" t="inlineStr">
        <is>
          <t>RÄTTVIK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15849-2026</t>
        </is>
      </c>
      <c r="B837" s="1" t="n">
        <v>46107</v>
      </c>
      <c r="C837" s="1" t="n">
        <v>46178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55740-2025</t>
        </is>
      </c>
      <c r="B838" s="1" t="n">
        <v>45972.56847222222</v>
      </c>
      <c r="C838" s="1" t="n">
        <v>46178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15877-2026</t>
        </is>
      </c>
      <c r="B839" s="1" t="n">
        <v>46107.59503472222</v>
      </c>
      <c r="C839" s="1" t="n">
        <v>46178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60984-2023</t>
        </is>
      </c>
      <c r="B840" s="1" t="n">
        <v>45259</v>
      </c>
      <c r="C840" s="1" t="n">
        <v>46178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15914-2026</t>
        </is>
      </c>
      <c r="B841" s="1" t="n">
        <v>46107</v>
      </c>
      <c r="C841" s="1" t="n">
        <v>46178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2007-2025</t>
        </is>
      </c>
      <c r="B842" s="1" t="n">
        <v>45672</v>
      </c>
      <c r="C842" s="1" t="n">
        <v>46178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55975-2025</t>
        </is>
      </c>
      <c r="B843" s="1" t="n">
        <v>45973</v>
      </c>
      <c r="C843" s="1" t="n">
        <v>46178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21723-2026</t>
        </is>
      </c>
      <c r="B844" s="1" t="n">
        <v>46149.60815972222</v>
      </c>
      <c r="C844" s="1" t="n">
        <v>46178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56049-2025</t>
        </is>
      </c>
      <c r="B845" s="1" t="n">
        <v>45973.62686342592</v>
      </c>
      <c r="C845" s="1" t="n">
        <v>46178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8537-2023</t>
        </is>
      </c>
      <c r="B846" s="1" t="n">
        <v>44977</v>
      </c>
      <c r="C846" s="1" t="n">
        <v>46178</v>
      </c>
      <c r="D846" t="inlineStr">
        <is>
          <t>DALARNAS LÄN</t>
        </is>
      </c>
      <c r="E846" t="inlineStr">
        <is>
          <t>RÄTTVIK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15776-2026</t>
        </is>
      </c>
      <c r="B847" s="1" t="n">
        <v>46107</v>
      </c>
      <c r="C847" s="1" t="n">
        <v>46178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16044-2026</t>
        </is>
      </c>
      <c r="B848" s="1" t="n">
        <v>46108.47385416667</v>
      </c>
      <c r="C848" s="1" t="n">
        <v>46178</v>
      </c>
      <c r="D848" t="inlineStr">
        <is>
          <t>DALARNAS LÄN</t>
        </is>
      </c>
      <c r="E848" t="inlineStr">
        <is>
          <t>RÄTTVIK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43563-2024</t>
        </is>
      </c>
      <c r="B849" s="1" t="n">
        <v>45569.40421296296</v>
      </c>
      <c r="C849" s="1" t="n">
        <v>46178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55624-2025</t>
        </is>
      </c>
      <c r="B850" s="1" t="n">
        <v>45972.31445601852</v>
      </c>
      <c r="C850" s="1" t="n">
        <v>46178</v>
      </c>
      <c r="D850" t="inlineStr">
        <is>
          <t>DALARNAS LÄN</t>
        </is>
      </c>
      <c r="E850" t="inlineStr">
        <is>
          <t>RÄTTVIK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5568-2026</t>
        </is>
      </c>
      <c r="B851" s="1" t="n">
        <v>46050</v>
      </c>
      <c r="C851" s="1" t="n">
        <v>46178</v>
      </c>
      <c r="D851" t="inlineStr">
        <is>
          <t>DALARNAS LÄN</t>
        </is>
      </c>
      <c r="E851" t="inlineStr">
        <is>
          <t>RÄTTVIK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56492-2025</t>
        </is>
      </c>
      <c r="B852" s="1" t="n">
        <v>45974</v>
      </c>
      <c r="C852" s="1" t="n">
        <v>46178</v>
      </c>
      <c r="D852" t="inlineStr">
        <is>
          <t>DALARNAS LÄN</t>
        </is>
      </c>
      <c r="E852" t="inlineStr">
        <is>
          <t>RÄTTVIK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36519-2024</t>
        </is>
      </c>
      <c r="B853" s="1" t="n">
        <v>45537.43009259259</v>
      </c>
      <c r="C853" s="1" t="n">
        <v>46178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16249-2026</t>
        </is>
      </c>
      <c r="B854" s="1" t="n">
        <v>46111.46751157408</v>
      </c>
      <c r="C854" s="1" t="n">
        <v>46178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4365-2025</t>
        </is>
      </c>
      <c r="B855" s="1" t="n">
        <v>45686.34302083333</v>
      </c>
      <c r="C855" s="1" t="n">
        <v>46178</v>
      </c>
      <c r="D855" t="inlineStr">
        <is>
          <t>DALARNAS LÄN</t>
        </is>
      </c>
      <c r="E855" t="inlineStr">
        <is>
          <t>RÄTTVIK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56236-2025</t>
        </is>
      </c>
      <c r="B856" s="1" t="n">
        <v>45974.53908564815</v>
      </c>
      <c r="C856" s="1" t="n">
        <v>46178</v>
      </c>
      <c r="D856" t="inlineStr">
        <is>
          <t>DALARNAS LÄN</t>
        </is>
      </c>
      <c r="E856" t="inlineStr">
        <is>
          <t>RÄTTVIK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56377-2025</t>
        </is>
      </c>
      <c r="B857" s="1" t="n">
        <v>45974.70085648148</v>
      </c>
      <c r="C857" s="1" t="n">
        <v>46178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16209-2026</t>
        </is>
      </c>
      <c r="B858" s="1" t="n">
        <v>46111</v>
      </c>
      <c r="C858" s="1" t="n">
        <v>46178</v>
      </c>
      <c r="D858" t="inlineStr">
        <is>
          <t>DALARNAS LÄN</t>
        </is>
      </c>
      <c r="E858" t="inlineStr">
        <is>
          <t>RÄTTVIK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56628-2025</t>
        </is>
      </c>
      <c r="B859" s="1" t="n">
        <v>45975.60946759259</v>
      </c>
      <c r="C859" s="1" t="n">
        <v>46178</v>
      </c>
      <c r="D859" t="inlineStr">
        <is>
          <t>DALARNAS LÄN</t>
        </is>
      </c>
      <c r="E859" t="inlineStr">
        <is>
          <t>RÄTTVIK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16339-2026</t>
        </is>
      </c>
      <c r="B860" s="1" t="n">
        <v>46111.5813425926</v>
      </c>
      <c r="C860" s="1" t="n">
        <v>46178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22019-2026</t>
        </is>
      </c>
      <c r="B861" s="1" t="n">
        <v>46153.40501157408</v>
      </c>
      <c r="C861" s="1" t="n">
        <v>46178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59307-2022</t>
        </is>
      </c>
      <c r="B862" s="1" t="n">
        <v>44897</v>
      </c>
      <c r="C862" s="1" t="n">
        <v>46178</v>
      </c>
      <c r="D862" t="inlineStr">
        <is>
          <t>DALARNAS LÄN</t>
        </is>
      </c>
      <c r="E862" t="inlineStr">
        <is>
          <t>RÄTTVIK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16649-2026</t>
        </is>
      </c>
      <c r="B863" s="1" t="n">
        <v>46112.64055555555</v>
      </c>
      <c r="C863" s="1" t="n">
        <v>46178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16241-2026</t>
        </is>
      </c>
      <c r="B864" s="1" t="n">
        <v>46111.45780092593</v>
      </c>
      <c r="C864" s="1" t="n">
        <v>46178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22018-2026</t>
        </is>
      </c>
      <c r="B865" s="1" t="n">
        <v>46153.40278935185</v>
      </c>
      <c r="C865" s="1" t="n">
        <v>46178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16626-2026</t>
        </is>
      </c>
      <c r="B866" s="1" t="n">
        <v>46112.61127314815</v>
      </c>
      <c r="C866" s="1" t="n">
        <v>46178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12.1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30578-2022</t>
        </is>
      </c>
      <c r="B867" s="1" t="n">
        <v>44762.63053240741</v>
      </c>
      <c r="C867" s="1" t="n">
        <v>46178</v>
      </c>
      <c r="D867" t="inlineStr">
        <is>
          <t>DALARNAS LÄN</t>
        </is>
      </c>
      <c r="E867" t="inlineStr">
        <is>
          <t>RÄTTVIK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22638-2026</t>
        </is>
      </c>
      <c r="B868" s="1" t="n">
        <v>46155.64909722222</v>
      </c>
      <c r="C868" s="1" t="n">
        <v>46178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5520-2024</t>
        </is>
      </c>
      <c r="B869" s="1" t="n">
        <v>45334.37760416666</v>
      </c>
      <c r="C869" s="1" t="n">
        <v>46178</v>
      </c>
      <c r="D869" t="inlineStr">
        <is>
          <t>DALARNAS LÄN</t>
        </is>
      </c>
      <c r="E869" t="inlineStr">
        <is>
          <t>RÄTTVIK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55920-2024</t>
        </is>
      </c>
      <c r="B870" s="1" t="n">
        <v>45623.59871527777</v>
      </c>
      <c r="C870" s="1" t="n">
        <v>46178</v>
      </c>
      <c r="D870" t="inlineStr">
        <is>
          <t>DALARNAS LÄN</t>
        </is>
      </c>
      <c r="E870" t="inlineStr">
        <is>
          <t>RÄTTVIK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22518-2026</t>
        </is>
      </c>
      <c r="B871" s="1" t="n">
        <v>46155.46189814815</v>
      </c>
      <c r="C871" s="1" t="n">
        <v>46178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16718-2026</t>
        </is>
      </c>
      <c r="B872" s="1" t="n">
        <v>46113</v>
      </c>
      <c r="C872" s="1" t="n">
        <v>46178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37131-2024</t>
        </is>
      </c>
      <c r="B873" s="1" t="n">
        <v>45539.57195601852</v>
      </c>
      <c r="C873" s="1" t="n">
        <v>46178</v>
      </c>
      <c r="D873" t="inlineStr">
        <is>
          <t>DALARNAS LÄN</t>
        </is>
      </c>
      <c r="E873" t="inlineStr">
        <is>
          <t>RÄTTVIK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17095-2026</t>
        </is>
      </c>
      <c r="B874" s="1" t="n">
        <v>46114.58646990741</v>
      </c>
      <c r="C874" s="1" t="n">
        <v>46178</v>
      </c>
      <c r="D874" t="inlineStr">
        <is>
          <t>DALARNAS LÄN</t>
        </is>
      </c>
      <c r="E874" t="inlineStr">
        <is>
          <t>RÄTTVIK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17096-2026</t>
        </is>
      </c>
      <c r="B875" s="1" t="n">
        <v>46114.58831018519</v>
      </c>
      <c r="C875" s="1" t="n">
        <v>46178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16818-2026</t>
        </is>
      </c>
      <c r="B876" s="1" t="n">
        <v>46113</v>
      </c>
      <c r="C876" s="1" t="n">
        <v>46178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57505-2025</t>
        </is>
      </c>
      <c r="B877" s="1" t="n">
        <v>45980.59570601852</v>
      </c>
      <c r="C877" s="1" t="n">
        <v>46178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57520-2025</t>
        </is>
      </c>
      <c r="B878" s="1" t="n">
        <v>45980.62126157407</v>
      </c>
      <c r="C878" s="1" t="n">
        <v>46178</v>
      </c>
      <c r="D878" t="inlineStr">
        <is>
          <t>DALARNAS LÄN</t>
        </is>
      </c>
      <c r="E878" t="inlineStr">
        <is>
          <t>RÄTTVIK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16715-2026</t>
        </is>
      </c>
      <c r="B879" s="1" t="n">
        <v>46113</v>
      </c>
      <c r="C879" s="1" t="n">
        <v>46178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22741-2026</t>
        </is>
      </c>
      <c r="B880" s="1" t="n">
        <v>46157.41324074074</v>
      </c>
      <c r="C880" s="1" t="n">
        <v>46178</v>
      </c>
      <c r="D880" t="inlineStr">
        <is>
          <t>DALARNAS LÄN</t>
        </is>
      </c>
      <c r="E880" t="inlineStr">
        <is>
          <t>RÄTTVIK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57820-2025</t>
        </is>
      </c>
      <c r="B881" s="1" t="n">
        <v>45981.60518518519</v>
      </c>
      <c r="C881" s="1" t="n">
        <v>46178</v>
      </c>
      <c r="D881" t="inlineStr">
        <is>
          <t>DALARNAS LÄN</t>
        </is>
      </c>
      <c r="E881" t="inlineStr">
        <is>
          <t>RÄTTVIK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60126-2022</t>
        </is>
      </c>
      <c r="B882" s="1" t="n">
        <v>44909</v>
      </c>
      <c r="C882" s="1" t="n">
        <v>46178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HYPERLINK("https://klasma.github.io/Logging_2031/knärot/A 60126-2022 karta knärot.png", "A 60126-2022")</f>
        <v/>
      </c>
      <c r="V882">
        <f>HYPERLINK("https://klasma.github.io/Logging_2031/klagomål/A 60126-2022 FSC-klagomål.docx", "A 60126-2022")</f>
        <v/>
      </c>
      <c r="W882">
        <f>HYPERLINK("https://klasma.github.io/Logging_2031/klagomålsmail/A 60126-2022 FSC-klagomål mail.docx", "A 60126-2022")</f>
        <v/>
      </c>
      <c r="X882">
        <f>HYPERLINK("https://klasma.github.io/Logging_2031/tillsyn/A 60126-2022 tillsynsbegäran.docx", "A 60126-2022")</f>
        <v/>
      </c>
      <c r="Y882">
        <f>HYPERLINK("https://klasma.github.io/Logging_2031/tillsynsmail/A 60126-2022 tillsynsbegäran mail.docx", "A 60126-2022")</f>
        <v/>
      </c>
    </row>
    <row r="883" ht="15" customHeight="1">
      <c r="A883" t="inlineStr">
        <is>
          <t>A 6489-2026</t>
        </is>
      </c>
      <c r="B883" s="1" t="n">
        <v>46056</v>
      </c>
      <c r="C883" s="1" t="n">
        <v>46178</v>
      </c>
      <c r="D883" t="inlineStr">
        <is>
          <t>DALARNAS LÄN</t>
        </is>
      </c>
      <c r="E883" t="inlineStr">
        <is>
          <t>RÄTTVIK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58317-2025</t>
        </is>
      </c>
      <c r="B884" s="1" t="n">
        <v>45985.47201388889</v>
      </c>
      <c r="C884" s="1" t="n">
        <v>46178</v>
      </c>
      <c r="D884" t="inlineStr">
        <is>
          <t>DALARNAS LÄN</t>
        </is>
      </c>
      <c r="E884" t="inlineStr">
        <is>
          <t>RÄTTVIK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58233-2025</t>
        </is>
      </c>
      <c r="B885" s="1" t="n">
        <v>45985.38504629629</v>
      </c>
      <c r="C885" s="1" t="n">
        <v>46178</v>
      </c>
      <c r="D885" t="inlineStr">
        <is>
          <t>DALARNAS LÄN</t>
        </is>
      </c>
      <c r="E885" t="inlineStr">
        <is>
          <t>RÄTTVIK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61316-2024</t>
        </is>
      </c>
      <c r="B886" s="1" t="n">
        <v>45646.32006944445</v>
      </c>
      <c r="C886" s="1" t="n">
        <v>46178</v>
      </c>
      <c r="D886" t="inlineStr">
        <is>
          <t>DALARNAS LÄN</t>
        </is>
      </c>
      <c r="E886" t="inlineStr">
        <is>
          <t>RÄTTVIK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58381-2025</t>
        </is>
      </c>
      <c r="B887" s="1" t="n">
        <v>45985.54118055556</v>
      </c>
      <c r="C887" s="1" t="n">
        <v>46178</v>
      </c>
      <c r="D887" t="inlineStr">
        <is>
          <t>DALARNAS LÄN</t>
        </is>
      </c>
      <c r="E887" t="inlineStr">
        <is>
          <t>RÄTTVIK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60455-2022</t>
        </is>
      </c>
      <c r="B888" s="1" t="n">
        <v>44911</v>
      </c>
      <c r="C888" s="1" t="n">
        <v>46178</v>
      </c>
      <c r="D888" t="inlineStr">
        <is>
          <t>DALARNAS LÄN</t>
        </is>
      </c>
      <c r="E888" t="inlineStr">
        <is>
          <t>RÄTTVIK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58275-2025</t>
        </is>
      </c>
      <c r="B889" s="1" t="n">
        <v>45985.4344212963</v>
      </c>
      <c r="C889" s="1" t="n">
        <v>46178</v>
      </c>
      <c r="D889" t="inlineStr">
        <is>
          <t>DALARNAS LÄN</t>
        </is>
      </c>
      <c r="E889" t="inlineStr">
        <is>
          <t>RÄTTVIK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58260-2025</t>
        </is>
      </c>
      <c r="B890" s="1" t="n">
        <v>45985.41136574074</v>
      </c>
      <c r="C890" s="1" t="n">
        <v>46178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58273-2025</t>
        </is>
      </c>
      <c r="B891" s="1" t="n">
        <v>45985.42835648148</v>
      </c>
      <c r="C891" s="1" t="n">
        <v>46178</v>
      </c>
      <c r="D891" t="inlineStr">
        <is>
          <t>DALARNAS LÄN</t>
        </is>
      </c>
      <c r="E891" t="inlineStr">
        <is>
          <t>RÄTTVIK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58340-2025</t>
        </is>
      </c>
      <c r="B892" s="1" t="n">
        <v>45985.4952662037</v>
      </c>
      <c r="C892" s="1" t="n">
        <v>46178</v>
      </c>
      <c r="D892" t="inlineStr">
        <is>
          <t>DALARNAS LÄN</t>
        </is>
      </c>
      <c r="E892" t="inlineStr">
        <is>
          <t>RÄTTVIK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58361-2025</t>
        </is>
      </c>
      <c r="B893" s="1" t="n">
        <v>45985.51872685185</v>
      </c>
      <c r="C893" s="1" t="n">
        <v>46178</v>
      </c>
      <c r="D893" t="inlineStr">
        <is>
          <t>DALARNAS LÄN</t>
        </is>
      </c>
      <c r="E893" t="inlineStr">
        <is>
          <t>RÄTTVIK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58334-2025</t>
        </is>
      </c>
      <c r="B894" s="1" t="n">
        <v>45985.48290509259</v>
      </c>
      <c r="C894" s="1" t="n">
        <v>46178</v>
      </c>
      <c r="D894" t="inlineStr">
        <is>
          <t>DALARNAS LÄN</t>
        </is>
      </c>
      <c r="E894" t="inlineStr">
        <is>
          <t>RÄTTVIK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58433-2025</t>
        </is>
      </c>
      <c r="B895" s="1" t="n">
        <v>45985.6084837963</v>
      </c>
      <c r="C895" s="1" t="n">
        <v>46178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20167-2026</t>
        </is>
      </c>
      <c r="B896" s="1" t="n">
        <v>46139</v>
      </c>
      <c r="C896" s="1" t="n">
        <v>46178</v>
      </c>
      <c r="D896" t="inlineStr">
        <is>
          <t>DALARNAS LÄN</t>
        </is>
      </c>
      <c r="E896" t="inlineStr">
        <is>
          <t>RÄTTVIK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58564-2025</t>
        </is>
      </c>
      <c r="B897" s="1" t="n">
        <v>45986.36297453703</v>
      </c>
      <c r="C897" s="1" t="n">
        <v>46178</v>
      </c>
      <c r="D897" t="inlineStr">
        <is>
          <t>DALARNAS LÄN</t>
        </is>
      </c>
      <c r="E897" t="inlineStr">
        <is>
          <t>RÄTTVIK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69059-2021</t>
        </is>
      </c>
      <c r="B898" s="1" t="n">
        <v>44529</v>
      </c>
      <c r="C898" s="1" t="n">
        <v>46178</v>
      </c>
      <c r="D898" t="inlineStr">
        <is>
          <t>DALARNAS LÄN</t>
        </is>
      </c>
      <c r="E898" t="inlineStr">
        <is>
          <t>RÄTTVIK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17350-2026</t>
        </is>
      </c>
      <c r="B899" s="1" t="n">
        <v>46119.66238425926</v>
      </c>
      <c r="C899" s="1" t="n">
        <v>46178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5156-2024</t>
        </is>
      </c>
      <c r="B900" s="1" t="n">
        <v>45330</v>
      </c>
      <c r="C900" s="1" t="n">
        <v>46178</v>
      </c>
      <c r="D900" t="inlineStr">
        <is>
          <t>DALARNAS LÄN</t>
        </is>
      </c>
      <c r="E900" t="inlineStr">
        <is>
          <t>RÄTTVIK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6880-2026</t>
        </is>
      </c>
      <c r="B901" s="1" t="n">
        <v>46057</v>
      </c>
      <c r="C901" s="1" t="n">
        <v>46178</v>
      </c>
      <c r="D901" t="inlineStr">
        <is>
          <t>DALARNAS LÄN</t>
        </is>
      </c>
      <c r="E901" t="inlineStr">
        <is>
          <t>RÄTTVIK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58550-2025</t>
        </is>
      </c>
      <c r="B902" s="1" t="n">
        <v>45986.32636574074</v>
      </c>
      <c r="C902" s="1" t="n">
        <v>46178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17776-2026</t>
        </is>
      </c>
      <c r="B903" s="1" t="n">
        <v>46122.37085648148</v>
      </c>
      <c r="C903" s="1" t="n">
        <v>46178</v>
      </c>
      <c r="D903" t="inlineStr">
        <is>
          <t>DALARNAS LÄN</t>
        </is>
      </c>
      <c r="E903" t="inlineStr">
        <is>
          <t>RÄTTVIK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41295-2023</t>
        </is>
      </c>
      <c r="B904" s="1" t="n">
        <v>45174.59534722222</v>
      </c>
      <c r="C904" s="1" t="n">
        <v>46178</v>
      </c>
      <c r="D904" t="inlineStr">
        <is>
          <t>DALARNAS LÄN</t>
        </is>
      </c>
      <c r="E904" t="inlineStr">
        <is>
          <t>RÄTTVIK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58844-2025</t>
        </is>
      </c>
      <c r="B905" s="1" t="n">
        <v>45987.38523148148</v>
      </c>
      <c r="C905" s="1" t="n">
        <v>46178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23774-2026</t>
        </is>
      </c>
      <c r="B906" s="1" t="n">
        <v>46164.57511574074</v>
      </c>
      <c r="C906" s="1" t="n">
        <v>46178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17865-2026</t>
        </is>
      </c>
      <c r="B907" s="1" t="n">
        <v>46122</v>
      </c>
      <c r="C907" s="1" t="n">
        <v>46178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21497-2026</t>
        </is>
      </c>
      <c r="B908" s="1" t="n">
        <v>46148</v>
      </c>
      <c r="C908" s="1" t="n">
        <v>46178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53127-2025</t>
        </is>
      </c>
      <c r="B909" s="1" t="n">
        <v>45957</v>
      </c>
      <c r="C909" s="1" t="n">
        <v>46178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17735-2026</t>
        </is>
      </c>
      <c r="B910" s="1" t="n">
        <v>46122.2734375</v>
      </c>
      <c r="C910" s="1" t="n">
        <v>46178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17870-2026</t>
        </is>
      </c>
      <c r="B911" s="1" t="n">
        <v>46122</v>
      </c>
      <c r="C911" s="1" t="n">
        <v>46178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58549-2025</t>
        </is>
      </c>
      <c r="B912" s="1" t="n">
        <v>45986.32357638889</v>
      </c>
      <c r="C912" s="1" t="n">
        <v>46178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18245-2026</t>
        </is>
      </c>
      <c r="B913" s="1" t="n">
        <v>46126.3561574074</v>
      </c>
      <c r="C913" s="1" t="n">
        <v>46178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öst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22636-2026</t>
        </is>
      </c>
      <c r="B914" s="1" t="n">
        <v>46155</v>
      </c>
      <c r="C914" s="1" t="n">
        <v>46178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42404-2024</t>
        </is>
      </c>
      <c r="B915" s="1" t="n">
        <v>45565.3477662037</v>
      </c>
      <c r="C915" s="1" t="n">
        <v>46178</v>
      </c>
      <c r="D915" t="inlineStr">
        <is>
          <t>DALARNAS LÄN</t>
        </is>
      </c>
      <c r="E915" t="inlineStr">
        <is>
          <t>RÄTTVIK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58484-2023</t>
        </is>
      </c>
      <c r="B916" s="1" t="n">
        <v>45251</v>
      </c>
      <c r="C916" s="1" t="n">
        <v>46178</v>
      </c>
      <c r="D916" t="inlineStr">
        <is>
          <t>DALARNAS LÄN</t>
        </is>
      </c>
      <c r="E916" t="inlineStr">
        <is>
          <t>RÄTTVIK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10759-2026</t>
        </is>
      </c>
      <c r="B917" s="1" t="n">
        <v>46078</v>
      </c>
      <c r="C917" s="1" t="n">
        <v>46178</v>
      </c>
      <c r="D917" t="inlineStr">
        <is>
          <t>DALARNAS LÄN</t>
        </is>
      </c>
      <c r="E917" t="inlineStr">
        <is>
          <t>RÄTTVIK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18389-2026</t>
        </is>
      </c>
      <c r="B918" s="1" t="n">
        <v>46126.65469907408</v>
      </c>
      <c r="C918" s="1" t="n">
        <v>46178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öst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22803-2026</t>
        </is>
      </c>
      <c r="B919" s="1" t="n">
        <v>46159</v>
      </c>
      <c r="C919" s="1" t="n">
        <v>46178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2101-2025</t>
        </is>
      </c>
      <c r="B920" s="1" t="n">
        <v>45672</v>
      </c>
      <c r="C920" s="1" t="n">
        <v>46178</v>
      </c>
      <c r="D920" t="inlineStr">
        <is>
          <t>DALARNAS LÄN</t>
        </is>
      </c>
      <c r="E920" t="inlineStr">
        <is>
          <t>RÄTTVIK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18001-2026</t>
        </is>
      </c>
      <c r="B921" s="1" t="n">
        <v>46125.27674768519</v>
      </c>
      <c r="C921" s="1" t="n">
        <v>46178</v>
      </c>
      <c r="D921" t="inlineStr">
        <is>
          <t>DALARNAS LÄN</t>
        </is>
      </c>
      <c r="E921" t="inlineStr">
        <is>
          <t>RÄTTVIK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58714-2025</t>
        </is>
      </c>
      <c r="B922" s="1" t="n">
        <v>45986.61253472222</v>
      </c>
      <c r="C922" s="1" t="n">
        <v>46178</v>
      </c>
      <c r="D922" t="inlineStr">
        <is>
          <t>DALARNAS LÄN</t>
        </is>
      </c>
      <c r="E922" t="inlineStr">
        <is>
          <t>RÄTTVIK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23986-2026</t>
        </is>
      </c>
      <c r="B923" s="1" t="n">
        <v>46167.60292824074</v>
      </c>
      <c r="C923" s="1" t="n">
        <v>46178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57205-2023</t>
        </is>
      </c>
      <c r="B924" s="1" t="n">
        <v>45245.48171296297</v>
      </c>
      <c r="C924" s="1" t="n">
        <v>46178</v>
      </c>
      <c r="D924" t="inlineStr">
        <is>
          <t>DALARNAS LÄN</t>
        </is>
      </c>
      <c r="E924" t="inlineStr">
        <is>
          <t>RÄTTVIK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55271-2024</t>
        </is>
      </c>
      <c r="B925" s="1" t="n">
        <v>45621.61481481481</v>
      </c>
      <c r="C925" s="1" t="n">
        <v>46178</v>
      </c>
      <c r="D925" t="inlineStr">
        <is>
          <t>DALARNAS LÄN</t>
        </is>
      </c>
      <c r="E925" t="inlineStr">
        <is>
          <t>RÄTTVIK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59413-2025</t>
        </is>
      </c>
      <c r="B926" s="1" t="n">
        <v>45989.49912037037</v>
      </c>
      <c r="C926" s="1" t="n">
        <v>46178</v>
      </c>
      <c r="D926" t="inlineStr">
        <is>
          <t>DALARNAS LÄN</t>
        </is>
      </c>
      <c r="E926" t="inlineStr">
        <is>
          <t>RÄTTVIK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59060-2025</t>
        </is>
      </c>
      <c r="B927" s="1" t="n">
        <v>45988.40418981481</v>
      </c>
      <c r="C927" s="1" t="n">
        <v>46178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23946-2026</t>
        </is>
      </c>
      <c r="B928" s="1" t="n">
        <v>46167.56157407408</v>
      </c>
      <c r="C928" s="1" t="n">
        <v>46178</v>
      </c>
      <c r="D928" t="inlineStr">
        <is>
          <t>DALARNAS LÄN</t>
        </is>
      </c>
      <c r="E928" t="inlineStr">
        <is>
          <t>RÄTTVIK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59500-2025</t>
        </is>
      </c>
      <c r="B929" s="1" t="n">
        <v>45989.61996527778</v>
      </c>
      <c r="C929" s="1" t="n">
        <v>46178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37591-2024</t>
        </is>
      </c>
      <c r="B930" s="1" t="n">
        <v>45541.46949074074</v>
      </c>
      <c r="C930" s="1" t="n">
        <v>46178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59504-2025</t>
        </is>
      </c>
      <c r="B931" s="1" t="n">
        <v>45989.62903935185</v>
      </c>
      <c r="C931" s="1" t="n">
        <v>46178</v>
      </c>
      <c r="D931" t="inlineStr">
        <is>
          <t>DALARNAS LÄN</t>
        </is>
      </c>
      <c r="E931" t="inlineStr">
        <is>
          <t>RÄTTVIK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10513-2025</t>
        </is>
      </c>
      <c r="B932" s="1" t="n">
        <v>45721.41333333333</v>
      </c>
      <c r="C932" s="1" t="n">
        <v>46178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40021-2023</t>
        </is>
      </c>
      <c r="B933" s="1" t="n">
        <v>45167</v>
      </c>
      <c r="C933" s="1" t="n">
        <v>46178</v>
      </c>
      <c r="D933" t="inlineStr">
        <is>
          <t>DALARNAS LÄN</t>
        </is>
      </c>
      <c r="E933" t="inlineStr">
        <is>
          <t>RÄTTVIK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33838-2024</t>
        </is>
      </c>
      <c r="B934" s="1" t="n">
        <v>45520.62771990741</v>
      </c>
      <c r="C934" s="1" t="n">
        <v>46178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44499-2022</t>
        </is>
      </c>
      <c r="B935" s="1" t="n">
        <v>44840</v>
      </c>
      <c r="C935" s="1" t="n">
        <v>46178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59721-2025</t>
        </is>
      </c>
      <c r="B936" s="1" t="n">
        <v>45992.546875</v>
      </c>
      <c r="C936" s="1" t="n">
        <v>46178</v>
      </c>
      <c r="D936" t="inlineStr">
        <is>
          <t>DALARNAS LÄN</t>
        </is>
      </c>
      <c r="E936" t="inlineStr">
        <is>
          <t>RÄTTVIK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6195-2023</t>
        </is>
      </c>
      <c r="B937" s="1" t="n">
        <v>44964.7396875</v>
      </c>
      <c r="C937" s="1" t="n">
        <v>46178</v>
      </c>
      <c r="D937" t="inlineStr">
        <is>
          <t>DALARNAS LÄN</t>
        </is>
      </c>
      <c r="E937" t="inlineStr">
        <is>
          <t>RÄTTVIK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18989-2026</t>
        </is>
      </c>
      <c r="B938" s="1" t="n">
        <v>46129</v>
      </c>
      <c r="C938" s="1" t="n">
        <v>46178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24764-2026</t>
        </is>
      </c>
      <c r="B939" s="1" t="n">
        <v>46171.62608796296</v>
      </c>
      <c r="C939" s="1" t="n">
        <v>46178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18.7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18753-2026</t>
        </is>
      </c>
      <c r="B940" s="1" t="n">
        <v>46128</v>
      </c>
      <c r="C940" s="1" t="n">
        <v>46178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60114-2025</t>
        </is>
      </c>
      <c r="B941" s="1" t="n">
        <v>45994.31027777777</v>
      </c>
      <c r="C941" s="1" t="n">
        <v>46178</v>
      </c>
      <c r="D941" t="inlineStr">
        <is>
          <t>DALARNAS LÄN</t>
        </is>
      </c>
      <c r="E941" t="inlineStr">
        <is>
          <t>RÄTTVIK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18751-2026</t>
        </is>
      </c>
      <c r="B942" s="1" t="n">
        <v>46128.54353009259</v>
      </c>
      <c r="C942" s="1" t="n">
        <v>46178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36455-2024</t>
        </is>
      </c>
      <c r="B943" s="1" t="n">
        <v>45537.34337962963</v>
      </c>
      <c r="C943" s="1" t="n">
        <v>46178</v>
      </c>
      <c r="D943" t="inlineStr">
        <is>
          <t>DALARNAS LÄN</t>
        </is>
      </c>
      <c r="E943" t="inlineStr">
        <is>
          <t>RÄTTVIK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18968-2026</t>
        </is>
      </c>
      <c r="B944" s="1" t="n">
        <v>46129</v>
      </c>
      <c r="C944" s="1" t="n">
        <v>46178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60288-2025</t>
        </is>
      </c>
      <c r="B945" s="1" t="n">
        <v>45994.65038194445</v>
      </c>
      <c r="C945" s="1" t="n">
        <v>46178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18527-2026</t>
        </is>
      </c>
      <c r="B946" s="1" t="n">
        <v>46127</v>
      </c>
      <c r="C946" s="1" t="n">
        <v>46178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18994-2026</t>
        </is>
      </c>
      <c r="B947" s="1" t="n">
        <v>46129</v>
      </c>
      <c r="C947" s="1" t="n">
        <v>46178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60302-2025</t>
        </is>
      </c>
      <c r="B948" s="1" t="n">
        <v>45994.6740162037</v>
      </c>
      <c r="C948" s="1" t="n">
        <v>46178</v>
      </c>
      <c r="D948" t="inlineStr">
        <is>
          <t>DALARNAS LÄN</t>
        </is>
      </c>
      <c r="E948" t="inlineStr">
        <is>
          <t>RÄTTVIK</t>
        </is>
      </c>
      <c r="F948" t="inlineStr">
        <is>
          <t>Övriga statliga verk och myndigheter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60298-2023</t>
        </is>
      </c>
      <c r="B949" s="1" t="n">
        <v>45257</v>
      </c>
      <c r="C949" s="1" t="n">
        <v>46178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18578-2026</t>
        </is>
      </c>
      <c r="B950" s="1" t="n">
        <v>46127</v>
      </c>
      <c r="C950" s="1" t="n">
        <v>46178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60823-2025</t>
        </is>
      </c>
      <c r="B951" s="1" t="n">
        <v>45999.45813657407</v>
      </c>
      <c r="C951" s="1" t="n">
        <v>46178</v>
      </c>
      <c r="D951" t="inlineStr">
        <is>
          <t>DALARNAS LÄN</t>
        </is>
      </c>
      <c r="E951" t="inlineStr">
        <is>
          <t>RÄTTVIK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36459-2024</t>
        </is>
      </c>
      <c r="B952" s="1" t="n">
        <v>45537.34924768518</v>
      </c>
      <c r="C952" s="1" t="n">
        <v>46178</v>
      </c>
      <c r="D952" t="inlineStr">
        <is>
          <t>DALARNAS LÄN</t>
        </is>
      </c>
      <c r="E952" t="inlineStr">
        <is>
          <t>RÄTTVIK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54243-2024</t>
        </is>
      </c>
      <c r="B953" s="1" t="n">
        <v>45616.67972222222</v>
      </c>
      <c r="C953" s="1" t="n">
        <v>46178</v>
      </c>
      <c r="D953" t="inlineStr">
        <is>
          <t>DALARNAS LÄN</t>
        </is>
      </c>
      <c r="E953" t="inlineStr">
        <is>
          <t>RÄTTVIK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60828-2025</t>
        </is>
      </c>
      <c r="B954" s="1" t="n">
        <v>45999.46466435185</v>
      </c>
      <c r="C954" s="1" t="n">
        <v>46178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18955-2026</t>
        </is>
      </c>
      <c r="B955" s="1" t="n">
        <v>46129</v>
      </c>
      <c r="C955" s="1" t="n">
        <v>46178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61213-2025</t>
        </is>
      </c>
      <c r="B956" s="1" t="n">
        <v>46000.61697916667</v>
      </c>
      <c r="C956" s="1" t="n">
        <v>46178</v>
      </c>
      <c r="D956" t="inlineStr">
        <is>
          <t>DALARNAS LÄN</t>
        </is>
      </c>
      <c r="E956" t="inlineStr">
        <is>
          <t>RÄTTVIK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18558-2026</t>
        </is>
      </c>
      <c r="B957" s="1" t="n">
        <v>46127</v>
      </c>
      <c r="C957" s="1" t="n">
        <v>46178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18985-2026</t>
        </is>
      </c>
      <c r="B958" s="1" t="n">
        <v>46129</v>
      </c>
      <c r="C958" s="1" t="n">
        <v>46178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61057-2025</t>
        </is>
      </c>
      <c r="B959" s="1" t="n">
        <v>46000</v>
      </c>
      <c r="C959" s="1" t="n">
        <v>46178</v>
      </c>
      <c r="D959" t="inlineStr">
        <is>
          <t>DALARNAS LÄN</t>
        </is>
      </c>
      <c r="E959" t="inlineStr">
        <is>
          <t>RÄTTVIK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61117-2025</t>
        </is>
      </c>
      <c r="B960" s="1" t="n">
        <v>46000.46266203704</v>
      </c>
      <c r="C960" s="1" t="n">
        <v>46178</v>
      </c>
      <c r="D960" t="inlineStr">
        <is>
          <t>DALARNAS LÄN</t>
        </is>
      </c>
      <c r="E960" t="inlineStr">
        <is>
          <t>RÄTTVIK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61820-2025</t>
        </is>
      </c>
      <c r="B961" s="1" t="n">
        <v>46003.32678240741</v>
      </c>
      <c r="C961" s="1" t="n">
        <v>46178</v>
      </c>
      <c r="D961" t="inlineStr">
        <is>
          <t>DALARNAS LÄN</t>
        </is>
      </c>
      <c r="E961" t="inlineStr">
        <is>
          <t>RÄTTVIK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18516-2026</t>
        </is>
      </c>
      <c r="B962" s="1" t="n">
        <v>46127</v>
      </c>
      <c r="C962" s="1" t="n">
        <v>46178</v>
      </c>
      <c r="D962" t="inlineStr">
        <is>
          <t>DALARNAS LÄN</t>
        </is>
      </c>
      <c r="E962" t="inlineStr">
        <is>
          <t>RÄTTVIK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42933-2024</t>
        </is>
      </c>
      <c r="B963" s="1" t="n">
        <v>45567.33315972222</v>
      </c>
      <c r="C963" s="1" t="n">
        <v>46178</v>
      </c>
      <c r="D963" t="inlineStr">
        <is>
          <t>DALARNAS LÄN</t>
        </is>
      </c>
      <c r="E963" t="inlineStr">
        <is>
          <t>RÄTTVIK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14588-2025</t>
        </is>
      </c>
      <c r="B964" s="1" t="n">
        <v>45742.32850694445</v>
      </c>
      <c r="C964" s="1" t="n">
        <v>46178</v>
      </c>
      <c r="D964" t="inlineStr">
        <is>
          <t>DALARNAS LÄN</t>
        </is>
      </c>
      <c r="E964" t="inlineStr">
        <is>
          <t>RÄTTVIK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61662-2025</t>
        </is>
      </c>
      <c r="B965" s="1" t="n">
        <v>46002.46839120371</v>
      </c>
      <c r="C965" s="1" t="n">
        <v>46178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20245-2026</t>
        </is>
      </c>
      <c r="B966" s="1" t="n">
        <v>46139</v>
      </c>
      <c r="C966" s="1" t="n">
        <v>46178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19243-2026</t>
        </is>
      </c>
      <c r="B967" s="1" t="n">
        <v>46132</v>
      </c>
      <c r="C967" s="1" t="n">
        <v>46178</v>
      </c>
      <c r="D967" t="inlineStr">
        <is>
          <t>DALARNAS LÄN</t>
        </is>
      </c>
      <c r="E967" t="inlineStr">
        <is>
          <t>RÄTTVIK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19378-2026</t>
        </is>
      </c>
      <c r="B968" s="1" t="n">
        <v>46133</v>
      </c>
      <c r="C968" s="1" t="n">
        <v>46178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25088-2026</t>
        </is>
      </c>
      <c r="B969" s="1" t="n">
        <v>46175.29513888889</v>
      </c>
      <c r="C969" s="1" t="n">
        <v>46178</v>
      </c>
      <c r="D969" t="inlineStr">
        <is>
          <t>DALARNAS LÄN</t>
        </is>
      </c>
      <c r="E969" t="inlineStr">
        <is>
          <t>RÄTTVIK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19244-2026</t>
        </is>
      </c>
      <c r="B970" s="1" t="n">
        <v>46132</v>
      </c>
      <c r="C970" s="1" t="n">
        <v>46178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46481-2025</t>
        </is>
      </c>
      <c r="B971" s="1" t="n">
        <v>45925.70106481481</v>
      </c>
      <c r="C971" s="1" t="n">
        <v>46178</v>
      </c>
      <c r="D971" t="inlineStr">
        <is>
          <t>DALARNAS LÄN</t>
        </is>
      </c>
      <c r="E971" t="inlineStr">
        <is>
          <t>RÄTTVIK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62540-2025</t>
        </is>
      </c>
      <c r="B972" s="1" t="n">
        <v>46007.64381944444</v>
      </c>
      <c r="C972" s="1" t="n">
        <v>46178</v>
      </c>
      <c r="D972" t="inlineStr">
        <is>
          <t>DALARNAS LÄN</t>
        </is>
      </c>
      <c r="E972" t="inlineStr">
        <is>
          <t>RÄTTVIK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28014-2022</t>
        </is>
      </c>
      <c r="B973" s="1" t="n">
        <v>44746</v>
      </c>
      <c r="C973" s="1" t="n">
        <v>46178</v>
      </c>
      <c r="D973" t="inlineStr">
        <is>
          <t>DALARNAS LÄN</t>
        </is>
      </c>
      <c r="E973" t="inlineStr">
        <is>
          <t>RÄTTVIK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19230-2026</t>
        </is>
      </c>
      <c r="B974" s="1" t="n">
        <v>46132</v>
      </c>
      <c r="C974" s="1" t="n">
        <v>46178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46.6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19249-2026</t>
        </is>
      </c>
      <c r="B975" s="1" t="n">
        <v>46132</v>
      </c>
      <c r="C975" s="1" t="n">
        <v>46178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61996-2022</t>
        </is>
      </c>
      <c r="B976" s="1" t="n">
        <v>44914</v>
      </c>
      <c r="C976" s="1" t="n">
        <v>46178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5622-2023</t>
        </is>
      </c>
      <c r="B977" s="1" t="n">
        <v>44960.57613425926</v>
      </c>
      <c r="C977" s="1" t="n">
        <v>46178</v>
      </c>
      <c r="D977" t="inlineStr">
        <is>
          <t>DALARNAS LÄN</t>
        </is>
      </c>
      <c r="E977" t="inlineStr">
        <is>
          <t>RÄTTVIK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19247-2026</t>
        </is>
      </c>
      <c r="B978" s="1" t="n">
        <v>46132</v>
      </c>
      <c r="C978" s="1" t="n">
        <v>46178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13772-2025</t>
        </is>
      </c>
      <c r="B979" s="1" t="n">
        <v>45737.44092592593</v>
      </c>
      <c r="C979" s="1" t="n">
        <v>46178</v>
      </c>
      <c r="D979" t="inlineStr">
        <is>
          <t>DALARNAS LÄN</t>
        </is>
      </c>
      <c r="E979" t="inlineStr">
        <is>
          <t>RÄTTVIK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20113-2026</t>
        </is>
      </c>
      <c r="B980" s="1" t="n">
        <v>46136</v>
      </c>
      <c r="C980" s="1" t="n">
        <v>46178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63111-2025</t>
        </is>
      </c>
      <c r="B981" s="1" t="n">
        <v>46009</v>
      </c>
      <c r="C981" s="1" t="n">
        <v>46178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14633-2024</t>
        </is>
      </c>
      <c r="B982" s="1" t="n">
        <v>45397.34418981482</v>
      </c>
      <c r="C982" s="1" t="n">
        <v>46178</v>
      </c>
      <c r="D982" t="inlineStr">
        <is>
          <t>DALARNAS LÄN</t>
        </is>
      </c>
      <c r="E982" t="inlineStr">
        <is>
          <t>RÄTTVIK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25087-2026</t>
        </is>
      </c>
      <c r="B983" s="1" t="n">
        <v>46175.28740740741</v>
      </c>
      <c r="C983" s="1" t="n">
        <v>46178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61338-2023</t>
        </is>
      </c>
      <c r="B984" s="1" t="n">
        <v>45264.59304398148</v>
      </c>
      <c r="C984" s="1" t="n">
        <v>46178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10568-2026</t>
        </is>
      </c>
      <c r="B985" s="1" t="n">
        <v>46077</v>
      </c>
      <c r="C985" s="1" t="n">
        <v>46178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63302-2025</t>
        </is>
      </c>
      <c r="B986" s="1" t="n">
        <v>46010.61001157408</v>
      </c>
      <c r="C986" s="1" t="n">
        <v>46178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54821-2024</t>
        </is>
      </c>
      <c r="B987" s="1" t="n">
        <v>45618</v>
      </c>
      <c r="C987" s="1" t="n">
        <v>46178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63309-2025</t>
        </is>
      </c>
      <c r="B988" s="1" t="n">
        <v>46010.61806712963</v>
      </c>
      <c r="C988" s="1" t="n">
        <v>46178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63336-2025</t>
        </is>
      </c>
      <c r="B989" s="1" t="n">
        <v>46010.64998842592</v>
      </c>
      <c r="C989" s="1" t="n">
        <v>46178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63251-2025</t>
        </is>
      </c>
      <c r="B990" s="1" t="n">
        <v>46010.544375</v>
      </c>
      <c r="C990" s="1" t="n">
        <v>46178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63157-2025</t>
        </is>
      </c>
      <c r="B991" s="1" t="n">
        <v>46010.36474537037</v>
      </c>
      <c r="C991" s="1" t="n">
        <v>46178</v>
      </c>
      <c r="D991" t="inlineStr">
        <is>
          <t>DALARNAS LÄN</t>
        </is>
      </c>
      <c r="E991" t="inlineStr">
        <is>
          <t>RÄTTVIK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19354-2026</t>
        </is>
      </c>
      <c r="B992" s="1" t="n">
        <v>46133.47780092592</v>
      </c>
      <c r="C992" s="1" t="n">
        <v>46178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63429-2025</t>
        </is>
      </c>
      <c r="B993" s="1" t="n">
        <v>46013.3569212963</v>
      </c>
      <c r="C993" s="1" t="n">
        <v>46178</v>
      </c>
      <c r="D993" t="inlineStr">
        <is>
          <t>DALARNAS LÄN</t>
        </is>
      </c>
      <c r="E993" t="inlineStr">
        <is>
          <t>RÄTTVIK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3640-2024</t>
        </is>
      </c>
      <c r="B994" s="1" t="n">
        <v>45321.29981481482</v>
      </c>
      <c r="C994" s="1" t="n">
        <v>46178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3-2022</t>
        </is>
      </c>
      <c r="B995" s="1" t="n">
        <v>44562</v>
      </c>
      <c r="C995" s="1" t="n">
        <v>46178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42530-2023</t>
        </is>
      </c>
      <c r="B996" s="1" t="n">
        <v>45176</v>
      </c>
      <c r="C996" s="1" t="n">
        <v>46178</v>
      </c>
      <c r="D996" t="inlineStr">
        <is>
          <t>DALARNAS LÄN</t>
        </is>
      </c>
      <c r="E996" t="inlineStr">
        <is>
          <t>RÄTTVIK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25479-2026</t>
        </is>
      </c>
      <c r="B997" s="1" t="n">
        <v>46177.42521990741</v>
      </c>
      <c r="C997" s="1" t="n">
        <v>46178</v>
      </c>
      <c r="D997" t="inlineStr">
        <is>
          <t>DALARNAS LÄN</t>
        </is>
      </c>
      <c r="E997" t="inlineStr">
        <is>
          <t>RÄTTVIK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5953-2025</t>
        </is>
      </c>
      <c r="B998" s="1" t="n">
        <v>45695.47608796296</v>
      </c>
      <c r="C998" s="1" t="n">
        <v>46178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19514-2026</t>
        </is>
      </c>
      <c r="B999" s="1" t="n">
        <v>46134</v>
      </c>
      <c r="C999" s="1" t="n">
        <v>46178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38143-2023</t>
        </is>
      </c>
      <c r="B1000" s="1" t="n">
        <v>45161.3783912037</v>
      </c>
      <c r="C1000" s="1" t="n">
        <v>46178</v>
      </c>
      <c r="D1000" t="inlineStr">
        <is>
          <t>DALARNAS LÄN</t>
        </is>
      </c>
      <c r="E1000" t="inlineStr">
        <is>
          <t>RÄTTVIK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51041-2021</t>
        </is>
      </c>
      <c r="B1001" s="1" t="n">
        <v>44461</v>
      </c>
      <c r="C1001" s="1" t="n">
        <v>46178</v>
      </c>
      <c r="D1001" t="inlineStr">
        <is>
          <t>DALARNAS LÄN</t>
        </is>
      </c>
      <c r="E1001" t="inlineStr">
        <is>
          <t>RÄTTVIK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37249-2022</t>
        </is>
      </c>
      <c r="B1002" s="1" t="n">
        <v>44807.32344907407</v>
      </c>
      <c r="C1002" s="1" t="n">
        <v>46178</v>
      </c>
      <c r="D1002" t="inlineStr">
        <is>
          <t>DALARNAS LÄN</t>
        </is>
      </c>
      <c r="E1002" t="inlineStr">
        <is>
          <t>RÄTTVIK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40020-2021</t>
        </is>
      </c>
      <c r="B1003" s="1" t="n">
        <v>44418</v>
      </c>
      <c r="C1003" s="1" t="n">
        <v>46178</v>
      </c>
      <c r="D1003" t="inlineStr">
        <is>
          <t>DALARNAS LÄN</t>
        </is>
      </c>
      <c r="E1003" t="inlineStr">
        <is>
          <t>RÄTTVIK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20118-2026</t>
        </is>
      </c>
      <c r="B1004" s="1" t="n">
        <v>46136</v>
      </c>
      <c r="C1004" s="1" t="n">
        <v>46178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18735-2026</t>
        </is>
      </c>
      <c r="B1005" s="1" t="n">
        <v>46128</v>
      </c>
      <c r="C1005" s="1" t="n">
        <v>46178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21850-2025</t>
        </is>
      </c>
      <c r="B1006" s="1" t="n">
        <v>45784.34387731482</v>
      </c>
      <c r="C1006" s="1" t="n">
        <v>46178</v>
      </c>
      <c r="D1006" t="inlineStr">
        <is>
          <t>DALARNAS LÄN</t>
        </is>
      </c>
      <c r="E1006" t="inlineStr">
        <is>
          <t>RÄTTVIK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19779-2026</t>
        </is>
      </c>
      <c r="B1007" s="1" t="n">
        <v>46135.45109953704</v>
      </c>
      <c r="C1007" s="1" t="n">
        <v>46178</v>
      </c>
      <c r="D1007" t="inlineStr">
        <is>
          <t>DALARNAS LÄN</t>
        </is>
      </c>
      <c r="E1007" t="inlineStr">
        <is>
          <t>RÄTTVIK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62043-2023</t>
        </is>
      </c>
      <c r="B1008" s="1" t="n">
        <v>45265</v>
      </c>
      <c r="C1008" s="1" t="n">
        <v>46178</v>
      </c>
      <c r="D1008" t="inlineStr">
        <is>
          <t>DALARNAS LÄN</t>
        </is>
      </c>
      <c r="E1008" t="inlineStr">
        <is>
          <t>RÄTTVIK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17702-2026</t>
        </is>
      </c>
      <c r="B1009" s="1" t="n">
        <v>46121</v>
      </c>
      <c r="C1009" s="1" t="n">
        <v>46178</v>
      </c>
      <c r="D1009" t="inlineStr">
        <is>
          <t>DALARNAS LÄN</t>
        </is>
      </c>
      <c r="E1009" t="inlineStr">
        <is>
          <t>RÄTTVIK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14700-2025</t>
        </is>
      </c>
      <c r="B1010" s="1" t="n">
        <v>45742.60196759259</v>
      </c>
      <c r="C1010" s="1" t="n">
        <v>46178</v>
      </c>
      <c r="D1010" t="inlineStr">
        <is>
          <t>DALARNAS LÄN</t>
        </is>
      </c>
      <c r="E1010" t="inlineStr">
        <is>
          <t>RÄTTVIK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49225-2025</t>
        </is>
      </c>
      <c r="B1011" s="1" t="n">
        <v>45938.46748842593</v>
      </c>
      <c r="C1011" s="1" t="n">
        <v>46178</v>
      </c>
      <c r="D1011" t="inlineStr">
        <is>
          <t>DALARNAS LÄN</t>
        </is>
      </c>
      <c r="E1011" t="inlineStr">
        <is>
          <t>RÄTTVIK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11749-2026</t>
        </is>
      </c>
      <c r="B1012" s="1" t="n">
        <v>46084</v>
      </c>
      <c r="C1012" s="1" t="n">
        <v>46178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55416-2024</t>
        </is>
      </c>
      <c r="B1013" s="1" t="n">
        <v>45621</v>
      </c>
      <c r="C1013" s="1" t="n">
        <v>46178</v>
      </c>
      <c r="D1013" t="inlineStr">
        <is>
          <t>DALARNAS LÄN</t>
        </is>
      </c>
      <c r="E1013" t="inlineStr">
        <is>
          <t>RÄTTVIK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61357-2023</t>
        </is>
      </c>
      <c r="B1014" s="1" t="n">
        <v>45264.60821759259</v>
      </c>
      <c r="C1014" s="1" t="n">
        <v>46178</v>
      </c>
      <c r="D1014" t="inlineStr">
        <is>
          <t>DALARNAS LÄN</t>
        </is>
      </c>
      <c r="E1014" t="inlineStr">
        <is>
          <t>RÄTTVIK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43947-2025</t>
        </is>
      </c>
      <c r="B1015" s="1" t="n">
        <v>45915.37585648148</v>
      </c>
      <c r="C1015" s="1" t="n">
        <v>46178</v>
      </c>
      <c r="D1015" t="inlineStr">
        <is>
          <t>DALARNAS LÄN</t>
        </is>
      </c>
      <c r="E1015" t="inlineStr">
        <is>
          <t>RÄTTVIK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51209-2024</t>
        </is>
      </c>
      <c r="B1016" s="1" t="n">
        <v>45603.63878472222</v>
      </c>
      <c r="C1016" s="1" t="n">
        <v>46178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18034-2026</t>
        </is>
      </c>
      <c r="B1017" s="1" t="n">
        <v>46125</v>
      </c>
      <c r="C1017" s="1" t="n">
        <v>46178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4197-2024</t>
        </is>
      </c>
      <c r="B1018" s="1" t="n">
        <v>45324</v>
      </c>
      <c r="C1018" s="1" t="n">
        <v>46178</v>
      </c>
      <c r="D1018" t="inlineStr">
        <is>
          <t>DALARNAS LÄN</t>
        </is>
      </c>
      <c r="E1018" t="inlineStr">
        <is>
          <t>RÄTTVIK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23275-2026</t>
        </is>
      </c>
      <c r="B1019" s="1" t="n">
        <v>46162</v>
      </c>
      <c r="C1019" s="1" t="n">
        <v>46178</v>
      </c>
      <c r="D1019" t="inlineStr">
        <is>
          <t>DALARNAS LÄN</t>
        </is>
      </c>
      <c r="E1019" t="inlineStr">
        <is>
          <t>RÄTTVIK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25484-2026</t>
        </is>
      </c>
      <c r="B1020" s="1" t="n">
        <v>46177.43258101852</v>
      </c>
      <c r="C1020" s="1" t="n">
        <v>46178</v>
      </c>
      <c r="D1020" t="inlineStr">
        <is>
          <t>DALARNAS LÄN</t>
        </is>
      </c>
      <c r="E1020" t="inlineStr">
        <is>
          <t>RÄTTVIK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47802-2024</t>
        </is>
      </c>
      <c r="B1021" s="1" t="n">
        <v>45588.6134837963</v>
      </c>
      <c r="C1021" s="1" t="n">
        <v>46178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3423-2025</t>
        </is>
      </c>
      <c r="B1022" s="1" t="n">
        <v>45680.42128472222</v>
      </c>
      <c r="C1022" s="1" t="n">
        <v>46178</v>
      </c>
      <c r="D1022" t="inlineStr">
        <is>
          <t>DALARNAS LÄN</t>
        </is>
      </c>
      <c r="E1022" t="inlineStr">
        <is>
          <t>RÄTTVIK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18865-2025</t>
        </is>
      </c>
      <c r="B1023" s="1" t="n">
        <v>45764</v>
      </c>
      <c r="C1023" s="1" t="n">
        <v>46178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8.6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25527-2026</t>
        </is>
      </c>
      <c r="B1024" s="1" t="n">
        <v>46177.53134259259</v>
      </c>
      <c r="C1024" s="1" t="n">
        <v>46178</v>
      </c>
      <c r="D1024" t="inlineStr">
        <is>
          <t>DALARNAS LÄN</t>
        </is>
      </c>
      <c r="E1024" t="inlineStr">
        <is>
          <t>RÄTTVIK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7097-2026</t>
        </is>
      </c>
      <c r="B1025" s="1" t="n">
        <v>46058</v>
      </c>
      <c r="C1025" s="1" t="n">
        <v>46178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11.8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58572-2024</t>
        </is>
      </c>
      <c r="B1026" s="1" t="n">
        <v>45632</v>
      </c>
      <c r="C1026" s="1" t="n">
        <v>46178</v>
      </c>
      <c r="D1026" t="inlineStr">
        <is>
          <t>DALARNAS LÄN</t>
        </is>
      </c>
      <c r="E1026" t="inlineStr">
        <is>
          <t>RÄTTVIK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23248-2023</t>
        </is>
      </c>
      <c r="B1027" s="1" t="n">
        <v>45071</v>
      </c>
      <c r="C1027" s="1" t="n">
        <v>46178</v>
      </c>
      <c r="D1027" t="inlineStr">
        <is>
          <t>DALARNAS LÄN</t>
        </is>
      </c>
      <c r="E1027" t="inlineStr">
        <is>
          <t>RÄTTVIK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1945-2023</t>
        </is>
      </c>
      <c r="B1028" s="1" t="n">
        <v>44939.44358796296</v>
      </c>
      <c r="C1028" s="1" t="n">
        <v>46178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16822-2024</t>
        </is>
      </c>
      <c r="B1029" s="1" t="n">
        <v>45411.46914351852</v>
      </c>
      <c r="C1029" s="1" t="n">
        <v>46178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19958-2025</t>
        </is>
      </c>
      <c r="B1030" s="1" t="n">
        <v>45771.66496527778</v>
      </c>
      <c r="C1030" s="1" t="n">
        <v>46178</v>
      </c>
      <c r="D1030" t="inlineStr">
        <is>
          <t>DALARNAS LÄN</t>
        </is>
      </c>
      <c r="E1030" t="inlineStr">
        <is>
          <t>RÄTTVIK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HYPERLINK("https://klasma.github.io/Logging_2031/knärot/A 19958-2025 karta knärot.png", "A 19958-2025")</f>
        <v/>
      </c>
      <c r="V1030">
        <f>HYPERLINK("https://klasma.github.io/Logging_2031/klagomål/A 19958-2025 FSC-klagomål.docx", "A 19958-2025")</f>
        <v/>
      </c>
      <c r="W1030">
        <f>HYPERLINK("https://klasma.github.io/Logging_2031/klagomålsmail/A 19958-2025 FSC-klagomål mail.docx", "A 19958-2025")</f>
        <v/>
      </c>
      <c r="X1030">
        <f>HYPERLINK("https://klasma.github.io/Logging_2031/tillsyn/A 19958-2025 tillsynsbegäran.docx", "A 19958-2025")</f>
        <v/>
      </c>
      <c r="Y1030">
        <f>HYPERLINK("https://klasma.github.io/Logging_2031/tillsynsmail/A 19958-2025 tillsynsbegäran mail.docx", "A 19958-2025")</f>
        <v/>
      </c>
    </row>
    <row r="1031" ht="15" customHeight="1">
      <c r="A1031" t="inlineStr">
        <is>
          <t>A 16880-2025</t>
        </is>
      </c>
      <c r="B1031" s="1" t="n">
        <v>45755.29549768518</v>
      </c>
      <c r="C1031" s="1" t="n">
        <v>46178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55708-2024</t>
        </is>
      </c>
      <c r="B1032" s="1" t="n">
        <v>45622.69833333333</v>
      </c>
      <c r="C1032" s="1" t="n">
        <v>46178</v>
      </c>
      <c r="D1032" t="inlineStr">
        <is>
          <t>DALARNAS LÄN</t>
        </is>
      </c>
      <c r="E1032" t="inlineStr">
        <is>
          <t>RÄTTVIK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54300-2024</t>
        </is>
      </c>
      <c r="B1033" s="1" t="n">
        <v>45617.32957175926</v>
      </c>
      <c r="C1033" s="1" t="n">
        <v>46178</v>
      </c>
      <c r="D1033" t="inlineStr">
        <is>
          <t>DALARNAS LÄN</t>
        </is>
      </c>
      <c r="E1033" t="inlineStr">
        <is>
          <t>RÄTTVIK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59718-2024</t>
        </is>
      </c>
      <c r="B1034" s="1" t="n">
        <v>45639</v>
      </c>
      <c r="C1034" s="1" t="n">
        <v>46178</v>
      </c>
      <c r="D1034" t="inlineStr">
        <is>
          <t>DALARNAS LÄN</t>
        </is>
      </c>
      <c r="E1034" t="inlineStr">
        <is>
          <t>RÄTTVIK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66673-2021</t>
        </is>
      </c>
      <c r="B1035" s="1" t="n">
        <v>44519</v>
      </c>
      <c r="C1035" s="1" t="n">
        <v>46178</v>
      </c>
      <c r="D1035" t="inlineStr">
        <is>
          <t>DALARNAS LÄN</t>
        </is>
      </c>
      <c r="E1035" t="inlineStr">
        <is>
          <t>RÄTTVIK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36415-2024</t>
        </is>
      </c>
      <c r="B1036" s="1" t="n">
        <v>45536.37116898148</v>
      </c>
      <c r="C1036" s="1" t="n">
        <v>46178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37659-2023</t>
        </is>
      </c>
      <c r="B1037" s="1" t="n">
        <v>45159</v>
      </c>
      <c r="C1037" s="1" t="n">
        <v>46178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13744-2025</t>
        </is>
      </c>
      <c r="B1038" s="1" t="n">
        <v>45737.40759259259</v>
      </c>
      <c r="C1038" s="1" t="n">
        <v>46178</v>
      </c>
      <c r="D1038" t="inlineStr">
        <is>
          <t>DALARNAS LÄN</t>
        </is>
      </c>
      <c r="E1038" t="inlineStr">
        <is>
          <t>RÄTTVIK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38384-2024</t>
        </is>
      </c>
      <c r="B1039" s="1" t="n">
        <v>45546.30100694444</v>
      </c>
      <c r="C1039" s="1" t="n">
        <v>46178</v>
      </c>
      <c r="D1039" t="inlineStr">
        <is>
          <t>DALARNAS LÄN</t>
        </is>
      </c>
      <c r="E1039" t="inlineStr">
        <is>
          <t>RÄTTVIK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38385-2024</t>
        </is>
      </c>
      <c r="B1040" s="1" t="n">
        <v>45546.3049537037</v>
      </c>
      <c r="C1040" s="1" t="n">
        <v>46178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62193-2023</t>
        </is>
      </c>
      <c r="B1041" s="1" t="n">
        <v>45267.46137731482</v>
      </c>
      <c r="C1041" s="1" t="n">
        <v>46178</v>
      </c>
      <c r="D1041" t="inlineStr">
        <is>
          <t>DALARNAS LÄN</t>
        </is>
      </c>
      <c r="E1041" t="inlineStr">
        <is>
          <t>RÄTTVIK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53932-2024</t>
        </is>
      </c>
      <c r="B1042" s="1" t="n">
        <v>45615.84907407407</v>
      </c>
      <c r="C1042" s="1" t="n">
        <v>46178</v>
      </c>
      <c r="D1042" t="inlineStr">
        <is>
          <t>DALARNAS LÄN</t>
        </is>
      </c>
      <c r="E1042" t="inlineStr">
        <is>
          <t>RÄTTVIK</t>
        </is>
      </c>
      <c r="G1042" t="n">
        <v>12.7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29744-2023</t>
        </is>
      </c>
      <c r="B1043" s="1" t="n">
        <v>45107</v>
      </c>
      <c r="C1043" s="1" t="n">
        <v>46178</v>
      </c>
      <c r="D1043" t="inlineStr">
        <is>
          <t>DALARNAS LÄN</t>
        </is>
      </c>
      <c r="E1043" t="inlineStr">
        <is>
          <t>RÄTTVIK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29758-2023</t>
        </is>
      </c>
      <c r="B1044" s="1" t="n">
        <v>45107</v>
      </c>
      <c r="C1044" s="1" t="n">
        <v>46178</v>
      </c>
      <c r="D1044" t="inlineStr">
        <is>
          <t>DALARNAS LÄN</t>
        </is>
      </c>
      <c r="E1044" t="inlineStr">
        <is>
          <t>RÄTTVIK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25783-2023</t>
        </is>
      </c>
      <c r="B1045" s="1" t="n">
        <v>45090.476875</v>
      </c>
      <c r="C1045" s="1" t="n">
        <v>46178</v>
      </c>
      <c r="D1045" t="inlineStr">
        <is>
          <t>DALARNAS LÄN</t>
        </is>
      </c>
      <c r="E1045" t="inlineStr">
        <is>
          <t>RÄTTVIK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40570-2022</t>
        </is>
      </c>
      <c r="B1046" s="1" t="n">
        <v>44823</v>
      </c>
      <c r="C1046" s="1" t="n">
        <v>46178</v>
      </c>
      <c r="D1046" t="inlineStr">
        <is>
          <t>DALARNAS LÄN</t>
        </is>
      </c>
      <c r="E1046" t="inlineStr">
        <is>
          <t>RÄTTVIK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38633-2022</t>
        </is>
      </c>
      <c r="B1047" s="1" t="n">
        <v>44813.64364583333</v>
      </c>
      <c r="C1047" s="1" t="n">
        <v>46178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2270-2024</t>
        </is>
      </c>
      <c r="B1048" s="1" t="n">
        <v>45310</v>
      </c>
      <c r="C1048" s="1" t="n">
        <v>46178</v>
      </c>
      <c r="D1048" t="inlineStr">
        <is>
          <t>DALARNAS LÄN</t>
        </is>
      </c>
      <c r="E1048" t="inlineStr">
        <is>
          <t>RÄTTVIK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20555-2025</t>
        </is>
      </c>
      <c r="B1049" s="1" t="n">
        <v>45775.64297453704</v>
      </c>
      <c r="C1049" s="1" t="n">
        <v>46178</v>
      </c>
      <c r="D1049" t="inlineStr">
        <is>
          <t>DALARNAS LÄN</t>
        </is>
      </c>
      <c r="E1049" t="inlineStr">
        <is>
          <t>RÄTTVIK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31556-2022</t>
        </is>
      </c>
      <c r="B1050" s="1" t="n">
        <v>44775.41023148148</v>
      </c>
      <c r="C1050" s="1" t="n">
        <v>46178</v>
      </c>
      <c r="D1050" t="inlineStr">
        <is>
          <t>DALARNAS LÄN</t>
        </is>
      </c>
      <c r="E1050" t="inlineStr">
        <is>
          <t>RÄTTVIK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39291-2024</t>
        </is>
      </c>
      <c r="B1051" s="1" t="n">
        <v>45551.36931712963</v>
      </c>
      <c r="C1051" s="1" t="n">
        <v>46178</v>
      </c>
      <c r="D1051" t="inlineStr">
        <is>
          <t>DALARNAS LÄN</t>
        </is>
      </c>
      <c r="E1051" t="inlineStr">
        <is>
          <t>RÄTTVIK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21882-2024</t>
        </is>
      </c>
      <c r="B1052" s="1" t="n">
        <v>45443.35310185186</v>
      </c>
      <c r="C1052" s="1" t="n">
        <v>46178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1797-2024</t>
        </is>
      </c>
      <c r="B1053" s="1" t="n">
        <v>45307.58229166667</v>
      </c>
      <c r="C1053" s="1" t="n">
        <v>46178</v>
      </c>
      <c r="D1053" t="inlineStr">
        <is>
          <t>DALARNAS LÄN</t>
        </is>
      </c>
      <c r="E1053" t="inlineStr">
        <is>
          <t>RÄTTVIK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41153-2021</t>
        </is>
      </c>
      <c r="B1054" s="1" t="n">
        <v>44424.28652777777</v>
      </c>
      <c r="C1054" s="1" t="n">
        <v>46178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64804-2023</t>
        </is>
      </c>
      <c r="B1055" s="1" t="n">
        <v>45282</v>
      </c>
      <c r="C1055" s="1" t="n">
        <v>46178</v>
      </c>
      <c r="D1055" t="inlineStr">
        <is>
          <t>DALARNAS LÄN</t>
        </is>
      </c>
      <c r="E1055" t="inlineStr">
        <is>
          <t>RÄTTVIK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889-2025</t>
        </is>
      </c>
      <c r="B1056" s="1" t="n">
        <v>45665.65398148148</v>
      </c>
      <c r="C1056" s="1" t="n">
        <v>46178</v>
      </c>
      <c r="D1056" t="inlineStr">
        <is>
          <t>DALARNAS LÄN</t>
        </is>
      </c>
      <c r="E1056" t="inlineStr">
        <is>
          <t>RÄTTVIK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12464-2022</t>
        </is>
      </c>
      <c r="B1057" s="1" t="n">
        <v>44638</v>
      </c>
      <c r="C1057" s="1" t="n">
        <v>46178</v>
      </c>
      <c r="D1057" t="inlineStr">
        <is>
          <t>DALARNAS LÄN</t>
        </is>
      </c>
      <c r="E1057" t="inlineStr">
        <is>
          <t>RÄTTVIK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49970-2023</t>
        </is>
      </c>
      <c r="B1058" s="1" t="n">
        <v>45215.3990162037</v>
      </c>
      <c r="C1058" s="1" t="n">
        <v>46178</v>
      </c>
      <c r="D1058" t="inlineStr">
        <is>
          <t>DALARNAS LÄN</t>
        </is>
      </c>
      <c r="E1058" t="inlineStr">
        <is>
          <t>RÄTTVIK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31552-2022</t>
        </is>
      </c>
      <c r="B1059" s="1" t="n">
        <v>44775</v>
      </c>
      <c r="C1059" s="1" t="n">
        <v>46178</v>
      </c>
      <c r="D1059" t="inlineStr">
        <is>
          <t>DALARNAS LÄN</t>
        </is>
      </c>
      <c r="E1059" t="inlineStr">
        <is>
          <t>RÄTTVIK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31555-2022</t>
        </is>
      </c>
      <c r="B1060" s="1" t="n">
        <v>44775</v>
      </c>
      <c r="C1060" s="1" t="n">
        <v>46178</v>
      </c>
      <c r="D1060" t="inlineStr">
        <is>
          <t>DALARNAS LÄN</t>
        </is>
      </c>
      <c r="E1060" t="inlineStr">
        <is>
          <t>RÄTTVIK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35244-2022</t>
        </is>
      </c>
      <c r="B1061" s="1" t="n">
        <v>44798</v>
      </c>
      <c r="C1061" s="1" t="n">
        <v>46178</v>
      </c>
      <c r="D1061" t="inlineStr">
        <is>
          <t>DALARNAS LÄN</t>
        </is>
      </c>
      <c r="E1061" t="inlineStr">
        <is>
          <t>RÄTTVIK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72178-2021</t>
        </is>
      </c>
      <c r="B1062" s="1" t="n">
        <v>44544.64829861111</v>
      </c>
      <c r="C1062" s="1" t="n">
        <v>46178</v>
      </c>
      <c r="D1062" t="inlineStr">
        <is>
          <t>DALARNAS LÄN</t>
        </is>
      </c>
      <c r="E1062" t="inlineStr">
        <is>
          <t>RÄTTVIK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56523-2024</t>
        </is>
      </c>
      <c r="B1063" s="1" t="n">
        <v>45625.54185185185</v>
      </c>
      <c r="C1063" s="1" t="n">
        <v>46178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öst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20620-2024</t>
        </is>
      </c>
      <c r="B1064" s="1" t="n">
        <v>45436.45934027778</v>
      </c>
      <c r="C1064" s="1" t="n">
        <v>46178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47572-2024</t>
        </is>
      </c>
      <c r="B1065" s="1" t="n">
        <v>45587.71474537037</v>
      </c>
      <c r="C1065" s="1" t="n">
        <v>46178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55122-2024</t>
        </is>
      </c>
      <c r="B1066" s="1" t="n">
        <v>45618</v>
      </c>
      <c r="C1066" s="1" t="n">
        <v>46178</v>
      </c>
      <c r="D1066" t="inlineStr">
        <is>
          <t>DALARNAS LÄN</t>
        </is>
      </c>
      <c r="E1066" t="inlineStr">
        <is>
          <t>RÄTTVIK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46721-2023</t>
        </is>
      </c>
      <c r="B1067" s="1" t="n">
        <v>45198.580625</v>
      </c>
      <c r="C1067" s="1" t="n">
        <v>46178</v>
      </c>
      <c r="D1067" t="inlineStr">
        <is>
          <t>DALARNAS LÄN</t>
        </is>
      </c>
      <c r="E1067" t="inlineStr">
        <is>
          <t>RÄTTVIK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33768-2022</t>
        </is>
      </c>
      <c r="B1068" s="1" t="n">
        <v>44790.36503472222</v>
      </c>
      <c r="C1068" s="1" t="n">
        <v>46178</v>
      </c>
      <c r="D1068" t="inlineStr">
        <is>
          <t>DALARNAS LÄN</t>
        </is>
      </c>
      <c r="E1068" t="inlineStr">
        <is>
          <t>RÄTTVIK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69061-2021</t>
        </is>
      </c>
      <c r="B1069" s="1" t="n">
        <v>44529</v>
      </c>
      <c r="C1069" s="1" t="n">
        <v>46178</v>
      </c>
      <c r="D1069" t="inlineStr">
        <is>
          <t>DALARNAS LÄN</t>
        </is>
      </c>
      <c r="E1069" t="inlineStr">
        <is>
          <t>RÄTTVIK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HYPERLINK("https://klasma.github.io/Logging_2031/knärot/A 69061-2021 karta knärot.png", "A 69061-2021")</f>
        <v/>
      </c>
      <c r="V1069">
        <f>HYPERLINK("https://klasma.github.io/Logging_2031/klagomål/A 69061-2021 FSC-klagomål.docx", "A 69061-2021")</f>
        <v/>
      </c>
      <c r="W1069">
        <f>HYPERLINK("https://klasma.github.io/Logging_2031/klagomålsmail/A 69061-2021 FSC-klagomål mail.docx", "A 69061-2021")</f>
        <v/>
      </c>
      <c r="X1069">
        <f>HYPERLINK("https://klasma.github.io/Logging_2031/tillsyn/A 69061-2021 tillsynsbegäran.docx", "A 69061-2021")</f>
        <v/>
      </c>
      <c r="Y1069">
        <f>HYPERLINK("https://klasma.github.io/Logging_2031/tillsynsmail/A 69061-2021 tillsynsbegäran mail.docx", "A 69061-2021")</f>
        <v/>
      </c>
    </row>
    <row r="1070" ht="15" customHeight="1">
      <c r="A1070" t="inlineStr">
        <is>
          <t>A 1069-2024</t>
        </is>
      </c>
      <c r="B1070" s="1" t="n">
        <v>45302.31002314815</v>
      </c>
      <c r="C1070" s="1" t="n">
        <v>46178</v>
      </c>
      <c r="D1070" t="inlineStr">
        <is>
          <t>DALARNAS LÄN</t>
        </is>
      </c>
      <c r="E1070" t="inlineStr">
        <is>
          <t>RÄTTVIK</t>
        </is>
      </c>
      <c r="G1070" t="n">
        <v>14.3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40177-2022</t>
        </is>
      </c>
      <c r="B1071" s="1" t="n">
        <v>44818</v>
      </c>
      <c r="C1071" s="1" t="n">
        <v>46178</v>
      </c>
      <c r="D1071" t="inlineStr">
        <is>
          <t>DALARNAS LÄN</t>
        </is>
      </c>
      <c r="E1071" t="inlineStr">
        <is>
          <t>RÄTTVIK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27418-2023</t>
        </is>
      </c>
      <c r="B1072" s="1" t="n">
        <v>45097.36627314815</v>
      </c>
      <c r="C1072" s="1" t="n">
        <v>46178</v>
      </c>
      <c r="D1072" t="inlineStr">
        <is>
          <t>DALARNAS LÄN</t>
        </is>
      </c>
      <c r="E1072" t="inlineStr">
        <is>
          <t>RÄTTVIK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15133-2024</t>
        </is>
      </c>
      <c r="B1073" s="1" t="n">
        <v>45399</v>
      </c>
      <c r="C1073" s="1" t="n">
        <v>46178</v>
      </c>
      <c r="D1073" t="inlineStr">
        <is>
          <t>DALARNAS LÄN</t>
        </is>
      </c>
      <c r="E1073" t="inlineStr">
        <is>
          <t>RÄTTVIK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55022-2024</t>
        </is>
      </c>
      <c r="B1074" s="1" t="n">
        <v>45618</v>
      </c>
      <c r="C1074" s="1" t="n">
        <v>46178</v>
      </c>
      <c r="D1074" t="inlineStr">
        <is>
          <t>DALARNAS LÄN</t>
        </is>
      </c>
      <c r="E1074" t="inlineStr">
        <is>
          <t>RÄTTVIK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40994-2024</t>
        </is>
      </c>
      <c r="B1075" s="1" t="n">
        <v>45558</v>
      </c>
      <c r="C1075" s="1" t="n">
        <v>46178</v>
      </c>
      <c r="D1075" t="inlineStr">
        <is>
          <t>DALARNAS LÄN</t>
        </is>
      </c>
      <c r="E1075" t="inlineStr">
        <is>
          <t>RÄTTVIK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19570-2025</t>
        </is>
      </c>
      <c r="B1076" s="1" t="n">
        <v>45770</v>
      </c>
      <c r="C1076" s="1" t="n">
        <v>46178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13.4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20198-2025</t>
        </is>
      </c>
      <c r="B1077" s="1" t="n">
        <v>45772.61135416666</v>
      </c>
      <c r="C1077" s="1" t="n">
        <v>46178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4150-2023</t>
        </is>
      </c>
      <c r="B1078" s="1" t="n">
        <v>44953</v>
      </c>
      <c r="C1078" s="1" t="n">
        <v>46178</v>
      </c>
      <c r="D1078" t="inlineStr">
        <is>
          <t>DALARNAS LÄN</t>
        </is>
      </c>
      <c r="E1078" t="inlineStr">
        <is>
          <t>RÄTTVIK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50695-2023</t>
        </is>
      </c>
      <c r="B1079" s="1" t="n">
        <v>45217.5497800926</v>
      </c>
      <c r="C1079" s="1" t="n">
        <v>46178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3742-2024</t>
        </is>
      </c>
      <c r="B1080" s="1" t="n">
        <v>45321.50072916667</v>
      </c>
      <c r="C1080" s="1" t="n">
        <v>46178</v>
      </c>
      <c r="D1080" t="inlineStr">
        <is>
          <t>DALARNAS LÄN</t>
        </is>
      </c>
      <c r="E1080" t="inlineStr">
        <is>
          <t>RÄTTVIK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33165-2024</t>
        </is>
      </c>
      <c r="B1081" s="1" t="n">
        <v>45518.41333333333</v>
      </c>
      <c r="C1081" s="1" t="n">
        <v>46178</v>
      </c>
      <c r="D1081" t="inlineStr">
        <is>
          <t>DALARNAS LÄN</t>
        </is>
      </c>
      <c r="E1081" t="inlineStr">
        <is>
          <t>RÄTTVIK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33174-2024</t>
        </is>
      </c>
      <c r="B1082" s="1" t="n">
        <v>45518.43670138889</v>
      </c>
      <c r="C1082" s="1" t="n">
        <v>46178</v>
      </c>
      <c r="D1082" t="inlineStr">
        <is>
          <t>DALARNAS LÄN</t>
        </is>
      </c>
      <c r="E1082" t="inlineStr">
        <is>
          <t>RÄTTVIK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23479-2023</t>
        </is>
      </c>
      <c r="B1083" s="1" t="n">
        <v>45072</v>
      </c>
      <c r="C1083" s="1" t="n">
        <v>46178</v>
      </c>
      <c r="D1083" t="inlineStr">
        <is>
          <t>DALARNAS LÄN</t>
        </is>
      </c>
      <c r="E1083" t="inlineStr">
        <is>
          <t>RÄTTVIK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20573-2022</t>
        </is>
      </c>
      <c r="B1084" s="1" t="n">
        <v>44700.40244212963</v>
      </c>
      <c r="C1084" s="1" t="n">
        <v>46178</v>
      </c>
      <c r="D1084" t="inlineStr">
        <is>
          <t>DALARNAS LÄN</t>
        </is>
      </c>
      <c r="E1084" t="inlineStr">
        <is>
          <t>RÄTTVIK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48582-2024</t>
        </is>
      </c>
      <c r="B1085" s="1" t="n">
        <v>45593.41905092593</v>
      </c>
      <c r="C1085" s="1" t="n">
        <v>46178</v>
      </c>
      <c r="D1085" t="inlineStr">
        <is>
          <t>DALARNAS LÄN</t>
        </is>
      </c>
      <c r="E1085" t="inlineStr">
        <is>
          <t>RÄTTVIK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47031-2024</t>
        </is>
      </c>
      <c r="B1086" s="1" t="n">
        <v>45586.42542824074</v>
      </c>
      <c r="C1086" s="1" t="n">
        <v>46178</v>
      </c>
      <c r="D1086" t="inlineStr">
        <is>
          <t>DALARNAS LÄN</t>
        </is>
      </c>
      <c r="E1086" t="inlineStr">
        <is>
          <t>RÄTTVIK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40195-2022</t>
        </is>
      </c>
      <c r="B1087" s="1" t="n">
        <v>44818</v>
      </c>
      <c r="C1087" s="1" t="n">
        <v>46178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3261-2025</t>
        </is>
      </c>
      <c r="B1088" s="1" t="n">
        <v>45679.56291666667</v>
      </c>
      <c r="C1088" s="1" t="n">
        <v>46178</v>
      </c>
      <c r="D1088" t="inlineStr">
        <is>
          <t>DALARNAS LÄN</t>
        </is>
      </c>
      <c r="E1088" t="inlineStr">
        <is>
          <t>RÄTTVIK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12496-2024</t>
        </is>
      </c>
      <c r="B1089" s="1" t="n">
        <v>45379</v>
      </c>
      <c r="C1089" s="1" t="n">
        <v>46178</v>
      </c>
      <c r="D1089" t="inlineStr">
        <is>
          <t>DALARNAS LÄN</t>
        </is>
      </c>
      <c r="E1089" t="inlineStr">
        <is>
          <t>RÄTTVIK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56438-2023</t>
        </is>
      </c>
      <c r="B1090" s="1" t="n">
        <v>45243</v>
      </c>
      <c r="C1090" s="1" t="n">
        <v>46178</v>
      </c>
      <c r="D1090" t="inlineStr">
        <is>
          <t>DALARNAS LÄN</t>
        </is>
      </c>
      <c r="E1090" t="inlineStr">
        <is>
          <t>RÄTTVIK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32703-2024</t>
        </is>
      </c>
      <c r="B1091" s="1" t="n">
        <v>45516.34715277778</v>
      </c>
      <c r="C1091" s="1" t="n">
        <v>46178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29141-2023</t>
        </is>
      </c>
      <c r="B1092" s="1" t="n">
        <v>45105</v>
      </c>
      <c r="C1092" s="1" t="n">
        <v>46178</v>
      </c>
      <c r="D1092" t="inlineStr">
        <is>
          <t>DALARNAS LÄN</t>
        </is>
      </c>
      <c r="E1092" t="inlineStr">
        <is>
          <t>RÄTTVIK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40313-2023</t>
        </is>
      </c>
      <c r="B1093" s="1" t="n">
        <v>45168</v>
      </c>
      <c r="C1093" s="1" t="n">
        <v>46178</v>
      </c>
      <c r="D1093" t="inlineStr">
        <is>
          <t>DALARNAS LÄN</t>
        </is>
      </c>
      <c r="E1093" t="inlineStr">
        <is>
          <t>RÄTTVIK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2004-2025</t>
        </is>
      </c>
      <c r="B1094" s="1" t="n">
        <v>45671</v>
      </c>
      <c r="C1094" s="1" t="n">
        <v>46178</v>
      </c>
      <c r="D1094" t="inlineStr">
        <is>
          <t>DALARNAS LÄN</t>
        </is>
      </c>
      <c r="E1094" t="inlineStr">
        <is>
          <t>RÄTTVIK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2010-2025</t>
        </is>
      </c>
      <c r="B1095" s="1" t="n">
        <v>45671</v>
      </c>
      <c r="C1095" s="1" t="n">
        <v>46178</v>
      </c>
      <c r="D1095" t="inlineStr">
        <is>
          <t>DALARNAS LÄN</t>
        </is>
      </c>
      <c r="E1095" t="inlineStr">
        <is>
          <t>RÄTTVIK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2011-2025</t>
        </is>
      </c>
      <c r="B1096" s="1" t="n">
        <v>45672</v>
      </c>
      <c r="C1096" s="1" t="n">
        <v>46178</v>
      </c>
      <c r="D1096" t="inlineStr">
        <is>
          <t>DALARNAS LÄN</t>
        </is>
      </c>
      <c r="E1096" t="inlineStr">
        <is>
          <t>RÄTTVIK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41869-2023</t>
        </is>
      </c>
      <c r="B1097" s="1" t="n">
        <v>45176</v>
      </c>
      <c r="C1097" s="1" t="n">
        <v>46178</v>
      </c>
      <c r="D1097" t="inlineStr">
        <is>
          <t>DALARNAS LÄN</t>
        </is>
      </c>
      <c r="E1097" t="inlineStr">
        <is>
          <t>RÄTTVIK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18129-2024</t>
        </is>
      </c>
      <c r="B1098" s="1" t="n">
        <v>45420.56627314815</v>
      </c>
      <c r="C1098" s="1" t="n">
        <v>46178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29707-2023</t>
        </is>
      </c>
      <c r="B1099" s="1" t="n">
        <v>45107.41450231482</v>
      </c>
      <c r="C1099" s="1" t="n">
        <v>46178</v>
      </c>
      <c r="D1099" t="inlineStr">
        <is>
          <t>DALARNAS LÄN</t>
        </is>
      </c>
      <c r="E1099" t="inlineStr">
        <is>
          <t>RÄTTVIK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40435-2024</t>
        </is>
      </c>
      <c r="B1100" s="1" t="n">
        <v>45555.47621527778</v>
      </c>
      <c r="C1100" s="1" t="n">
        <v>46178</v>
      </c>
      <c r="D1100" t="inlineStr">
        <is>
          <t>DALARNAS LÄN</t>
        </is>
      </c>
      <c r="E1100" t="inlineStr">
        <is>
          <t>RÄTTVIK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60228-2022</t>
        </is>
      </c>
      <c r="B1101" s="1" t="n">
        <v>44910.44016203703</v>
      </c>
      <c r="C1101" s="1" t="n">
        <v>46178</v>
      </c>
      <c r="D1101" t="inlineStr">
        <is>
          <t>DALARNAS LÄN</t>
        </is>
      </c>
      <c r="E1101" t="inlineStr">
        <is>
          <t>RÄTTVIK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54697-2023</t>
        </is>
      </c>
      <c r="B1102" s="1" t="n">
        <v>45236.30247685185</v>
      </c>
      <c r="C1102" s="1" t="n">
        <v>46178</v>
      </c>
      <c r="D1102" t="inlineStr">
        <is>
          <t>DALARNAS LÄN</t>
        </is>
      </c>
      <c r="E1102" t="inlineStr">
        <is>
          <t>RÄTTVIK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10807-2025</t>
        </is>
      </c>
      <c r="B1103" s="1" t="n">
        <v>45722.53209490741</v>
      </c>
      <c r="C1103" s="1" t="n">
        <v>46178</v>
      </c>
      <c r="D1103" t="inlineStr">
        <is>
          <t>DALARNAS LÄN</t>
        </is>
      </c>
      <c r="E1103" t="inlineStr">
        <is>
          <t>RÄTTVIK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48223-2024</t>
        </is>
      </c>
      <c r="B1104" s="1" t="n">
        <v>45590.36722222222</v>
      </c>
      <c r="C1104" s="1" t="n">
        <v>46178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29315-2024</t>
        </is>
      </c>
      <c r="B1105" s="1" t="n">
        <v>45483.40959490741</v>
      </c>
      <c r="C1105" s="1" t="n">
        <v>46178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49240-2023</t>
        </is>
      </c>
      <c r="B1106" s="1" t="n">
        <v>45210.64642361111</v>
      </c>
      <c r="C1106" s="1" t="n">
        <v>46178</v>
      </c>
      <c r="D1106" t="inlineStr">
        <is>
          <t>DALARNAS LÄN</t>
        </is>
      </c>
      <c r="E1106" t="inlineStr">
        <is>
          <t>RÄTTVIK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4833-2024</t>
        </is>
      </c>
      <c r="B1107" s="1" t="n">
        <v>45329</v>
      </c>
      <c r="C1107" s="1" t="n">
        <v>46178</v>
      </c>
      <c r="D1107" t="inlineStr">
        <is>
          <t>DALARNAS LÄN</t>
        </is>
      </c>
      <c r="E1107" t="inlineStr">
        <is>
          <t>RÄTTVIK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1005-2022</t>
        </is>
      </c>
      <c r="B1108" s="1" t="n">
        <v>44571.60844907408</v>
      </c>
      <c r="C1108" s="1" t="n">
        <v>46178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53471-2023</t>
        </is>
      </c>
      <c r="B1109" s="1" t="n">
        <v>45230.33048611111</v>
      </c>
      <c r="C1109" s="1" t="n">
        <v>46178</v>
      </c>
      <c r="D1109" t="inlineStr">
        <is>
          <t>DALARNAS LÄN</t>
        </is>
      </c>
      <c r="E1109" t="inlineStr">
        <is>
          <t>RÄTTVIK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56544-2023</t>
        </is>
      </c>
      <c r="B1110" s="1" t="n">
        <v>45243.58079861111</v>
      </c>
      <c r="C1110" s="1" t="n">
        <v>46178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36458-2024</t>
        </is>
      </c>
      <c r="B1111" s="1" t="n">
        <v>45537.34827546297</v>
      </c>
      <c r="C1111" s="1" t="n">
        <v>46178</v>
      </c>
      <c r="D1111" t="inlineStr">
        <is>
          <t>DALARNAS LÄN</t>
        </is>
      </c>
      <c r="E1111" t="inlineStr">
        <is>
          <t>RÄTTVIK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18687-2024</t>
        </is>
      </c>
      <c r="B1112" s="1" t="n">
        <v>45426.38958333333</v>
      </c>
      <c r="C1112" s="1" t="n">
        <v>46178</v>
      </c>
      <c r="D1112" t="inlineStr">
        <is>
          <t>DALARNAS LÄN</t>
        </is>
      </c>
      <c r="E1112" t="inlineStr">
        <is>
          <t>RÄTTVIK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2068-2023</t>
        </is>
      </c>
      <c r="B1113" s="1" t="n">
        <v>44939.65450231481</v>
      </c>
      <c r="C1113" s="1" t="n">
        <v>46178</v>
      </c>
      <c r="D1113" t="inlineStr">
        <is>
          <t>DALARNAS LÄN</t>
        </is>
      </c>
      <c r="E1113" t="inlineStr">
        <is>
          <t>RÄTTVIK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24889-2022</t>
        </is>
      </c>
      <c r="B1114" s="1" t="n">
        <v>44728.57715277778</v>
      </c>
      <c r="C1114" s="1" t="n">
        <v>46178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45047-2024</t>
        </is>
      </c>
      <c r="B1115" s="1" t="n">
        <v>45575.54640046296</v>
      </c>
      <c r="C1115" s="1" t="n">
        <v>46178</v>
      </c>
      <c r="D1115" t="inlineStr">
        <is>
          <t>DALARNAS LÄN</t>
        </is>
      </c>
      <c r="E1115" t="inlineStr">
        <is>
          <t>RÄTTVIK</t>
        </is>
      </c>
      <c r="F1115" t="inlineStr">
        <is>
          <t>Bergvik skog väst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39983-2022</t>
        </is>
      </c>
      <c r="B1116" s="1" t="n">
        <v>44818</v>
      </c>
      <c r="C1116" s="1" t="n">
        <v>46178</v>
      </c>
      <c r="D1116" t="inlineStr">
        <is>
          <t>DALARNAS LÄN</t>
        </is>
      </c>
      <c r="E1116" t="inlineStr">
        <is>
          <t>RÄTTVIK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3342-2024</t>
        </is>
      </c>
      <c r="B1117" s="1" t="n">
        <v>45317</v>
      </c>
      <c r="C1117" s="1" t="n">
        <v>46178</v>
      </c>
      <c r="D1117" t="inlineStr">
        <is>
          <t>DALARNAS LÄN</t>
        </is>
      </c>
      <c r="E1117" t="inlineStr">
        <is>
          <t>RÄTTVIK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329-2023</t>
        </is>
      </c>
      <c r="B1118" s="1" t="n">
        <v>44929.44452546296</v>
      </c>
      <c r="C1118" s="1" t="n">
        <v>46178</v>
      </c>
      <c r="D1118" t="inlineStr">
        <is>
          <t>DALARNAS LÄN</t>
        </is>
      </c>
      <c r="E1118" t="inlineStr">
        <is>
          <t>RÄTTVIK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60588-2024</t>
        </is>
      </c>
      <c r="B1119" s="1" t="n">
        <v>45644.34916666667</v>
      </c>
      <c r="C1119" s="1" t="n">
        <v>46178</v>
      </c>
      <c r="D1119" t="inlineStr">
        <is>
          <t>DALARNAS LÄN</t>
        </is>
      </c>
      <c r="E1119" t="inlineStr">
        <is>
          <t>RÄTTVIK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43313-2023</t>
        </is>
      </c>
      <c r="B1120" s="1" t="n">
        <v>45183.60849537037</v>
      </c>
      <c r="C1120" s="1" t="n">
        <v>46178</v>
      </c>
      <c r="D1120" t="inlineStr">
        <is>
          <t>DALARNAS LÄN</t>
        </is>
      </c>
      <c r="E1120" t="inlineStr">
        <is>
          <t>RÄTTVIK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19210-2025</t>
        </is>
      </c>
      <c r="B1121" s="1" t="n">
        <v>45769.43125</v>
      </c>
      <c r="C1121" s="1" t="n">
        <v>46178</v>
      </c>
      <c r="D1121" t="inlineStr">
        <is>
          <t>DALARNAS LÄN</t>
        </is>
      </c>
      <c r="E1121" t="inlineStr">
        <is>
          <t>RÄTTVIK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27962-2024</t>
        </is>
      </c>
      <c r="B1122" s="1" t="n">
        <v>45476.35585648148</v>
      </c>
      <c r="C1122" s="1" t="n">
        <v>46178</v>
      </c>
      <c r="D1122" t="inlineStr">
        <is>
          <t>DALARNAS LÄN</t>
        </is>
      </c>
      <c r="E1122" t="inlineStr">
        <is>
          <t>RÄTTVIK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59958-2024</t>
        </is>
      </c>
      <c r="B1123" s="1" t="n">
        <v>45642.35099537037</v>
      </c>
      <c r="C1123" s="1" t="n">
        <v>46178</v>
      </c>
      <c r="D1123" t="inlineStr">
        <is>
          <t>DALARNAS LÄN</t>
        </is>
      </c>
      <c r="E1123" t="inlineStr">
        <is>
          <t>RÄTTVIK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59965-2024</t>
        </is>
      </c>
      <c r="B1124" s="1" t="n">
        <v>45642.35502314815</v>
      </c>
      <c r="C1124" s="1" t="n">
        <v>46178</v>
      </c>
      <c r="D1124" t="inlineStr">
        <is>
          <t>DALARNAS LÄN</t>
        </is>
      </c>
      <c r="E1124" t="inlineStr">
        <is>
          <t>RÄTTVIK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12334-2022</t>
        </is>
      </c>
      <c r="B1125" s="1" t="n">
        <v>44637</v>
      </c>
      <c r="C1125" s="1" t="n">
        <v>46178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32012-2023</t>
        </is>
      </c>
      <c r="B1126" s="1" t="n">
        <v>45119.47708333333</v>
      </c>
      <c r="C1126" s="1" t="n">
        <v>46178</v>
      </c>
      <c r="D1126" t="inlineStr">
        <is>
          <t>DALARNAS LÄN</t>
        </is>
      </c>
      <c r="E1126" t="inlineStr">
        <is>
          <t>RÄTTVIK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51872-2023</t>
        </is>
      </c>
      <c r="B1127" s="1" t="n">
        <v>45223.37157407407</v>
      </c>
      <c r="C1127" s="1" t="n">
        <v>46178</v>
      </c>
      <c r="D1127" t="inlineStr">
        <is>
          <t>DALARNAS LÄN</t>
        </is>
      </c>
      <c r="E1127" t="inlineStr">
        <is>
          <t>RÄTTVIK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36952-2022</t>
        </is>
      </c>
      <c r="B1128" s="1" t="n">
        <v>44806.30716435185</v>
      </c>
      <c r="C1128" s="1" t="n">
        <v>46178</v>
      </c>
      <c r="D1128" t="inlineStr">
        <is>
          <t>DALARNAS LÄN</t>
        </is>
      </c>
      <c r="E1128" t="inlineStr">
        <is>
          <t>RÄTTVIK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66670-2021</t>
        </is>
      </c>
      <c r="B1129" s="1" t="n">
        <v>44519</v>
      </c>
      <c r="C1129" s="1" t="n">
        <v>46178</v>
      </c>
      <c r="D1129" t="inlineStr">
        <is>
          <t>DALARNAS LÄN</t>
        </is>
      </c>
      <c r="E1129" t="inlineStr">
        <is>
          <t>RÄTTVIK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52939-2022</t>
        </is>
      </c>
      <c r="B1130" s="1" t="n">
        <v>44875</v>
      </c>
      <c r="C1130" s="1" t="n">
        <v>46178</v>
      </c>
      <c r="D1130" t="inlineStr">
        <is>
          <t>DALARNAS LÄN</t>
        </is>
      </c>
      <c r="E1130" t="inlineStr">
        <is>
          <t>RÄTTVIK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61650-2024</t>
        </is>
      </c>
      <c r="B1131" s="1" t="n">
        <v>45646.7196412037</v>
      </c>
      <c r="C1131" s="1" t="n">
        <v>46178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61656-2024</t>
        </is>
      </c>
      <c r="B1132" s="1" t="n">
        <v>45646.79003472222</v>
      </c>
      <c r="C1132" s="1" t="n">
        <v>46178</v>
      </c>
      <c r="D1132" t="inlineStr">
        <is>
          <t>DALARNAS LÄN</t>
        </is>
      </c>
      <c r="E1132" t="inlineStr">
        <is>
          <t>RÄTTVIK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46384-2024</t>
        </is>
      </c>
      <c r="B1133" s="1" t="n">
        <v>45582</v>
      </c>
      <c r="C1133" s="1" t="n">
        <v>46178</v>
      </c>
      <c r="D1133" t="inlineStr">
        <is>
          <t>DALARNAS LÄN</t>
        </is>
      </c>
      <c r="E1133" t="inlineStr">
        <is>
          <t>RÄTTVIK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45472-2022</t>
        </is>
      </c>
      <c r="B1134" s="1" t="n">
        <v>44841</v>
      </c>
      <c r="C1134" s="1" t="n">
        <v>46178</v>
      </c>
      <c r="D1134" t="inlineStr">
        <is>
          <t>DALARNAS LÄN</t>
        </is>
      </c>
      <c r="E1134" t="inlineStr">
        <is>
          <t>RÄTTVIK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59831-2024</t>
        </is>
      </c>
      <c r="B1135" s="1" t="n">
        <v>45639.64945601852</v>
      </c>
      <c r="C1135" s="1" t="n">
        <v>46178</v>
      </c>
      <c r="D1135" t="inlineStr">
        <is>
          <t>DALARNAS LÄN</t>
        </is>
      </c>
      <c r="E1135" t="inlineStr">
        <is>
          <t>RÄTTVIK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20403-2025</t>
        </is>
      </c>
      <c r="B1136" s="1" t="n">
        <v>45775.45716435185</v>
      </c>
      <c r="C1136" s="1" t="n">
        <v>46178</v>
      </c>
      <c r="D1136" t="inlineStr">
        <is>
          <t>DALARNAS LÄN</t>
        </is>
      </c>
      <c r="E1136" t="inlineStr">
        <is>
          <t>RÄTTVIK</t>
        </is>
      </c>
      <c r="F1136" t="inlineStr">
        <is>
          <t>Övriga statliga verk och myndigheter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27921-2023</t>
        </is>
      </c>
      <c r="B1137" s="1" t="n">
        <v>45098.64297453704</v>
      </c>
      <c r="C1137" s="1" t="n">
        <v>46178</v>
      </c>
      <c r="D1137" t="inlineStr">
        <is>
          <t>DALARNAS LÄN</t>
        </is>
      </c>
      <c r="E1137" t="inlineStr">
        <is>
          <t>RÄTTVIK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50591-2021</t>
        </is>
      </c>
      <c r="B1138" s="1" t="n">
        <v>44459.65792824074</v>
      </c>
      <c r="C1138" s="1" t="n">
        <v>46178</v>
      </c>
      <c r="D1138" t="inlineStr">
        <is>
          <t>DALARNAS LÄN</t>
        </is>
      </c>
      <c r="E1138" t="inlineStr">
        <is>
          <t>RÄTTVIK</t>
        </is>
      </c>
      <c r="F1138" t="inlineStr">
        <is>
          <t>Sveaskog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43011-2024</t>
        </is>
      </c>
      <c r="B1139" s="1" t="n">
        <v>45567.38679398148</v>
      </c>
      <c r="C1139" s="1" t="n">
        <v>46178</v>
      </c>
      <c r="D1139" t="inlineStr">
        <is>
          <t>DALARNAS LÄN</t>
        </is>
      </c>
      <c r="E1139" t="inlineStr">
        <is>
          <t>RÄTTVIK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12034-2024</t>
        </is>
      </c>
      <c r="B1140" s="1" t="n">
        <v>45377.41113425926</v>
      </c>
      <c r="C1140" s="1" t="n">
        <v>46178</v>
      </c>
      <c r="D1140" t="inlineStr">
        <is>
          <t>DALARNAS LÄN</t>
        </is>
      </c>
      <c r="E1140" t="inlineStr">
        <is>
          <t>RÄTTVIK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44017-2023</t>
        </is>
      </c>
      <c r="B1141" s="1" t="n">
        <v>45182</v>
      </c>
      <c r="C1141" s="1" t="n">
        <v>46178</v>
      </c>
      <c r="D1141" t="inlineStr">
        <is>
          <t>DALARNAS LÄN</t>
        </is>
      </c>
      <c r="E1141" t="inlineStr">
        <is>
          <t>RÄTTVIK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46707-2023</t>
        </is>
      </c>
      <c r="B1142" s="1" t="n">
        <v>45194</v>
      </c>
      <c r="C1142" s="1" t="n">
        <v>46178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43729-2023</t>
        </is>
      </c>
      <c r="B1143" s="1" t="n">
        <v>45187.45252314815</v>
      </c>
      <c r="C1143" s="1" t="n">
        <v>46178</v>
      </c>
      <c r="D1143" t="inlineStr">
        <is>
          <t>DALARNAS LÄN</t>
        </is>
      </c>
      <c r="E1143" t="inlineStr">
        <is>
          <t>RÄTTVIK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21170-2024</t>
        </is>
      </c>
      <c r="B1144" s="1" t="n">
        <v>45440.45778935185</v>
      </c>
      <c r="C1144" s="1" t="n">
        <v>46178</v>
      </c>
      <c r="D1144" t="inlineStr">
        <is>
          <t>DALARNAS LÄN</t>
        </is>
      </c>
      <c r="E1144" t="inlineStr">
        <is>
          <t>RÄTTVIK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23478-2023</t>
        </is>
      </c>
      <c r="B1145" s="1" t="n">
        <v>45072</v>
      </c>
      <c r="C1145" s="1" t="n">
        <v>46178</v>
      </c>
      <c r="D1145" t="inlineStr">
        <is>
          <t>DALARNAS LÄN</t>
        </is>
      </c>
      <c r="E1145" t="inlineStr">
        <is>
          <t>RÄTTVIK</t>
        </is>
      </c>
      <c r="F1145" t="inlineStr">
        <is>
          <t>Övriga statliga verk och myndigheter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4841-2024</t>
        </is>
      </c>
      <c r="B1146" s="1" t="n">
        <v>45329.35387731482</v>
      </c>
      <c r="C1146" s="1" t="n">
        <v>46178</v>
      </c>
      <c r="D1146" t="inlineStr">
        <is>
          <t>DALARNAS LÄN</t>
        </is>
      </c>
      <c r="E1146" t="inlineStr">
        <is>
          <t>RÄTTVIK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47825-2023</t>
        </is>
      </c>
      <c r="B1147" s="1" t="n">
        <v>45204.35597222222</v>
      </c>
      <c r="C1147" s="1" t="n">
        <v>46178</v>
      </c>
      <c r="D1147" t="inlineStr">
        <is>
          <t>DALARNAS LÄN</t>
        </is>
      </c>
      <c r="E1147" t="inlineStr">
        <is>
          <t>RÄTTVIK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32814-2024</t>
        </is>
      </c>
      <c r="B1148" s="1" t="n">
        <v>45516.57633101852</v>
      </c>
      <c r="C1148" s="1" t="n">
        <v>46178</v>
      </c>
      <c r="D1148" t="inlineStr">
        <is>
          <t>DALARNAS LÄN</t>
        </is>
      </c>
      <c r="E1148" t="inlineStr">
        <is>
          <t>RÄTTVIK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16291-2025</t>
        </is>
      </c>
      <c r="B1149" s="1" t="n">
        <v>45751.33146990741</v>
      </c>
      <c r="C1149" s="1" t="n">
        <v>46178</v>
      </c>
      <c r="D1149" t="inlineStr">
        <is>
          <t>DALARNAS LÄN</t>
        </is>
      </c>
      <c r="E1149" t="inlineStr">
        <is>
          <t>RÄTTVIK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45493-2023</t>
        </is>
      </c>
      <c r="B1150" s="1" t="n">
        <v>45194.46690972222</v>
      </c>
      <c r="C1150" s="1" t="n">
        <v>46178</v>
      </c>
      <c r="D1150" t="inlineStr">
        <is>
          <t>DALARNAS LÄN</t>
        </is>
      </c>
      <c r="E1150" t="inlineStr">
        <is>
          <t>RÄTTVIK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7752-2024</t>
        </is>
      </c>
      <c r="B1151" s="1" t="n">
        <v>45349.51662037037</v>
      </c>
      <c r="C1151" s="1" t="n">
        <v>46178</v>
      </c>
      <c r="D1151" t="inlineStr">
        <is>
          <t>DALARNAS LÄN</t>
        </is>
      </c>
      <c r="E1151" t="inlineStr">
        <is>
          <t>RÄTTVIK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57185-2023</t>
        </is>
      </c>
      <c r="B1152" s="1" t="n">
        <v>45245.46958333333</v>
      </c>
      <c r="C1152" s="1" t="n">
        <v>46178</v>
      </c>
      <c r="D1152" t="inlineStr">
        <is>
          <t>DALARNAS LÄN</t>
        </is>
      </c>
      <c r="E1152" t="inlineStr">
        <is>
          <t>RÄTTVIK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46060-2022</t>
        </is>
      </c>
      <c r="B1153" s="1" t="n">
        <v>44847</v>
      </c>
      <c r="C1153" s="1" t="n">
        <v>46178</v>
      </c>
      <c r="D1153" t="inlineStr">
        <is>
          <t>DALARNAS LÄN</t>
        </is>
      </c>
      <c r="E1153" t="inlineStr">
        <is>
          <t>RÄTTVIK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22677-2023</t>
        </is>
      </c>
      <c r="B1154" s="1" t="n">
        <v>45071.64552083334</v>
      </c>
      <c r="C1154" s="1" t="n">
        <v>46178</v>
      </c>
      <c r="D1154" t="inlineStr">
        <is>
          <t>DALARNAS LÄN</t>
        </is>
      </c>
      <c r="E1154" t="inlineStr">
        <is>
          <t>RÄTTVIK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59922-2024</t>
        </is>
      </c>
      <c r="B1155" s="1" t="n">
        <v>45641.91351851852</v>
      </c>
      <c r="C1155" s="1" t="n">
        <v>46178</v>
      </c>
      <c r="D1155" t="inlineStr">
        <is>
          <t>DALARNAS LÄN</t>
        </is>
      </c>
      <c r="E1155" t="inlineStr">
        <is>
          <t>RÄTTVIK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13568-2025</t>
        </is>
      </c>
      <c r="B1156" s="1" t="n">
        <v>45736.56929398148</v>
      </c>
      <c r="C1156" s="1" t="n">
        <v>46178</v>
      </c>
      <c r="D1156" t="inlineStr">
        <is>
          <t>DALARNAS LÄN</t>
        </is>
      </c>
      <c r="E1156" t="inlineStr">
        <is>
          <t>RÄTTVIK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23747-2024</t>
        </is>
      </c>
      <c r="B1157" s="1" t="n">
        <v>45455.32771990741</v>
      </c>
      <c r="C1157" s="1" t="n">
        <v>46178</v>
      </c>
      <c r="D1157" t="inlineStr">
        <is>
          <t>DALARNAS LÄN</t>
        </is>
      </c>
      <c r="E1157" t="inlineStr">
        <is>
          <t>RÄTTVIK</t>
        </is>
      </c>
      <c r="F1157" t="inlineStr">
        <is>
          <t>Allmännings- och besparingsskogar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651-2023</t>
        </is>
      </c>
      <c r="B1158" s="1" t="n">
        <v>44930</v>
      </c>
      <c r="C1158" s="1" t="n">
        <v>46178</v>
      </c>
      <c r="D1158" t="inlineStr">
        <is>
          <t>DALARNAS LÄN</t>
        </is>
      </c>
      <c r="E1158" t="inlineStr">
        <is>
          <t>RÄTTVIK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11290-2024</t>
        </is>
      </c>
      <c r="B1159" s="1" t="n">
        <v>45371</v>
      </c>
      <c r="C1159" s="1" t="n">
        <v>46178</v>
      </c>
      <c r="D1159" t="inlineStr">
        <is>
          <t>DALARNAS LÄN</t>
        </is>
      </c>
      <c r="E1159" t="inlineStr">
        <is>
          <t>RÄTTVIK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65967-2021</t>
        </is>
      </c>
      <c r="B1160" s="1" t="n">
        <v>44517.52438657408</v>
      </c>
      <c r="C1160" s="1" t="n">
        <v>46178</v>
      </c>
      <c r="D1160" t="inlineStr">
        <is>
          <t>DALARNAS LÄN</t>
        </is>
      </c>
      <c r="E1160" t="inlineStr">
        <is>
          <t>RÄTTVIK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34630-2023</t>
        </is>
      </c>
      <c r="B1161" s="1" t="n">
        <v>45139</v>
      </c>
      <c r="C1161" s="1" t="n">
        <v>46178</v>
      </c>
      <c r="D1161" t="inlineStr">
        <is>
          <t>DALARNAS LÄN</t>
        </is>
      </c>
      <c r="E1161" t="inlineStr">
        <is>
          <t>RÄTTVIK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53874-2023</t>
        </is>
      </c>
      <c r="B1162" s="1" t="n">
        <v>45231.4996875</v>
      </c>
      <c r="C1162" s="1" t="n">
        <v>46178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53876-2023</t>
        </is>
      </c>
      <c r="B1163" s="1" t="n">
        <v>45231</v>
      </c>
      <c r="C1163" s="1" t="n">
        <v>46178</v>
      </c>
      <c r="D1163" t="inlineStr">
        <is>
          <t>DALARNAS LÄN</t>
        </is>
      </c>
      <c r="E1163" t="inlineStr">
        <is>
          <t>RÄTTVIK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36169-2024</t>
        </is>
      </c>
      <c r="B1164" s="1" t="n">
        <v>45534.40212962963</v>
      </c>
      <c r="C1164" s="1" t="n">
        <v>46178</v>
      </c>
      <c r="D1164" t="inlineStr">
        <is>
          <t>DALARNAS LÄN</t>
        </is>
      </c>
      <c r="E1164" t="inlineStr">
        <is>
          <t>RÄTTVIK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13994-2024</t>
        </is>
      </c>
      <c r="B1165" s="1" t="n">
        <v>45392.44894675926</v>
      </c>
      <c r="C1165" s="1" t="n">
        <v>46178</v>
      </c>
      <c r="D1165" t="inlineStr">
        <is>
          <t>DALARNAS LÄN</t>
        </is>
      </c>
      <c r="E1165" t="inlineStr">
        <is>
          <t>RÄTTVIK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12069-2023</t>
        </is>
      </c>
      <c r="B1166" s="1" t="n">
        <v>44997.40393518518</v>
      </c>
      <c r="C1166" s="1" t="n">
        <v>46178</v>
      </c>
      <c r="D1166" t="inlineStr">
        <is>
          <t>DALARNAS LÄN</t>
        </is>
      </c>
      <c r="E1166" t="inlineStr">
        <is>
          <t>RÄTTVIK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45052-2024</t>
        </is>
      </c>
      <c r="B1167" s="1" t="n">
        <v>45575.54987268519</v>
      </c>
      <c r="C1167" s="1" t="n">
        <v>46178</v>
      </c>
      <c r="D1167" t="inlineStr">
        <is>
          <t>DALARNAS LÄN</t>
        </is>
      </c>
      <c r="E1167" t="inlineStr">
        <is>
          <t>RÄTTVIK</t>
        </is>
      </c>
      <c r="F1167" t="inlineStr">
        <is>
          <t>Bergvik skog väst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13032-2023</t>
        </is>
      </c>
      <c r="B1168" s="1" t="n">
        <v>45002.34532407407</v>
      </c>
      <c r="C1168" s="1" t="n">
        <v>46178</v>
      </c>
      <c r="D1168" t="inlineStr">
        <is>
          <t>DALARNAS LÄN</t>
        </is>
      </c>
      <c r="E1168" t="inlineStr">
        <is>
          <t>RÄTTVIK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60958-2023</t>
        </is>
      </c>
      <c r="B1169" s="1" t="n">
        <v>45259</v>
      </c>
      <c r="C1169" s="1" t="n">
        <v>46178</v>
      </c>
      <c r="D1169" t="inlineStr">
        <is>
          <t>DALARNAS LÄN</t>
        </is>
      </c>
      <c r="E1169" t="inlineStr">
        <is>
          <t>RÄTTVIK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56383-2024</t>
        </is>
      </c>
      <c r="B1170" s="1" t="n">
        <v>45625</v>
      </c>
      <c r="C1170" s="1" t="n">
        <v>46178</v>
      </c>
      <c r="D1170" t="inlineStr">
        <is>
          <t>DALARNAS LÄN</t>
        </is>
      </c>
      <c r="E1170" t="inlineStr">
        <is>
          <t>RÄTTVIK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62505-2023</t>
        </is>
      </c>
      <c r="B1171" s="1" t="n">
        <v>45267</v>
      </c>
      <c r="C1171" s="1" t="n">
        <v>46178</v>
      </c>
      <c r="D1171" t="inlineStr">
        <is>
          <t>DALARNAS LÄN</t>
        </is>
      </c>
      <c r="E1171" t="inlineStr">
        <is>
          <t>RÄTTVIK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28013-2022</t>
        </is>
      </c>
      <c r="B1172" s="1" t="n">
        <v>44746.35429398148</v>
      </c>
      <c r="C1172" s="1" t="n">
        <v>46178</v>
      </c>
      <c r="D1172" t="inlineStr">
        <is>
          <t>DALARNAS LÄN</t>
        </is>
      </c>
      <c r="E1172" t="inlineStr">
        <is>
          <t>RÄTTVIK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50153-2024</t>
        </is>
      </c>
      <c r="B1173" s="1" t="n">
        <v>45600.45541666666</v>
      </c>
      <c r="C1173" s="1" t="n">
        <v>46178</v>
      </c>
      <c r="D1173" t="inlineStr">
        <is>
          <t>DALARNAS LÄN</t>
        </is>
      </c>
      <c r="E1173" t="inlineStr">
        <is>
          <t>RÄTTVIK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55696-2023</t>
        </is>
      </c>
      <c r="B1174" s="1" t="n">
        <v>45232</v>
      </c>
      <c r="C1174" s="1" t="n">
        <v>46178</v>
      </c>
      <c r="D1174" t="inlineStr">
        <is>
          <t>DALARNAS LÄN</t>
        </is>
      </c>
      <c r="E1174" t="inlineStr">
        <is>
          <t>RÄTTVIK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58700-2024</t>
        </is>
      </c>
      <c r="B1175" s="1" t="n">
        <v>45635.63774305556</v>
      </c>
      <c r="C1175" s="1" t="n">
        <v>46178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33533-2021</t>
        </is>
      </c>
      <c r="B1176" s="1" t="n">
        <v>44377</v>
      </c>
      <c r="C1176" s="1" t="n">
        <v>46178</v>
      </c>
      <c r="D1176" t="inlineStr">
        <is>
          <t>DALARNAS LÄN</t>
        </is>
      </c>
      <c r="E1176" t="inlineStr">
        <is>
          <t>RÄTTVIK</t>
        </is>
      </c>
      <c r="F1176" t="inlineStr">
        <is>
          <t>Kyrkan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17157-2025</t>
        </is>
      </c>
      <c r="B1177" s="1" t="n">
        <v>45756.34162037037</v>
      </c>
      <c r="C1177" s="1" t="n">
        <v>46178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59518-2022</t>
        </is>
      </c>
      <c r="B1178" s="1" t="n">
        <v>44907.52895833334</v>
      </c>
      <c r="C1178" s="1" t="n">
        <v>46178</v>
      </c>
      <c r="D1178" t="inlineStr">
        <is>
          <t>DALARNAS LÄN</t>
        </is>
      </c>
      <c r="E1178" t="inlineStr">
        <is>
          <t>RÄTTVIK</t>
        </is>
      </c>
      <c r="F1178" t="inlineStr">
        <is>
          <t>Övriga statliga verk och myndigheter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46428-2024</t>
        </is>
      </c>
      <c r="B1179" s="1" t="n">
        <v>45582</v>
      </c>
      <c r="C1179" s="1" t="n">
        <v>46178</v>
      </c>
      <c r="D1179" t="inlineStr">
        <is>
          <t>DALARNAS LÄN</t>
        </is>
      </c>
      <c r="E1179" t="inlineStr">
        <is>
          <t>RÄTTVIK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15277-2025</t>
        </is>
      </c>
      <c r="B1180" s="1" t="n">
        <v>45744</v>
      </c>
      <c r="C1180" s="1" t="n">
        <v>46178</v>
      </c>
      <c r="D1180" t="inlineStr">
        <is>
          <t>DALARNAS LÄN</t>
        </is>
      </c>
      <c r="E1180" t="inlineStr">
        <is>
          <t>RÄTTVIK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60129-2022</t>
        </is>
      </c>
      <c r="B1181" s="1" t="n">
        <v>44909</v>
      </c>
      <c r="C1181" s="1" t="n">
        <v>46178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44733-2023</t>
        </is>
      </c>
      <c r="B1182" s="1" t="n">
        <v>45190</v>
      </c>
      <c r="C1182" s="1" t="n">
        <v>46178</v>
      </c>
      <c r="D1182" t="inlineStr">
        <is>
          <t>DALARNAS LÄN</t>
        </is>
      </c>
      <c r="E1182" t="inlineStr">
        <is>
          <t>RÄTTVIK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41682-2023</t>
        </is>
      </c>
      <c r="B1183" s="1" t="n">
        <v>45176.35158564815</v>
      </c>
      <c r="C1183" s="1" t="n">
        <v>46178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29506-2024</t>
        </is>
      </c>
      <c r="B1184" s="1" t="n">
        <v>45484.42069444444</v>
      </c>
      <c r="C1184" s="1" t="n">
        <v>46178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51354-2022</t>
        </is>
      </c>
      <c r="B1185" s="1" t="n">
        <v>44866</v>
      </c>
      <c r="C1185" s="1" t="n">
        <v>46178</v>
      </c>
      <c r="D1185" t="inlineStr">
        <is>
          <t>DALARNAS LÄN</t>
        </is>
      </c>
      <c r="E1185" t="inlineStr">
        <is>
          <t>RÄTTVIK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19394-2025</t>
        </is>
      </c>
      <c r="B1186" s="1" t="n">
        <v>45769</v>
      </c>
      <c r="C1186" s="1" t="n">
        <v>46178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18293-2024</t>
        </is>
      </c>
      <c r="B1187" s="1" t="n">
        <v>45422.40207175926</v>
      </c>
      <c r="C1187" s="1" t="n">
        <v>46178</v>
      </c>
      <c r="D1187" t="inlineStr">
        <is>
          <t>DALARNAS LÄN</t>
        </is>
      </c>
      <c r="E1187" t="inlineStr">
        <is>
          <t>RÄTTVIK</t>
        </is>
      </c>
      <c r="F1187" t="inlineStr">
        <is>
          <t>Allmännings- och besparingsskogar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32841-2024</t>
        </is>
      </c>
      <c r="B1188" s="1" t="n">
        <v>45516.60981481482</v>
      </c>
      <c r="C1188" s="1" t="n">
        <v>46178</v>
      </c>
      <c r="D1188" t="inlineStr">
        <is>
          <t>DALARNAS LÄN</t>
        </is>
      </c>
      <c r="E1188" t="inlineStr">
        <is>
          <t>RÄTTVIK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30776-2023</t>
        </is>
      </c>
      <c r="B1189" s="1" t="n">
        <v>45112</v>
      </c>
      <c r="C1189" s="1" t="n">
        <v>46178</v>
      </c>
      <c r="D1189" t="inlineStr">
        <is>
          <t>DALARNAS LÄN</t>
        </is>
      </c>
      <c r="E1189" t="inlineStr">
        <is>
          <t>RÄTTVIK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5518-2024</t>
        </is>
      </c>
      <c r="B1190" s="1" t="n">
        <v>45334.3753125</v>
      </c>
      <c r="C1190" s="1" t="n">
        <v>46178</v>
      </c>
      <c r="D1190" t="inlineStr">
        <is>
          <t>DALARNAS LÄN</t>
        </is>
      </c>
      <c r="E1190" t="inlineStr">
        <is>
          <t>RÄTTVIK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41052-2023</t>
        </is>
      </c>
      <c r="B1191" s="1" t="n">
        <v>45173.62484953704</v>
      </c>
      <c r="C1191" s="1" t="n">
        <v>46178</v>
      </c>
      <c r="D1191" t="inlineStr">
        <is>
          <t>DALARNAS LÄN</t>
        </is>
      </c>
      <c r="E1191" t="inlineStr">
        <is>
          <t>RÄTTVIK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20009-2025</t>
        </is>
      </c>
      <c r="B1192" s="1" t="n">
        <v>45772.28409722223</v>
      </c>
      <c r="C1192" s="1" t="n">
        <v>46178</v>
      </c>
      <c r="D1192" t="inlineStr">
        <is>
          <t>DALARNAS LÄN</t>
        </is>
      </c>
      <c r="E1192" t="inlineStr">
        <is>
          <t>RÄTTVIK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47146-2024</t>
        </is>
      </c>
      <c r="B1193" s="1" t="n">
        <v>45586.59115740741</v>
      </c>
      <c r="C1193" s="1" t="n">
        <v>46178</v>
      </c>
      <c r="D1193" t="inlineStr">
        <is>
          <t>DALARNAS LÄN</t>
        </is>
      </c>
      <c r="E1193" t="inlineStr">
        <is>
          <t>RÄTTVIK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12761-2025</t>
        </is>
      </c>
      <c r="B1194" s="1" t="n">
        <v>45733.57180555556</v>
      </c>
      <c r="C1194" s="1" t="n">
        <v>46178</v>
      </c>
      <c r="D1194" t="inlineStr">
        <is>
          <t>DALARNAS LÄN</t>
        </is>
      </c>
      <c r="E1194" t="inlineStr">
        <is>
          <t>RÄTTVIK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34339-2024</t>
        </is>
      </c>
      <c r="B1195" s="1" t="n">
        <v>45525.275</v>
      </c>
      <c r="C1195" s="1" t="n">
        <v>46178</v>
      </c>
      <c r="D1195" t="inlineStr">
        <is>
          <t>DALARNAS LÄN</t>
        </is>
      </c>
      <c r="E1195" t="inlineStr">
        <is>
          <t>RÄTTVIK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34340-2024</t>
        </is>
      </c>
      <c r="B1196" s="1" t="n">
        <v>45525.28571759259</v>
      </c>
      <c r="C1196" s="1" t="n">
        <v>46178</v>
      </c>
      <c r="D1196" t="inlineStr">
        <is>
          <t>DALARNAS LÄN</t>
        </is>
      </c>
      <c r="E1196" t="inlineStr">
        <is>
          <t>RÄTTVIK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73511-2021</t>
        </is>
      </c>
      <c r="B1197" s="1" t="n">
        <v>44551.68319444444</v>
      </c>
      <c r="C1197" s="1" t="n">
        <v>46178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3725-2024</t>
        </is>
      </c>
      <c r="B1198" s="1" t="n">
        <v>45321</v>
      </c>
      <c r="C1198" s="1" t="n">
        <v>46178</v>
      </c>
      <c r="D1198" t="inlineStr">
        <is>
          <t>DALARNAS LÄN</t>
        </is>
      </c>
      <c r="E1198" t="inlineStr">
        <is>
          <t>RÄTTVIK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10317-2024</t>
        </is>
      </c>
      <c r="B1199" s="1" t="n">
        <v>45365.54094907407</v>
      </c>
      <c r="C1199" s="1" t="n">
        <v>46178</v>
      </c>
      <c r="D1199" t="inlineStr">
        <is>
          <t>DALARNAS LÄN</t>
        </is>
      </c>
      <c r="E1199" t="inlineStr">
        <is>
          <t>RÄTTVIK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55385-2024</t>
        </is>
      </c>
      <c r="B1200" s="1" t="n">
        <v>45622.3167824074</v>
      </c>
      <c r="C1200" s="1" t="n">
        <v>46178</v>
      </c>
      <c r="D1200" t="inlineStr">
        <is>
          <t>DALARNAS LÄN</t>
        </is>
      </c>
      <c r="E1200" t="inlineStr">
        <is>
          <t>RÄTTVIK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36524-2022</t>
        </is>
      </c>
      <c r="B1201" s="1" t="n">
        <v>44804.54327546297</v>
      </c>
      <c r="C1201" s="1" t="n">
        <v>46178</v>
      </c>
      <c r="D1201" t="inlineStr">
        <is>
          <t>DALARNAS LÄN</t>
        </is>
      </c>
      <c r="E1201" t="inlineStr">
        <is>
          <t>RÄTTVIK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4414-2025</t>
        </is>
      </c>
      <c r="B1202" s="1" t="n">
        <v>45686.45730324074</v>
      </c>
      <c r="C1202" s="1" t="n">
        <v>46178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950-2025</t>
        </is>
      </c>
      <c r="B1203" s="1" t="n">
        <v>45666.3599537037</v>
      </c>
      <c r="C1203" s="1" t="n">
        <v>46178</v>
      </c>
      <c r="D1203" t="inlineStr">
        <is>
          <t>DALARNAS LÄN</t>
        </is>
      </c>
      <c r="E1203" t="inlineStr">
        <is>
          <t>RÄTTVIK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55203-2021</t>
        </is>
      </c>
      <c r="B1204" s="1" t="n">
        <v>44475</v>
      </c>
      <c r="C1204" s="1" t="n">
        <v>46178</v>
      </c>
      <c r="D1204" t="inlineStr">
        <is>
          <t>DALARNAS LÄN</t>
        </is>
      </c>
      <c r="E1204" t="inlineStr">
        <is>
          <t>RÄTTVIK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59923-2024</t>
        </is>
      </c>
      <c r="B1205" s="1" t="n">
        <v>45641.92173611111</v>
      </c>
      <c r="C1205" s="1" t="n">
        <v>46178</v>
      </c>
      <c r="D1205" t="inlineStr">
        <is>
          <t>DALARNAS LÄN</t>
        </is>
      </c>
      <c r="E1205" t="inlineStr">
        <is>
          <t>RÄTTVIK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16892-2025</t>
        </is>
      </c>
      <c r="B1206" s="1" t="n">
        <v>45751</v>
      </c>
      <c r="C1206" s="1" t="n">
        <v>46178</v>
      </c>
      <c r="D1206" t="inlineStr">
        <is>
          <t>DALARNAS LÄN</t>
        </is>
      </c>
      <c r="E1206" t="inlineStr">
        <is>
          <t>RÄTTVIK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19841-2025</t>
        </is>
      </c>
      <c r="B1207" s="1" t="n">
        <v>45771.47921296296</v>
      </c>
      <c r="C1207" s="1" t="n">
        <v>46178</v>
      </c>
      <c r="D1207" t="inlineStr">
        <is>
          <t>DALARNAS LÄN</t>
        </is>
      </c>
      <c r="E1207" t="inlineStr">
        <is>
          <t>RÄTTVIK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32862-2023</t>
        </is>
      </c>
      <c r="B1208" s="1" t="n">
        <v>45112</v>
      </c>
      <c r="C1208" s="1" t="n">
        <v>46178</v>
      </c>
      <c r="D1208" t="inlineStr">
        <is>
          <t>DALARNAS LÄN</t>
        </is>
      </c>
      <c r="E1208" t="inlineStr">
        <is>
          <t>RÄTTVIK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49176-2024</t>
        </is>
      </c>
      <c r="B1209" s="1" t="n">
        <v>45595</v>
      </c>
      <c r="C1209" s="1" t="n">
        <v>46178</v>
      </c>
      <c r="D1209" t="inlineStr">
        <is>
          <t>DALARNAS LÄN</t>
        </is>
      </c>
      <c r="E1209" t="inlineStr">
        <is>
          <t>RÄTTVIK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45621-2023</t>
        </is>
      </c>
      <c r="B1210" s="1" t="n">
        <v>45188</v>
      </c>
      <c r="C1210" s="1" t="n">
        <v>46178</v>
      </c>
      <c r="D1210" t="inlineStr">
        <is>
          <t>DALARNAS LÄN</t>
        </is>
      </c>
      <c r="E1210" t="inlineStr">
        <is>
          <t>RÄTTVIK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41542-2024</t>
        </is>
      </c>
      <c r="B1211" s="1" t="n">
        <v>45560.50650462963</v>
      </c>
      <c r="C1211" s="1" t="n">
        <v>46178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1070-2025</t>
        </is>
      </c>
      <c r="B1212" s="1" t="n">
        <v>45666</v>
      </c>
      <c r="C1212" s="1" t="n">
        <v>46178</v>
      </c>
      <c r="D1212" t="inlineStr">
        <is>
          <t>DALARNAS LÄN</t>
        </is>
      </c>
      <c r="E1212" t="inlineStr">
        <is>
          <t>RÄTTVIK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20619-2025</t>
        </is>
      </c>
      <c r="B1213" s="1" t="n">
        <v>45776.31802083334</v>
      </c>
      <c r="C1213" s="1" t="n">
        <v>46178</v>
      </c>
      <c r="D1213" t="inlineStr">
        <is>
          <t>DALARNAS LÄN</t>
        </is>
      </c>
      <c r="E1213" t="inlineStr">
        <is>
          <t>RÄTTVIK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20650-2025</t>
        </is>
      </c>
      <c r="B1214" s="1" t="n">
        <v>45776.39649305555</v>
      </c>
      <c r="C1214" s="1" t="n">
        <v>46178</v>
      </c>
      <c r="D1214" t="inlineStr">
        <is>
          <t>DALARNAS LÄN</t>
        </is>
      </c>
      <c r="E1214" t="inlineStr">
        <is>
          <t>RÄTTVIK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21078-2025</t>
        </is>
      </c>
      <c r="B1215" s="1" t="n">
        <v>45777</v>
      </c>
      <c r="C1215" s="1" t="n">
        <v>46178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20616-2025</t>
        </is>
      </c>
      <c r="B1216" s="1" t="n">
        <v>45776.28881944445</v>
      </c>
      <c r="C1216" s="1" t="n">
        <v>46178</v>
      </c>
      <c r="D1216" t="inlineStr">
        <is>
          <t>DALARNAS LÄN</t>
        </is>
      </c>
      <c r="E1216" t="inlineStr">
        <is>
          <t>RÄTTVIK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20615-2025</t>
        </is>
      </c>
      <c r="B1217" s="1" t="n">
        <v>45776.28671296296</v>
      </c>
      <c r="C1217" s="1" t="n">
        <v>46178</v>
      </c>
      <c r="D1217" t="inlineStr">
        <is>
          <t>DALARNAS LÄN</t>
        </is>
      </c>
      <c r="E1217" t="inlineStr">
        <is>
          <t>RÄTTVIK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20652-2025</t>
        </is>
      </c>
      <c r="B1218" s="1" t="n">
        <v>45776.3999537037</v>
      </c>
      <c r="C1218" s="1" t="n">
        <v>46178</v>
      </c>
      <c r="D1218" t="inlineStr">
        <is>
          <t>DALARNAS LÄN</t>
        </is>
      </c>
      <c r="E1218" t="inlineStr">
        <is>
          <t>RÄTTVIK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21216-2025</t>
        </is>
      </c>
      <c r="B1219" s="1" t="n">
        <v>45779</v>
      </c>
      <c r="C1219" s="1" t="n">
        <v>46178</v>
      </c>
      <c r="D1219" t="inlineStr">
        <is>
          <t>DALARNAS LÄN</t>
        </is>
      </c>
      <c r="E1219" t="inlineStr">
        <is>
          <t>RÄTTVIK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21238-2025</t>
        </is>
      </c>
      <c r="B1220" s="1" t="n">
        <v>45779.56446759259</v>
      </c>
      <c r="C1220" s="1" t="n">
        <v>46178</v>
      </c>
      <c r="D1220" t="inlineStr">
        <is>
          <t>DALARNAS LÄN</t>
        </is>
      </c>
      <c r="E1220" t="inlineStr">
        <is>
          <t>RÄTTVIK</t>
        </is>
      </c>
      <c r="F1220" t="inlineStr">
        <is>
          <t>Sveaskog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54115-2024</t>
        </is>
      </c>
      <c r="B1221" s="1" t="n">
        <v>45616</v>
      </c>
      <c r="C1221" s="1" t="n">
        <v>46178</v>
      </c>
      <c r="D1221" t="inlineStr">
        <is>
          <t>DALARNAS LÄN</t>
        </is>
      </c>
      <c r="E1221" t="inlineStr">
        <is>
          <t>RÄTTVIK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21460-2025</t>
        </is>
      </c>
      <c r="B1222" s="1" t="n">
        <v>45782.56483796296</v>
      </c>
      <c r="C1222" s="1" t="n">
        <v>46178</v>
      </c>
      <c r="D1222" t="inlineStr">
        <is>
          <t>DALARNAS LÄN</t>
        </is>
      </c>
      <c r="E1222" t="inlineStr">
        <is>
          <t>RÄTTVIK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64094-2023</t>
        </is>
      </c>
      <c r="B1223" s="1" t="n">
        <v>45279</v>
      </c>
      <c r="C1223" s="1" t="n">
        <v>46178</v>
      </c>
      <c r="D1223" t="inlineStr">
        <is>
          <t>DALARNAS LÄN</t>
        </is>
      </c>
      <c r="E1223" t="inlineStr">
        <is>
          <t>RÄTTVIK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31390-2024</t>
        </is>
      </c>
      <c r="B1224" s="1" t="n">
        <v>45505.46570601852</v>
      </c>
      <c r="C1224" s="1" t="n">
        <v>46178</v>
      </c>
      <c r="D1224" t="inlineStr">
        <is>
          <t>DALARNAS LÄN</t>
        </is>
      </c>
      <c r="E1224" t="inlineStr">
        <is>
          <t>RÄTTVIK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21363-2025</t>
        </is>
      </c>
      <c r="B1225" s="1" t="n">
        <v>45782.44003472223</v>
      </c>
      <c r="C1225" s="1" t="n">
        <v>46178</v>
      </c>
      <c r="D1225" t="inlineStr">
        <is>
          <t>DALARNAS LÄN</t>
        </is>
      </c>
      <c r="E1225" t="inlineStr">
        <is>
          <t>RÄTTVIK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35702-2022</t>
        </is>
      </c>
      <c r="B1226" s="1" t="n">
        <v>44799.64663194444</v>
      </c>
      <c r="C1226" s="1" t="n">
        <v>46178</v>
      </c>
      <c r="D1226" t="inlineStr">
        <is>
          <t>DALARNAS LÄN</t>
        </is>
      </c>
      <c r="E1226" t="inlineStr">
        <is>
          <t>RÄTTVIK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21899-2025</t>
        </is>
      </c>
      <c r="B1227" s="1" t="n">
        <v>45784</v>
      </c>
      <c r="C1227" s="1" t="n">
        <v>46178</v>
      </c>
      <c r="D1227" t="inlineStr">
        <is>
          <t>DALARNAS LÄN</t>
        </is>
      </c>
      <c r="E1227" t="inlineStr">
        <is>
          <t>RÄTTVIK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50892-2024</t>
        </is>
      </c>
      <c r="B1228" s="1" t="n">
        <v>45602.67575231481</v>
      </c>
      <c r="C1228" s="1" t="n">
        <v>46178</v>
      </c>
      <c r="D1228" t="inlineStr">
        <is>
          <t>DALARNAS LÄN</t>
        </is>
      </c>
      <c r="E1228" t="inlineStr">
        <is>
          <t>RÄTTVIK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22027-2025</t>
        </is>
      </c>
      <c r="B1229" s="1" t="n">
        <v>45784.99393518519</v>
      </c>
      <c r="C1229" s="1" t="n">
        <v>46178</v>
      </c>
      <c r="D1229" t="inlineStr">
        <is>
          <t>DALARNAS LÄN</t>
        </is>
      </c>
      <c r="E1229" t="inlineStr">
        <is>
          <t>RÄTTVIK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8127-2024</t>
        </is>
      </c>
      <c r="B1230" s="1" t="n">
        <v>45351</v>
      </c>
      <c r="C1230" s="1" t="n">
        <v>46178</v>
      </c>
      <c r="D1230" t="inlineStr">
        <is>
          <t>DALARNAS LÄN</t>
        </is>
      </c>
      <c r="E1230" t="inlineStr">
        <is>
          <t>RÄTTVIK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38266-2024</t>
        </is>
      </c>
      <c r="B1231" s="1" t="n">
        <v>45545.59650462963</v>
      </c>
      <c r="C1231" s="1" t="n">
        <v>46178</v>
      </c>
      <c r="D1231" t="inlineStr">
        <is>
          <t>DALARNAS LÄN</t>
        </is>
      </c>
      <c r="E1231" t="inlineStr">
        <is>
          <t>RÄTTVIK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63239-2023</t>
        </is>
      </c>
      <c r="B1232" s="1" t="n">
        <v>45273.66196759259</v>
      </c>
      <c r="C1232" s="1" t="n">
        <v>46178</v>
      </c>
      <c r="D1232" t="inlineStr">
        <is>
          <t>DALARNAS LÄN</t>
        </is>
      </c>
      <c r="E1232" t="inlineStr">
        <is>
          <t>RÄTTVIK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31388-2024</t>
        </is>
      </c>
      <c r="B1233" s="1" t="n">
        <v>45505.46128472222</v>
      </c>
      <c r="C1233" s="1" t="n">
        <v>46178</v>
      </c>
      <c r="D1233" t="inlineStr">
        <is>
          <t>DALARNAS LÄN</t>
        </is>
      </c>
      <c r="E1233" t="inlineStr">
        <is>
          <t>RÄTTVIK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46387-2024</t>
        </is>
      </c>
      <c r="B1234" s="1" t="n">
        <v>45582</v>
      </c>
      <c r="C1234" s="1" t="n">
        <v>46178</v>
      </c>
      <c r="D1234" t="inlineStr">
        <is>
          <t>DALARNAS LÄN</t>
        </is>
      </c>
      <c r="E1234" t="inlineStr">
        <is>
          <t>RÄTTVIK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7128-2025</t>
        </is>
      </c>
      <c r="B1235" s="1" t="n">
        <v>45702</v>
      </c>
      <c r="C1235" s="1" t="n">
        <v>46178</v>
      </c>
      <c r="D1235" t="inlineStr">
        <is>
          <t>DALARNAS LÄN</t>
        </is>
      </c>
      <c r="E1235" t="inlineStr">
        <is>
          <t>RÄTTVIK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31386-2024</t>
        </is>
      </c>
      <c r="B1236" s="1" t="n">
        <v>45505.45523148148</v>
      </c>
      <c r="C1236" s="1" t="n">
        <v>46178</v>
      </c>
      <c r="D1236" t="inlineStr">
        <is>
          <t>DALARNAS LÄN</t>
        </is>
      </c>
      <c r="E1236" t="inlineStr">
        <is>
          <t>RÄTTVIK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22366-2025</t>
        </is>
      </c>
      <c r="B1237" s="1" t="n">
        <v>45786</v>
      </c>
      <c r="C1237" s="1" t="n">
        <v>46178</v>
      </c>
      <c r="D1237" t="inlineStr">
        <is>
          <t>DALARNAS LÄN</t>
        </is>
      </c>
      <c r="E1237" t="inlineStr">
        <is>
          <t>RÄTTVIK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19129-2024</t>
        </is>
      </c>
      <c r="B1238" s="1" t="n">
        <v>45428.40965277778</v>
      </c>
      <c r="C1238" s="1" t="n">
        <v>46178</v>
      </c>
      <c r="D1238" t="inlineStr">
        <is>
          <t>DALARNAS LÄN</t>
        </is>
      </c>
      <c r="E1238" t="inlineStr">
        <is>
          <t>RÄTTVIK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32837-2024</t>
        </is>
      </c>
      <c r="B1239" s="1" t="n">
        <v>45516.60577546297</v>
      </c>
      <c r="C1239" s="1" t="n">
        <v>46178</v>
      </c>
      <c r="D1239" t="inlineStr">
        <is>
          <t>DALARNAS LÄN</t>
        </is>
      </c>
      <c r="E1239" t="inlineStr">
        <is>
          <t>RÄTTVIK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22788-2025</t>
        </is>
      </c>
      <c r="B1240" s="1" t="n">
        <v>45789.6521875</v>
      </c>
      <c r="C1240" s="1" t="n">
        <v>46178</v>
      </c>
      <c r="D1240" t="inlineStr">
        <is>
          <t>DALARNAS LÄN</t>
        </is>
      </c>
      <c r="E1240" t="inlineStr">
        <is>
          <t>RÄTTVIK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22762-2025</t>
        </is>
      </c>
      <c r="B1241" s="1" t="n">
        <v>45789.62225694444</v>
      </c>
      <c r="C1241" s="1" t="n">
        <v>46178</v>
      </c>
      <c r="D1241" t="inlineStr">
        <is>
          <t>DALARNAS LÄN</t>
        </is>
      </c>
      <c r="E1241" t="inlineStr">
        <is>
          <t>RÄTTVIK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39712-2024</t>
        </is>
      </c>
      <c r="B1242" s="1" t="n">
        <v>45552</v>
      </c>
      <c r="C1242" s="1" t="n">
        <v>46178</v>
      </c>
      <c r="D1242" t="inlineStr">
        <is>
          <t>DALARNAS LÄN</t>
        </is>
      </c>
      <c r="E1242" t="inlineStr">
        <is>
          <t>RÄTTVIK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23257-2025</t>
        </is>
      </c>
      <c r="B1243" s="1" t="n">
        <v>45791.53803240741</v>
      </c>
      <c r="C1243" s="1" t="n">
        <v>46178</v>
      </c>
      <c r="D1243" t="inlineStr">
        <is>
          <t>DALARNAS LÄN</t>
        </is>
      </c>
      <c r="E1243" t="inlineStr">
        <is>
          <t>RÄTTVIK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22904-2025</t>
        </is>
      </c>
      <c r="B1244" s="1" t="n">
        <v>45790.41590277778</v>
      </c>
      <c r="C1244" s="1" t="n">
        <v>46178</v>
      </c>
      <c r="D1244" t="inlineStr">
        <is>
          <t>DALARNAS LÄN</t>
        </is>
      </c>
      <c r="E1244" t="inlineStr">
        <is>
          <t>RÄTTVIK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44248-2023</t>
        </is>
      </c>
      <c r="B1245" s="1" t="n">
        <v>45188.58259259259</v>
      </c>
      <c r="C1245" s="1" t="n">
        <v>46178</v>
      </c>
      <c r="D1245" t="inlineStr">
        <is>
          <t>DALARNAS LÄN</t>
        </is>
      </c>
      <c r="E1245" t="inlineStr">
        <is>
          <t>RÄTTVIK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33167-2024</t>
        </is>
      </c>
      <c r="B1246" s="1" t="n">
        <v>45518.41770833333</v>
      </c>
      <c r="C1246" s="1" t="n">
        <v>46178</v>
      </c>
      <c r="D1246" t="inlineStr">
        <is>
          <t>DALARNAS LÄN</t>
        </is>
      </c>
      <c r="E1246" t="inlineStr">
        <is>
          <t>RÄTTVIK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14320-2025</t>
        </is>
      </c>
      <c r="B1247" s="1" t="n">
        <v>45740.74896990741</v>
      </c>
      <c r="C1247" s="1" t="n">
        <v>46178</v>
      </c>
      <c r="D1247" t="inlineStr">
        <is>
          <t>DALARNAS LÄN</t>
        </is>
      </c>
      <c r="E1247" t="inlineStr">
        <is>
          <t>RÄTTVIK</t>
        </is>
      </c>
      <c r="F1247" t="inlineStr">
        <is>
          <t>Bergvik skog väst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41339-2024</t>
        </is>
      </c>
      <c r="B1248" s="1" t="n">
        <v>45559.67018518518</v>
      </c>
      <c r="C1248" s="1" t="n">
        <v>46178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23814-2025</t>
        </is>
      </c>
      <c r="B1249" s="1" t="n">
        <v>45793.57851851852</v>
      </c>
      <c r="C1249" s="1" t="n">
        <v>46178</v>
      </c>
      <c r="D1249" t="inlineStr">
        <is>
          <t>DALARNAS LÄN</t>
        </is>
      </c>
      <c r="E1249" t="inlineStr">
        <is>
          <t>RÄTTVIK</t>
        </is>
      </c>
      <c r="F1249" t="inlineStr">
        <is>
          <t>Sveaskog</t>
        </is>
      </c>
      <c r="G1249" t="n">
        <v>7.5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23836-2025</t>
        </is>
      </c>
      <c r="B1250" s="1" t="n">
        <v>45793.61202546296</v>
      </c>
      <c r="C1250" s="1" t="n">
        <v>46178</v>
      </c>
      <c r="D1250" t="inlineStr">
        <is>
          <t>DALARNAS LÄN</t>
        </is>
      </c>
      <c r="E1250" t="inlineStr">
        <is>
          <t>RÄTTVIK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27522-2023</t>
        </is>
      </c>
      <c r="B1251" s="1" t="n">
        <v>45097</v>
      </c>
      <c r="C1251" s="1" t="n">
        <v>46178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27535-2023</t>
        </is>
      </c>
      <c r="B1252" s="1" t="n">
        <v>45097</v>
      </c>
      <c r="C1252" s="1" t="n">
        <v>46178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33276-2024</t>
        </is>
      </c>
      <c r="B1253" s="1" t="n">
        <v>45518</v>
      </c>
      <c r="C1253" s="1" t="n">
        <v>46178</v>
      </c>
      <c r="D1253" t="inlineStr">
        <is>
          <t>DALARNAS LÄN</t>
        </is>
      </c>
      <c r="E1253" t="inlineStr">
        <is>
          <t>RÄTTVIK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48939-2024</t>
        </is>
      </c>
      <c r="B1254" s="1" t="n">
        <v>45594.41760416667</v>
      </c>
      <c r="C1254" s="1" t="n">
        <v>46178</v>
      </c>
      <c r="D1254" t="inlineStr">
        <is>
          <t>DALARNAS LÄN</t>
        </is>
      </c>
      <c r="E1254" t="inlineStr">
        <is>
          <t>RÄTTVIK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24203-2025</t>
        </is>
      </c>
      <c r="B1255" s="1" t="n">
        <v>45797.31393518519</v>
      </c>
      <c r="C1255" s="1" t="n">
        <v>46178</v>
      </c>
      <c r="D1255" t="inlineStr">
        <is>
          <t>DALARNAS LÄN</t>
        </is>
      </c>
      <c r="E1255" t="inlineStr">
        <is>
          <t>RÄTTVIK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24022-2025</t>
        </is>
      </c>
      <c r="B1256" s="1" t="n">
        <v>45796.45900462963</v>
      </c>
      <c r="C1256" s="1" t="n">
        <v>46178</v>
      </c>
      <c r="D1256" t="inlineStr">
        <is>
          <t>DALARNAS LÄN</t>
        </is>
      </c>
      <c r="E1256" t="inlineStr">
        <is>
          <t>RÄTTVIK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2026-06-05T10:49:34Z</dcterms:created>
  <dcterms:modified xmlns:dcterms="http://purl.org/dc/terms/" xmlns:xsi="http://www.w3.org/2001/XMLSchema-instance" xsi:type="dcterms:W3CDTF">2026-06-05T10:49:35Z</dcterms:modified>
</cp:coreProperties>
</file>