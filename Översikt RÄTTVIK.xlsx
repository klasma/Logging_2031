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45749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45749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45749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45749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45749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45749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45749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45749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45749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45749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45749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45749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45749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45749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45749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45749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45749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45749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45749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45749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45749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45749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45749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45749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45749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45749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45749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45749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45749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45749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45749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45749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45749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45749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45749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45749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45749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45749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45749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45749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45749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45749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45749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45749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45749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45749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45749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45749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45749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45749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45749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45749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45749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45749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45749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45749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45749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45749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45749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45749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45749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45749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45749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45749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45749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45749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45749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45749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HYPERLINK("https://klasma.github.io/Logging_202031/artfynd/A 11320-2025 artfynd.xlsx", "A 11320-2025")</f>
        <v/>
      </c>
      <c r="T69">
        <f>HYPERLINK("https://klasma.github.io/Logging_202031/kartor/A 11320-2025 karta.png", "A 11320-2025")</f>
        <v/>
      </c>
      <c r="V69">
        <f>HYPERLINK("https://klasma.github.io/Logging_202031/klagomål/A 11320-2025 FSC-klagomål.docx", "A 11320-2025")</f>
        <v/>
      </c>
      <c r="W69">
        <f>HYPERLINK("https://klasma.github.io/Logging_202031/klagomålsmail/A 11320-2025 FSC-klagomål mail.docx", "A 11320-2025")</f>
        <v/>
      </c>
      <c r="X69">
        <f>HYPERLINK("https://klasma.github.io/Logging_202031/tillsyn/A 11320-2025 tillsynsbegäran.docx", "A 11320-2025")</f>
        <v/>
      </c>
      <c r="Y69">
        <f>HYPERLINK("https://klasma.github.io/Logging_202031/tillsynsmail/A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45749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45749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45749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45749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45749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45749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45749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45749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45749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45749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45749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45749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45749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45749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45749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45749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45749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45749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45749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45749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45749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45749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45749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45749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45749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45749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45749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45749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45749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45749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45749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45749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45749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45749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45749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45749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45749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45749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45749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45749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45749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45749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45749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45749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45749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45749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45749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45749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45749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45749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45749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45749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45749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45749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45749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45749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45749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45749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45749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45749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45749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45749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45749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45749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45749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45749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45749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45749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45749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45749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45749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45749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45749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45749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45749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45749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45749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45749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45749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45749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45749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45749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45749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45749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45749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45749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45749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45749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45749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45749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45749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45749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45749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45749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45749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45749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45749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45749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45749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45749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45749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45749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45749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45749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45749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45749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45749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45749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45749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45749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45749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45749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45749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45749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45749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45749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45749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45749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45749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45749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45749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45749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45749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45749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45749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45749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45749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45749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45749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45749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45749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45749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45749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45749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45749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45749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45749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45749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45749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45749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45749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45749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45749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45749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45749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45749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45749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45749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45749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45749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45749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45749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45749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45749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45749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45749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45749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45749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45749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45749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45749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45749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45749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45749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45749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45749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45749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45749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45749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45749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45749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45749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45749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45749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45749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45749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45749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45749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45749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45749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45749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45749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45749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45749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45749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45749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45749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45749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45749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45749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45749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45749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45749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45749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45749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45749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45749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45749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45749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45749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45749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45749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45749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45749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45749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45749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45749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45749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45749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45749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45749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45749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45749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45749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45749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45749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45749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45749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45749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45749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45749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45749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45749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45749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45749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45749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45749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45749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45749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45749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45749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45749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45749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45749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45749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45749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45749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45749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45749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45749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45749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45749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45749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45749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45749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45749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45749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45749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45749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45749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45749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45749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45749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45749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45749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45749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45749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45749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45749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45749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45749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45749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45749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45749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45749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45749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45749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45749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45749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45749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45749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45749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45749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45749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45749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45749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45749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45749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45749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45749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45749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45749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45749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45749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45749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45749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45749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45749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45749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45749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45749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45749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45749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45749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45749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45749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45749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45749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45749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45749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45749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45749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45749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45749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45749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45749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45749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45749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45749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45749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45749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45749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45749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45749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45749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45749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45749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45749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45749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45749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45749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45749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45749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45749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45749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45749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45749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45749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45749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45749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45749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45749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45749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45749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45749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45749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45749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45749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45749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45749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45749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45749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45749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45749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45749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45749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45749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45749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45749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45749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45749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45749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45749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45749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45749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45749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45749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45749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45749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45749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45749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45749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45749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45749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45749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45749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45749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45749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45749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45749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45749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45749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45749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45749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45749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45749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45749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45749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45749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45749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45749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45749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45749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45749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45749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45749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45749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45749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45749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45749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45749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45749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45749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45749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45749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45749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45749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45749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45749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45749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45749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45749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45749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45749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45749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45749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45749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45749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45749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45749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45749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45749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45749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45749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45749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45749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45749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45749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45749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45749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45749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45749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45749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45749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45749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45749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45749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45749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45749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45749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45749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45749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45749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45749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45749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45749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45749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45749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45749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45749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45749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45749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45749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45749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45749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45749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45749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45749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45749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45749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45749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45749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45749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45749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45749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45749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45749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45749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45749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45749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45749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45749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45749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45749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45749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45749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45749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45749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45749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45749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45749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45749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45749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45749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45749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45749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45749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45749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45749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45749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45749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45749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45749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45749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45749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45749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45749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45749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45749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45749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45749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45749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45749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45749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45749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45749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45749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45749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45749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45749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45749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45749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45749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45749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45749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45749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45749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45749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45749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45749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45749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45749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45749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45749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45749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45749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45749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45749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45749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45749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45749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45749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45749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45749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45749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45749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45749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45749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45749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45749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45749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45749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45749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45749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45749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45749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45749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45749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45749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45749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45749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45749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45749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45749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45749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45749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45749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45749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45749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45749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45749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45749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45749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45749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45749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45749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45749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45749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45749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45749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45749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45749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45749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45749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45749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45749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45749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45749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45749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45749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45749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45749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45749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45749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45749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45749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45749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45749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45749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45749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45749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45749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45749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45749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45749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45749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45749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45749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45749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45749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45749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45749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45749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45749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45749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45749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45749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45749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45749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45749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45749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45749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45749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45749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45749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45749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45749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45749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45749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45749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45749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45749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45749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45749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45749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45749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45749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45749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45749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45749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45749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45749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45749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45749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45749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45749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45749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45749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45749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45749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45749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45749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45749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45749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45749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45749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45749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45749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45749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45749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45749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45749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45749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45749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45749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45749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45749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45749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45749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45749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45749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45749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45749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45749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45749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45749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45749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45749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45749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45749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45749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45749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45749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45749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45749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45749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45749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45749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45749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45749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45749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45749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45749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45749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45749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45749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45749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45749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45749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45749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45749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45749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45749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45749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45749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45749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45749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45749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45749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45749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45749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45749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45749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45749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45749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45749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45749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45749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45749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45749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45749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45749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45749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45749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45749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45749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45749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45749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45749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45749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45749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45749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45749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45749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45749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45749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45749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45749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45749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45749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45749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45749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45749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45749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45749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45749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45749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45749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45749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45749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45749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45749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45749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45749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45749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45749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45749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45749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45749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45749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45749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45749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45749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45749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45749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45749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45749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45749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45749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45749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45749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45749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45749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45749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45749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45749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45749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45749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45749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45749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45749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45749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45749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45749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45749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45749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45749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45749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45749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45749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45749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45749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45749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45749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45749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45749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45749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45749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45749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45749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45749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45749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45749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45749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45749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45749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45749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45749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45749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45749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45749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45749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45749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45749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45749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45749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45749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45749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45749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45749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45749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45749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45749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45749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45749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45749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45749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45749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45749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45749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45749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45749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45749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45749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45749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45749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45749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45749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45749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45749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45749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45749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45749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45749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45749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45749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45749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45749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45749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45749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45749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45749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45749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45749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45749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45749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45749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45749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45749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45749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45749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45749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45749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45749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45749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45749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45749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45749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45749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45749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45749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45749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45749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45749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45749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45749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45749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45749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45749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45749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45749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45749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45749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45749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45749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45749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45749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45749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45749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45749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45749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45749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45749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45749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45749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45749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45749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45749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45749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45749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45749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45749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45749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45749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45749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45749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45749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45749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45749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45749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45749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45749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45749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45749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45749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45749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45749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45749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45749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45749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45749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45749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45749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45749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45749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45749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45749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45749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45749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45749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45749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45749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45749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45749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45749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45749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45749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45749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45749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45749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45749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45749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45749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45749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45749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45749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45749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45749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45749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45749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45749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45749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45749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45749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45749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45749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45749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45749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45749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45749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45749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45749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45749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45749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45749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45749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45749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45749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45749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45749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45749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45749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45749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45749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45749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45749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45749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45749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45749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45749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45749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45749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45749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45749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45749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45749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45749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45749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45749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45749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45749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45749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45749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45749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45749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45749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45749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45749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45749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45749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45749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45749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45749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45749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45749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45749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45749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45749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45749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45749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45749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45749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45749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45749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45749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45749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45749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45749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45749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45749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45749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45749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45749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45749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45749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45749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45749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45749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45749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45749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45749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45749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45749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45749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45749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45749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45749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45749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45749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45749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45749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45749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45749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45749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45749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45749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45749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45749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45749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45749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45749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45749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45749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45749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45749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45749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45749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45749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45749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45749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45749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45749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45749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45749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45749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45749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45749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45749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45749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45749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45749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45749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45749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45749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45749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45749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45749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45749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45749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45749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45749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45749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45749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45749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45749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45749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45749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45749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45749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45749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45749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45749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45749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45749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45749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45749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45749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45749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45749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45749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45749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45749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45749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45749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45749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45749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45749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45749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45749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45749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45749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45749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45749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45749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45749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45749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45749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45749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45749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45749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45749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45749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45749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45749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45749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45749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45749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45749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45749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45749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45749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45749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45749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45749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45749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45749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45749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45749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45749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45749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45749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45749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45749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45749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45749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45749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45749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45749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45749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45749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45749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45749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45749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45749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45749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45749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45749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45749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45749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45749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45749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45749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45749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45749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45749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45749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45749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45749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45749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45749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45749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45749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45749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45749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45749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45749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45749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45749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45749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45749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45749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45749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45749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45749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45749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45749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45749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45749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45749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45749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45749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45749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45749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45749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45749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45749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45749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45749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45749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45749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45749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45749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45749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45749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45749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45749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45749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45749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45749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45749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45749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45749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45749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45749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45749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45749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45749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45749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45749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45749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45749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45749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45749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45749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45749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45749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45749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45749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45749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45749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45749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45749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45749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45749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45749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45749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45749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45749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45749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45749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45749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45749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45749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45749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45749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45749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45749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45749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45749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45749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45749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45749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45749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45749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45749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45749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45749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45749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45749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45749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45749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45749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45749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45749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45749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45749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45749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45749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45749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45749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45749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45749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45749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45749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45749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45749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45749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45749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45749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45749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45749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45749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45749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45749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45749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45749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45749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45749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45749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45749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45749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45749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45749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45749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45749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45749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45749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45749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45749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45749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45749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45749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45749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45749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45749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45749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45749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45749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45749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45749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45749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45749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45749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45749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45749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45749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45749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45749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45749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45749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45749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45749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45749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45749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45749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45749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45749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45749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45749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45749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45749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45749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45749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45749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45749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45749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45749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45749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45749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45749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45749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45749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45749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45749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45749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45749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45749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45749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45749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45749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45749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45749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45749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45749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45749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45749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45749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45749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45749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45749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45749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45749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45749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45749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45749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45749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45749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45749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12380-2025</t>
        </is>
      </c>
      <c r="B1418" s="1" t="n">
        <v>45730</v>
      </c>
      <c r="C1418" s="1" t="n">
        <v>45749</v>
      </c>
      <c r="D1418" t="inlineStr">
        <is>
          <t>DALARNAS LÄN</t>
        </is>
      </c>
      <c r="E1418" t="inlineStr">
        <is>
          <t>RÄTTVIK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12387-2025</t>
        </is>
      </c>
      <c r="B1419" s="1" t="n">
        <v>45730</v>
      </c>
      <c r="C1419" s="1" t="n">
        <v>45749</v>
      </c>
      <c r="D1419" t="inlineStr">
        <is>
          <t>DALARNAS LÄN</t>
        </is>
      </c>
      <c r="E1419" t="inlineStr">
        <is>
          <t>RÄTTVIK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45749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45749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45749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45749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45749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45749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45749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45749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45749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45749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45749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45749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45749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45749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45749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45749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45749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45749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45749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45749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45749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45749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15277-2025</t>
        </is>
      </c>
      <c r="B1442" s="1" t="n">
        <v>45744</v>
      </c>
      <c r="C1442" s="1" t="n">
        <v>45749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2025-04-02T17:04:44Z</dcterms:created>
  <dcterms:modified xmlns:dcterms="http://purl.org/dc/terms/" xmlns:xsi="http://www.w3.org/2001/XMLSchema-instance" xsi:type="dcterms:W3CDTF">2025-04-02T17:04:45Z</dcterms:modified>
</cp:coreProperties>
</file>