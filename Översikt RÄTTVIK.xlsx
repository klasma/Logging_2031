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45877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45877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45877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45877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32236-2025</t>
        </is>
      </c>
      <c r="B6" s="1" t="n">
        <v>45835</v>
      </c>
      <c r="C6" s="1" t="n">
        <v>45877</v>
      </c>
      <c r="D6" t="inlineStr">
        <is>
          <t>DALARNAS LÄN</t>
        </is>
      </c>
      <c r="E6" t="inlineStr">
        <is>
          <t>RÄTTVIK</t>
        </is>
      </c>
      <c r="G6" t="n">
        <v>14.9</v>
      </c>
      <c r="H6" t="n">
        <v>5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Granticka
Guckusko
Korallblylav
Källpraktmossa
Mindre märgborre
Tibast
Tvåblad
Fläcknycklar
Nattviol
Blåsippa</t>
        </is>
      </c>
      <c r="S6">
        <f>HYPERLINK("https://klasma.github.io/Logging_202031/artfynd/A 32236-2025 artfynd.xlsx", "A 32236-2025")</f>
        <v/>
      </c>
      <c r="T6">
        <f>HYPERLINK("https://klasma.github.io/Logging_202031/kartor/A 32236-2025 karta.png", "A 32236-2025")</f>
        <v/>
      </c>
      <c r="V6">
        <f>HYPERLINK("https://klasma.github.io/Logging_202031/klagomål/A 32236-2025 FSC-klagomål.docx", "A 32236-2025")</f>
        <v/>
      </c>
      <c r="W6">
        <f>HYPERLINK("https://klasma.github.io/Logging_202031/klagomålsmail/A 32236-2025 FSC-klagomål mail.docx", "A 32236-2025")</f>
        <v/>
      </c>
      <c r="X6">
        <f>HYPERLINK("https://klasma.github.io/Logging_202031/tillsyn/A 32236-2025 tillsynsbegäran.docx", "A 32236-2025")</f>
        <v/>
      </c>
      <c r="Y6">
        <f>HYPERLINK("https://klasma.github.io/Logging_202031/tillsynsmail/A 32236-2025 tillsynsbegäran mail.docx", "A 32236-2025")</f>
        <v/>
      </c>
    </row>
    <row r="7" ht="15" customHeight="1">
      <c r="A7" t="inlineStr">
        <is>
          <t>A 51534-2019</t>
        </is>
      </c>
      <c r="B7" s="1" t="n">
        <v>43740</v>
      </c>
      <c r="C7" s="1" t="n">
        <v>45877</v>
      </c>
      <c r="D7" t="inlineStr">
        <is>
          <t>DALARNAS LÄN</t>
        </is>
      </c>
      <c r="E7" t="inlineStr">
        <is>
          <t>RÄTTVIK</t>
        </is>
      </c>
      <c r="G7" t="n">
        <v>6.7</v>
      </c>
      <c r="H7" t="n">
        <v>1</v>
      </c>
      <c r="I7" t="n">
        <v>0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9</v>
      </c>
      <c r="R7" s="2" t="inlineStr">
        <is>
          <t>Garnlav
Kolflarnlav
Kortskaftad ärgspik
Mörk kolflarnlav
Vaddporing
Varglav
Vedflamlav
Vedskivlav
Violettgrå tagellav</t>
        </is>
      </c>
      <c r="S7">
        <f>HYPERLINK("https://klasma.github.io/Logging_2031/artfynd/A 51534-2019 artfynd.xlsx", "A 51534-2019")</f>
        <v/>
      </c>
      <c r="T7">
        <f>HYPERLINK("https://klasma.github.io/Logging_2031/kartor/A 51534-2019 karta.png", "A 51534-2019")</f>
        <v/>
      </c>
      <c r="V7">
        <f>HYPERLINK("https://klasma.github.io/Logging_2031/klagomål/A 51534-2019 FSC-klagomål.docx", "A 51534-2019")</f>
        <v/>
      </c>
      <c r="W7">
        <f>HYPERLINK("https://klasma.github.io/Logging_2031/klagomålsmail/A 51534-2019 FSC-klagomål mail.docx", "A 51534-2019")</f>
        <v/>
      </c>
      <c r="X7">
        <f>HYPERLINK("https://klasma.github.io/Logging_2031/tillsyn/A 51534-2019 tillsynsbegäran.docx", "A 51534-2019")</f>
        <v/>
      </c>
      <c r="Y7">
        <f>HYPERLINK("https://klasma.github.io/Logging_2031/tillsynsmail/A 51534-2019 tillsynsbegäran mail.docx", "A 51534-2019")</f>
        <v/>
      </c>
    </row>
    <row r="8" ht="15" customHeight="1">
      <c r="A8" t="inlineStr">
        <is>
          <t>A 60128-2022</t>
        </is>
      </c>
      <c r="B8" s="1" t="n">
        <v>44909</v>
      </c>
      <c r="C8" s="1" t="n">
        <v>45877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5.2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Rynkskinn
Dvärgbägarlav
Garnlav
Kolflarnlav
Kortskaftad ärgspik
Mörk kolflarnlav
Ullticka
Björksplintborre</t>
        </is>
      </c>
      <c r="S8">
        <f>HYPERLINK("https://klasma.github.io/Logging_2031/artfynd/A 60128-2022 artfynd.xlsx", "A 60128-2022")</f>
        <v/>
      </c>
      <c r="T8">
        <f>HYPERLINK("https://klasma.github.io/Logging_2031/kartor/A 60128-2022 karta.png", "A 60128-2022")</f>
        <v/>
      </c>
      <c r="V8">
        <f>HYPERLINK("https://klasma.github.io/Logging_2031/klagomål/A 60128-2022 FSC-klagomål.docx", "A 60128-2022")</f>
        <v/>
      </c>
      <c r="W8">
        <f>HYPERLINK("https://klasma.github.io/Logging_2031/klagomålsmail/A 60128-2022 FSC-klagomål mail.docx", "A 60128-2022")</f>
        <v/>
      </c>
      <c r="X8">
        <f>HYPERLINK("https://klasma.github.io/Logging_2031/tillsyn/A 60128-2022 tillsynsbegäran.docx", "A 60128-2022")</f>
        <v/>
      </c>
      <c r="Y8">
        <f>HYPERLINK("https://klasma.github.io/Logging_2031/tillsynsmail/A 60128-2022 tillsynsbegäran mail.docx", "A 60128-2022")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45877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35869-2023</t>
        </is>
      </c>
      <c r="B10" s="1" t="n">
        <v>45147</v>
      </c>
      <c r="C10" s="1" t="n">
        <v>45877</v>
      </c>
      <c r="D10" t="inlineStr">
        <is>
          <t>DALARNAS LÄN</t>
        </is>
      </c>
      <c r="E10" t="inlineStr">
        <is>
          <t>RÄTTVIK</t>
        </is>
      </c>
      <c r="G10" t="n">
        <v>3.6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Rynkskinn
Garnlav
Rosenticka
Tretåig hackspett
Ullticka
Bollvitmossa
Bronshjon</t>
        </is>
      </c>
      <c r="S10">
        <f>HYPERLINK("https://klasma.github.io/Logging_2031/artfynd/A 35869-2023 artfynd.xlsx", "A 35869-2023")</f>
        <v/>
      </c>
      <c r="T10">
        <f>HYPERLINK("https://klasma.github.io/Logging_2031/kartor/A 35869-2023 karta.png", "A 35869-2023")</f>
        <v/>
      </c>
      <c r="V10">
        <f>HYPERLINK("https://klasma.github.io/Logging_2031/klagomål/A 35869-2023 FSC-klagomål.docx", "A 35869-2023")</f>
        <v/>
      </c>
      <c r="W10">
        <f>HYPERLINK("https://klasma.github.io/Logging_2031/klagomålsmail/A 35869-2023 FSC-klagomål mail.docx", "A 35869-2023")</f>
        <v/>
      </c>
      <c r="X10">
        <f>HYPERLINK("https://klasma.github.io/Logging_2031/tillsyn/A 35869-2023 tillsynsbegäran.docx", "A 35869-2023")</f>
        <v/>
      </c>
      <c r="Y10">
        <f>HYPERLINK("https://klasma.github.io/Logging_2031/tillsynsmail/A 35869-2023 tillsynsbegäran mail.docx", "A 35869-2023")</f>
        <v/>
      </c>
      <c r="Z10">
        <f>HYPERLINK("https://klasma.github.io/Logging_2031/fåglar/A 35869-2023 prioriterade fågelarter.docx", "A 35869-2023")</f>
        <v/>
      </c>
    </row>
    <row r="11" ht="15" customHeight="1">
      <c r="A11" t="inlineStr">
        <is>
          <t>A 60888-2023</t>
        </is>
      </c>
      <c r="B11" s="1" t="n">
        <v>45261</v>
      </c>
      <c r="C11" s="1" t="n">
        <v>45877</v>
      </c>
      <c r="D11" t="inlineStr">
        <is>
          <t>DALARNAS LÄN</t>
        </is>
      </c>
      <c r="E11" t="inlineStr">
        <is>
          <t>RÄTTVIK</t>
        </is>
      </c>
      <c r="G11" t="n">
        <v>5.9</v>
      </c>
      <c r="H11" t="n">
        <v>5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Väddnätfjäril
Majviva
Tvåblad
Vårärt
Enkelbeckasin
Sångsvan
Blåsippa</t>
        </is>
      </c>
      <c r="S11">
        <f>HYPERLINK("https://klasma.github.io/Logging_2031/artfynd/A 60888-2023 artfynd.xlsx", "A 60888-2023")</f>
        <v/>
      </c>
      <c r="T11">
        <f>HYPERLINK("https://klasma.github.io/Logging_2031/kartor/A 60888-2023 karta.png", "A 60888-2023")</f>
        <v/>
      </c>
      <c r="V11">
        <f>HYPERLINK("https://klasma.github.io/Logging_2031/klagomål/A 60888-2023 FSC-klagomål.docx", "A 60888-2023")</f>
        <v/>
      </c>
      <c r="W11">
        <f>HYPERLINK("https://klasma.github.io/Logging_2031/klagomålsmail/A 60888-2023 FSC-klagomål mail.docx", "A 60888-2023")</f>
        <v/>
      </c>
      <c r="X11">
        <f>HYPERLINK("https://klasma.github.io/Logging_2031/tillsyn/A 60888-2023 tillsynsbegäran.docx", "A 60888-2023")</f>
        <v/>
      </c>
      <c r="Y11">
        <f>HYPERLINK("https://klasma.github.io/Logging_2031/tillsynsmail/A 60888-2023 tillsynsbegäran mail.docx", "A 60888-2023")</f>
        <v/>
      </c>
      <c r="Z11">
        <f>HYPERLINK("https://klasma.github.io/Logging_2031/fåglar/A 60888-2023 prioriterade fågelarter.docx", "A 60888-2023")</f>
        <v/>
      </c>
    </row>
    <row r="12" ht="15" customHeight="1">
      <c r="A12" t="inlineStr">
        <is>
          <t>A 7965-2024</t>
        </is>
      </c>
      <c r="B12" s="1" t="n">
        <v>45350</v>
      </c>
      <c r="C12" s="1" t="n">
        <v>45877</v>
      </c>
      <c r="D12" t="inlineStr">
        <is>
          <t>DALARNAS LÄN</t>
        </is>
      </c>
      <c r="E12" t="inlineStr">
        <is>
          <t>RÄTTVIK</t>
        </is>
      </c>
      <c r="G12" t="n">
        <v>1.3</v>
      </c>
      <c r="H12" t="n">
        <v>0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Rynkskinn
Fyrflikig jordstjärna
Garnlav
Rosenticka
Ullticka
Bronshjon
Vedticka</t>
        </is>
      </c>
      <c r="S12">
        <f>HYPERLINK("https://klasma.github.io/Logging_2031/artfynd/A 7965-2024 artfynd.xlsx", "A 7965-2024")</f>
        <v/>
      </c>
      <c r="T12">
        <f>HYPERLINK("https://klasma.github.io/Logging_2031/kartor/A 7965-2024 karta.png", "A 7965-2024")</f>
        <v/>
      </c>
      <c r="V12">
        <f>HYPERLINK("https://klasma.github.io/Logging_2031/klagomål/A 7965-2024 FSC-klagomål.docx", "A 7965-2024")</f>
        <v/>
      </c>
      <c r="W12">
        <f>HYPERLINK("https://klasma.github.io/Logging_2031/klagomålsmail/A 7965-2024 FSC-klagomål mail.docx", "A 7965-2024")</f>
        <v/>
      </c>
      <c r="X12">
        <f>HYPERLINK("https://klasma.github.io/Logging_2031/tillsyn/A 7965-2024 tillsynsbegäran.docx", "A 7965-2024")</f>
        <v/>
      </c>
      <c r="Y12">
        <f>HYPERLINK("https://klasma.github.io/Logging_2031/tillsynsmail/A 7965-2024 tillsynsbegäran mail.docx", "A 7965-2024")</f>
        <v/>
      </c>
    </row>
    <row r="13" ht="15" customHeight="1">
      <c r="A13" t="inlineStr">
        <is>
          <t>A 28028-2024</t>
        </is>
      </c>
      <c r="B13" s="1" t="n">
        <v>45476</v>
      </c>
      <c r="C13" s="1" t="n">
        <v>45877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Blå taggsvamp
Kolflarnlav
Motaggsvamp
Mörk kolflarnlav
Dropptaggsvamp
Skarp dropptaggsvamp</t>
        </is>
      </c>
      <c r="S13">
        <f>HYPERLINK("https://klasma.github.io/Logging_2031/artfynd/A 28028-2024 artfynd.xlsx", "A 28028-2024")</f>
        <v/>
      </c>
      <c r="T13">
        <f>HYPERLINK("https://klasma.github.io/Logging_2031/kartor/A 28028-2024 karta.png", "A 28028-2024")</f>
        <v/>
      </c>
      <c r="V13">
        <f>HYPERLINK("https://klasma.github.io/Logging_2031/klagomål/A 28028-2024 FSC-klagomål.docx", "A 28028-2024")</f>
        <v/>
      </c>
      <c r="W13">
        <f>HYPERLINK("https://klasma.github.io/Logging_2031/klagomålsmail/A 28028-2024 FSC-klagomål mail.docx", "A 28028-2024")</f>
        <v/>
      </c>
      <c r="X13">
        <f>HYPERLINK("https://klasma.github.io/Logging_2031/tillsyn/A 28028-2024 tillsynsbegäran.docx", "A 28028-2024")</f>
        <v/>
      </c>
      <c r="Y13">
        <f>HYPERLINK("https://klasma.github.io/Logging_2031/tillsynsmail/A 28028-2024 tillsynsbegäran mail.docx", "A 28028-2024")</f>
        <v/>
      </c>
    </row>
    <row r="14" ht="15" customHeight="1">
      <c r="A14" t="inlineStr">
        <is>
          <t>A 7015-2021</t>
        </is>
      </c>
      <c r="B14" s="1" t="n">
        <v>44237</v>
      </c>
      <c r="C14" s="1" t="n">
        <v>45877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2</v>
      </c>
      <c r="I14" t="n">
        <v>0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Knärot
Rynkskinn
Rosenticka
Ullticka
Utter</t>
        </is>
      </c>
      <c r="S14">
        <f>HYPERLINK("https://klasma.github.io/Logging_2031/artfynd/A 7015-2021 artfynd.xlsx", "A 7015-2021")</f>
        <v/>
      </c>
      <c r="T14">
        <f>HYPERLINK("https://klasma.github.io/Logging_2031/kartor/A 7015-2021 karta.png", "A 7015-2021")</f>
        <v/>
      </c>
      <c r="U14">
        <f>HYPERLINK("https://klasma.github.io/Logging_2031/knärot/A 7015-2021 karta knärot.png", "A 7015-2021")</f>
        <v/>
      </c>
      <c r="V14">
        <f>HYPERLINK("https://klasma.github.io/Logging_2031/klagomål/A 7015-2021 FSC-klagomål.docx", "A 7015-2021")</f>
        <v/>
      </c>
      <c r="W14">
        <f>HYPERLINK("https://klasma.github.io/Logging_2031/klagomålsmail/A 7015-2021 FSC-klagomål mail.docx", "A 7015-2021")</f>
        <v/>
      </c>
      <c r="X14">
        <f>HYPERLINK("https://klasma.github.io/Logging_2031/tillsyn/A 7015-2021 tillsynsbegäran.docx", "A 7015-2021")</f>
        <v/>
      </c>
      <c r="Y14">
        <f>HYPERLINK("https://klasma.github.io/Logging_2031/tillsynsmail/A 7015-2021 tillsynsbegäran mail.docx", "A 7015-2021")</f>
        <v/>
      </c>
    </row>
    <row r="15" ht="15" customHeight="1">
      <c r="A15" t="inlineStr">
        <is>
          <t>A 15469-2024</t>
        </is>
      </c>
      <c r="B15" s="1" t="n">
        <v>45401</v>
      </c>
      <c r="C15" s="1" t="n">
        <v>45877</v>
      </c>
      <c r="D15" t="inlineStr">
        <is>
          <t>DALARNAS LÄN</t>
        </is>
      </c>
      <c r="E15" t="inlineStr">
        <is>
          <t>RÄTTVIK</t>
        </is>
      </c>
      <c r="G15" t="n">
        <v>27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Lunglav
Ullticka
Bronshjon
Korallblylav</t>
        </is>
      </c>
      <c r="S15">
        <f>HYPERLINK("https://klasma.github.io/Logging_2031/artfynd/A 15469-2024 artfynd.xlsx", "A 15469-2024")</f>
        <v/>
      </c>
      <c r="T15">
        <f>HYPERLINK("https://klasma.github.io/Logging_2031/kartor/A 15469-2024 karta.png", "A 15469-2024")</f>
        <v/>
      </c>
      <c r="V15">
        <f>HYPERLINK("https://klasma.github.io/Logging_2031/klagomål/A 15469-2024 FSC-klagomål.docx", "A 15469-2024")</f>
        <v/>
      </c>
      <c r="W15">
        <f>HYPERLINK("https://klasma.github.io/Logging_2031/klagomålsmail/A 15469-2024 FSC-klagomål mail.docx", "A 15469-2024")</f>
        <v/>
      </c>
      <c r="X15">
        <f>HYPERLINK("https://klasma.github.io/Logging_2031/tillsyn/A 15469-2024 tillsynsbegäran.docx", "A 15469-2024")</f>
        <v/>
      </c>
      <c r="Y15">
        <f>HYPERLINK("https://klasma.github.io/Logging_2031/tillsynsmail/A 15469-2024 tillsynsbegäran mail.docx", "A 15469-2024")</f>
        <v/>
      </c>
    </row>
    <row r="16" ht="15" customHeight="1">
      <c r="A16" t="inlineStr">
        <is>
          <t>A 35788-2021</t>
        </is>
      </c>
      <c r="B16" s="1" t="n">
        <v>44386</v>
      </c>
      <c r="C16" s="1" t="n">
        <v>45877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2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Vedticka
Fläcknycklar
Nattviol</t>
        </is>
      </c>
      <c r="S16">
        <f>HYPERLINK("https://klasma.github.io/Logging_2031/artfynd/A 35788-2021 artfynd.xlsx", "A 35788-2021")</f>
        <v/>
      </c>
      <c r="T16">
        <f>HYPERLINK("https://klasma.github.io/Logging_2031/kartor/A 35788-2021 karta.png", "A 35788-2021")</f>
        <v/>
      </c>
      <c r="V16">
        <f>HYPERLINK("https://klasma.github.io/Logging_2031/klagomål/A 35788-2021 FSC-klagomål.docx", "A 35788-2021")</f>
        <v/>
      </c>
      <c r="W16">
        <f>HYPERLINK("https://klasma.github.io/Logging_2031/klagomålsmail/A 35788-2021 FSC-klagomål mail.docx", "A 35788-2021")</f>
        <v/>
      </c>
      <c r="X16">
        <f>HYPERLINK("https://klasma.github.io/Logging_2031/tillsyn/A 35788-2021 tillsynsbegäran.docx", "A 35788-2021")</f>
        <v/>
      </c>
      <c r="Y16">
        <f>HYPERLINK("https://klasma.github.io/Logging_2031/tillsynsmail/A 35788-2021 tillsynsbegäran mail.docx", "A 35788-2021")</f>
        <v/>
      </c>
    </row>
    <row r="17" ht="15" customHeight="1">
      <c r="A17" t="inlineStr">
        <is>
          <t>A 10658-2022</t>
        </is>
      </c>
      <c r="B17" s="1" t="n">
        <v>44624</v>
      </c>
      <c r="C17" s="1" t="n">
        <v>45877</v>
      </c>
      <c r="D17" t="inlineStr">
        <is>
          <t>DALARNAS LÄN</t>
        </is>
      </c>
      <c r="E17" t="inlineStr">
        <is>
          <t>RÄTTVIK</t>
        </is>
      </c>
      <c r="G17" t="n">
        <v>2.2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Garnlav
Rosenticka
Ullticka</t>
        </is>
      </c>
      <c r="S17">
        <f>HYPERLINK("https://klasma.github.io/Logging_2031/artfynd/A 10658-2022 artfynd.xlsx", "A 10658-2022")</f>
        <v/>
      </c>
      <c r="T17">
        <f>HYPERLINK("https://klasma.github.io/Logging_2031/kartor/A 10658-2022 karta.png", "A 10658-2022")</f>
        <v/>
      </c>
      <c r="U17">
        <f>HYPERLINK("https://klasma.github.io/Logging_2031/knärot/A 10658-2022 karta knärot.png", "A 10658-2022")</f>
        <v/>
      </c>
      <c r="V17">
        <f>HYPERLINK("https://klasma.github.io/Logging_2031/klagomål/A 10658-2022 FSC-klagomål.docx", "A 10658-2022")</f>
        <v/>
      </c>
      <c r="W17">
        <f>HYPERLINK("https://klasma.github.io/Logging_2031/klagomålsmail/A 10658-2022 FSC-klagomål mail.docx", "A 10658-2022")</f>
        <v/>
      </c>
      <c r="X17">
        <f>HYPERLINK("https://klasma.github.io/Logging_2031/tillsyn/A 10658-2022 tillsynsbegäran.docx", "A 10658-2022")</f>
        <v/>
      </c>
      <c r="Y17">
        <f>HYPERLINK("https://klasma.github.io/Logging_2031/tillsynsmail/A 10658-2022 tillsynsbegäran mail.docx", "A 10658-2022")</f>
        <v/>
      </c>
    </row>
    <row r="18" ht="15" customHeight="1">
      <c r="A18" t="inlineStr">
        <is>
          <t>A 61651-2024</t>
        </is>
      </c>
      <c r="B18" s="1" t="n">
        <v>45646</v>
      </c>
      <c r="C18" s="1" t="n">
        <v>45877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36.6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Lunglav
Stuplav
Vedticka</t>
        </is>
      </c>
      <c r="S18">
        <f>HYPERLINK("https://klasma.github.io/Logging_2031/artfynd/A 61651-2024 artfynd.xlsx", "A 61651-2024")</f>
        <v/>
      </c>
      <c r="T18">
        <f>HYPERLINK("https://klasma.github.io/Logging_2031/kartor/A 61651-2024 karta.png", "A 61651-2024")</f>
        <v/>
      </c>
      <c r="V18">
        <f>HYPERLINK("https://klasma.github.io/Logging_2031/klagomål/A 61651-2024 FSC-klagomål.docx", "A 61651-2024")</f>
        <v/>
      </c>
      <c r="W18">
        <f>HYPERLINK("https://klasma.github.io/Logging_2031/klagomålsmail/A 61651-2024 FSC-klagomål mail.docx", "A 61651-2024")</f>
        <v/>
      </c>
      <c r="X18">
        <f>HYPERLINK("https://klasma.github.io/Logging_2031/tillsyn/A 61651-2024 tillsynsbegäran.docx", "A 61651-2024")</f>
        <v/>
      </c>
      <c r="Y18">
        <f>HYPERLINK("https://klasma.github.io/Logging_2031/tillsynsmail/A 61651-2024 tillsynsbegäran mail.docx", "A 61651-2024")</f>
        <v/>
      </c>
    </row>
    <row r="19" ht="15" customHeight="1">
      <c r="A19" t="inlineStr">
        <is>
          <t>A 29429-2025</t>
        </is>
      </c>
      <c r="B19" s="1" t="n">
        <v>45824</v>
      </c>
      <c r="C19" s="1" t="n">
        <v>45877</v>
      </c>
      <c r="D19" t="inlineStr">
        <is>
          <t>DALARNAS LÄN</t>
        </is>
      </c>
      <c r="E19" t="inlineStr">
        <is>
          <t>RÄTTVIK</t>
        </is>
      </c>
      <c r="G19" t="n">
        <v>5.6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Vedticka
Nattviol
Blåsippa</t>
        </is>
      </c>
      <c r="S19">
        <f>HYPERLINK("https://klasma.github.io/Logging_202031/artfynd/A 29429-2025 artfynd.xlsx", "A 29429-2025")</f>
        <v/>
      </c>
      <c r="T19">
        <f>HYPERLINK("https://klasma.github.io/Logging_202031/kartor/A 29429-2025 karta.png", "A 29429-2025")</f>
        <v/>
      </c>
      <c r="U19">
        <f>HYPERLINK("https://klasma.github.io/Logging_202031/knärot/A 29429-2025 karta knärot.png", "A 29429-2025")</f>
        <v/>
      </c>
      <c r="V19">
        <f>HYPERLINK("https://klasma.github.io/Logging_202031/klagomål/A 29429-2025 FSC-klagomål.docx", "A 29429-2025")</f>
        <v/>
      </c>
      <c r="W19">
        <f>HYPERLINK("https://klasma.github.io/Logging_202031/klagomålsmail/A 29429-2025 FSC-klagomål mail.docx", "A 29429-2025")</f>
        <v/>
      </c>
      <c r="X19">
        <f>HYPERLINK("https://klasma.github.io/Logging_202031/tillsyn/A 29429-2025 tillsynsbegäran.docx", "A 29429-2025")</f>
        <v/>
      </c>
      <c r="Y19">
        <f>HYPERLINK("https://klasma.github.io/Logging_202031/tillsynsmail/A 29429-2025 tillsynsbegäran mail.docx", "A 29429-2025")</f>
        <v/>
      </c>
    </row>
    <row r="20" ht="15" customHeight="1">
      <c r="A20" t="inlineStr">
        <is>
          <t>A 29322-2019</t>
        </is>
      </c>
      <c r="B20" s="1" t="n">
        <v>43634</v>
      </c>
      <c r="C20" s="1" t="n">
        <v>45877</v>
      </c>
      <c r="D20" t="inlineStr">
        <is>
          <t>DALARNAS LÄN</t>
        </is>
      </c>
      <c r="E20" t="inlineStr">
        <is>
          <t>RÄTTVIK</t>
        </is>
      </c>
      <c r="G20" t="n">
        <v>11.3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Vedskivlav
Bronshjon</t>
        </is>
      </c>
      <c r="S20">
        <f>HYPERLINK("https://klasma.github.io/Logging_2031/artfynd/A 29322-2019 artfynd.xlsx", "A 29322-2019")</f>
        <v/>
      </c>
      <c r="T20">
        <f>HYPERLINK("https://klasma.github.io/Logging_2031/kartor/A 29322-2019 karta.png", "A 29322-2019")</f>
        <v/>
      </c>
      <c r="V20">
        <f>HYPERLINK("https://klasma.github.io/Logging_2031/klagomål/A 29322-2019 FSC-klagomål.docx", "A 29322-2019")</f>
        <v/>
      </c>
      <c r="W20">
        <f>HYPERLINK("https://klasma.github.io/Logging_2031/klagomålsmail/A 29322-2019 FSC-klagomål mail.docx", "A 29322-2019")</f>
        <v/>
      </c>
      <c r="X20">
        <f>HYPERLINK("https://klasma.github.io/Logging_2031/tillsyn/A 29322-2019 tillsynsbegäran.docx", "A 29322-2019")</f>
        <v/>
      </c>
      <c r="Y20">
        <f>HYPERLINK("https://klasma.github.io/Logging_2031/tillsynsmail/A 29322-2019 tillsynsbegäran mail.docx", "A 29322-2019")</f>
        <v/>
      </c>
    </row>
    <row r="21" ht="15" customHeight="1">
      <c r="A21" t="inlineStr">
        <is>
          <t>A 35415-2019</t>
        </is>
      </c>
      <c r="B21" s="1" t="n">
        <v>43663</v>
      </c>
      <c r="C21" s="1" t="n">
        <v>45877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1.4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Skrovlig taggsvamp
Skarp dropptaggsvamp</t>
        </is>
      </c>
      <c r="S21">
        <f>HYPERLINK("https://klasma.github.io/Logging_2031/artfynd/A 35415-2019 artfynd.xlsx", "A 35415-2019")</f>
        <v/>
      </c>
      <c r="T21">
        <f>HYPERLINK("https://klasma.github.io/Logging_2031/kartor/A 35415-2019 karta.png", "A 35415-2019")</f>
        <v/>
      </c>
      <c r="U21">
        <f>HYPERLINK("https://klasma.github.io/Logging_2031/knärot/A 35415-2019 karta knärot.png", "A 35415-2019")</f>
        <v/>
      </c>
      <c r="V21">
        <f>HYPERLINK("https://klasma.github.io/Logging_2031/klagomål/A 35415-2019 FSC-klagomål.docx", "A 35415-2019")</f>
        <v/>
      </c>
      <c r="W21">
        <f>HYPERLINK("https://klasma.github.io/Logging_2031/klagomålsmail/A 35415-2019 FSC-klagomål mail.docx", "A 35415-2019")</f>
        <v/>
      </c>
      <c r="X21">
        <f>HYPERLINK("https://klasma.github.io/Logging_2031/tillsyn/A 35415-2019 tillsynsbegäran.docx", "A 35415-2019")</f>
        <v/>
      </c>
      <c r="Y21">
        <f>HYPERLINK("https://klasma.github.io/Logging_2031/tillsynsmail/A 35415-2019 tillsynsbegäran mail.docx", "A 35415-2019")</f>
        <v/>
      </c>
    </row>
    <row r="22" ht="15" customHeight="1">
      <c r="A22" t="inlineStr">
        <is>
          <t>A 20653-2020</t>
        </is>
      </c>
      <c r="B22" s="1" t="n">
        <v>43949</v>
      </c>
      <c r="C22" s="1" t="n">
        <v>45877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6</v>
      </c>
      <c r="H22" t="n">
        <v>3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Korallrot
Spindelblomster</t>
        </is>
      </c>
      <c r="S22">
        <f>HYPERLINK("https://klasma.github.io/Logging_2031/artfynd/A 20653-2020 artfynd.xlsx", "A 20653-2020")</f>
        <v/>
      </c>
      <c r="T22">
        <f>HYPERLINK("https://klasma.github.io/Logging_2031/kartor/A 20653-2020 karta.png", "A 20653-2020")</f>
        <v/>
      </c>
      <c r="V22">
        <f>HYPERLINK("https://klasma.github.io/Logging_2031/klagomål/A 20653-2020 FSC-klagomål.docx", "A 20653-2020")</f>
        <v/>
      </c>
      <c r="W22">
        <f>HYPERLINK("https://klasma.github.io/Logging_2031/klagomålsmail/A 20653-2020 FSC-klagomål mail.docx", "A 20653-2020")</f>
        <v/>
      </c>
      <c r="X22">
        <f>HYPERLINK("https://klasma.github.io/Logging_2031/tillsyn/A 20653-2020 tillsynsbegäran.docx", "A 20653-2020")</f>
        <v/>
      </c>
      <c r="Y22">
        <f>HYPERLINK("https://klasma.github.io/Logging_2031/tillsynsmail/A 20653-2020 tillsynsbegäran mail.docx", "A 20653-2020")</f>
        <v/>
      </c>
      <c r="Z22">
        <f>HYPERLINK("https://klasma.github.io/Logging_2031/fåglar/A 20653-2020 prioriterade fågelarter.docx", "A 20653-2020")</f>
        <v/>
      </c>
    </row>
    <row r="23" ht="15" customHeight="1">
      <c r="A23" t="inlineStr">
        <is>
          <t>A 22052-2020</t>
        </is>
      </c>
      <c r="B23" s="1" t="n">
        <v>43959</v>
      </c>
      <c r="C23" s="1" t="n">
        <v>45877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Vedskivlav
Kattfotslav</t>
        </is>
      </c>
      <c r="S23">
        <f>HYPERLINK("https://klasma.github.io/Logging_2031/artfynd/A 22052-2020 artfynd.xlsx", "A 22052-2020")</f>
        <v/>
      </c>
      <c r="T23">
        <f>HYPERLINK("https://klasma.github.io/Logging_2031/kartor/A 22052-2020 karta.png", "A 22052-2020")</f>
        <v/>
      </c>
      <c r="V23">
        <f>HYPERLINK("https://klasma.github.io/Logging_2031/klagomål/A 22052-2020 FSC-klagomål.docx", "A 22052-2020")</f>
        <v/>
      </c>
      <c r="W23">
        <f>HYPERLINK("https://klasma.github.io/Logging_2031/klagomålsmail/A 22052-2020 FSC-klagomål mail.docx", "A 22052-2020")</f>
        <v/>
      </c>
      <c r="X23">
        <f>HYPERLINK("https://klasma.github.io/Logging_2031/tillsyn/A 22052-2020 tillsynsbegäran.docx", "A 22052-2020")</f>
        <v/>
      </c>
      <c r="Y23">
        <f>HYPERLINK("https://klasma.github.io/Logging_2031/tillsynsmail/A 22052-2020 tillsynsbegäran mail.docx", "A 22052-2020")</f>
        <v/>
      </c>
    </row>
    <row r="24" ht="15" customHeight="1">
      <c r="A24" t="inlineStr">
        <is>
          <t>A 59449-2020</t>
        </is>
      </c>
      <c r="B24" s="1" t="n">
        <v>44148</v>
      </c>
      <c r="C24" s="1" t="n">
        <v>45877</v>
      </c>
      <c r="D24" t="inlineStr">
        <is>
          <t>DALARNAS LÄN</t>
        </is>
      </c>
      <c r="E24" t="inlineStr">
        <is>
          <t>RÄTTVIK</t>
        </is>
      </c>
      <c r="G24" t="n">
        <v>1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Rosenticka
Ullticka</t>
        </is>
      </c>
      <c r="S24">
        <f>HYPERLINK("https://klasma.github.io/Logging_2031/artfynd/A 59449-2020 artfynd.xlsx", "A 59449-2020")</f>
        <v/>
      </c>
      <c r="T24">
        <f>HYPERLINK("https://klasma.github.io/Logging_2031/kartor/A 59449-2020 karta.png", "A 59449-2020")</f>
        <v/>
      </c>
      <c r="V24">
        <f>HYPERLINK("https://klasma.github.io/Logging_2031/klagomål/A 59449-2020 FSC-klagomål.docx", "A 59449-2020")</f>
        <v/>
      </c>
      <c r="W24">
        <f>HYPERLINK("https://klasma.github.io/Logging_2031/klagomålsmail/A 59449-2020 FSC-klagomål mail.docx", "A 59449-2020")</f>
        <v/>
      </c>
      <c r="X24">
        <f>HYPERLINK("https://klasma.github.io/Logging_2031/tillsyn/A 59449-2020 tillsynsbegäran.docx", "A 59449-2020")</f>
        <v/>
      </c>
      <c r="Y24">
        <f>HYPERLINK("https://klasma.github.io/Logging_2031/tillsynsmail/A 59449-2020 tillsynsbegäran mail.docx", "A 59449-2020")</f>
        <v/>
      </c>
    </row>
    <row r="25" ht="15" customHeight="1">
      <c r="A25" t="inlineStr">
        <is>
          <t>A 44438-2021</t>
        </is>
      </c>
      <c r="B25" s="1" t="n">
        <v>44435</v>
      </c>
      <c r="C25" s="1" t="n">
        <v>45877</v>
      </c>
      <c r="D25" t="inlineStr">
        <is>
          <t>DALARNAS LÄN</t>
        </is>
      </c>
      <c r="E25" t="inlineStr">
        <is>
          <t>RÄTTVIK</t>
        </is>
      </c>
      <c r="G25" t="n">
        <v>1.9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Gulnål
Fläcknycklar</t>
        </is>
      </c>
      <c r="S25">
        <f>HYPERLINK("https://klasma.github.io/Logging_2031/artfynd/A 44438-2021 artfynd.xlsx", "A 44438-2021")</f>
        <v/>
      </c>
      <c r="T25">
        <f>HYPERLINK("https://klasma.github.io/Logging_2031/kartor/A 44438-2021 karta.png", "A 44438-2021")</f>
        <v/>
      </c>
      <c r="V25">
        <f>HYPERLINK("https://klasma.github.io/Logging_2031/klagomål/A 44438-2021 FSC-klagomål.docx", "A 44438-2021")</f>
        <v/>
      </c>
      <c r="W25">
        <f>HYPERLINK("https://klasma.github.io/Logging_2031/klagomålsmail/A 44438-2021 FSC-klagomål mail.docx", "A 44438-2021")</f>
        <v/>
      </c>
      <c r="X25">
        <f>HYPERLINK("https://klasma.github.io/Logging_2031/tillsyn/A 44438-2021 tillsynsbegäran.docx", "A 44438-2021")</f>
        <v/>
      </c>
      <c r="Y25">
        <f>HYPERLINK("https://klasma.github.io/Logging_2031/tillsynsmail/A 44438-2021 tillsynsbegäran mail.docx", "A 44438-2021")</f>
        <v/>
      </c>
    </row>
    <row r="26" ht="15" customHeight="1">
      <c r="A26" t="inlineStr">
        <is>
          <t>A 1251-2022</t>
        </is>
      </c>
      <c r="B26" s="1" t="n">
        <v>44572</v>
      </c>
      <c r="C26" s="1" t="n">
        <v>45877</v>
      </c>
      <c r="D26" t="inlineStr">
        <is>
          <t>DALARNAS LÄN</t>
        </is>
      </c>
      <c r="E26" t="inlineStr">
        <is>
          <t>RÄTTVIK</t>
        </is>
      </c>
      <c r="G26" t="n">
        <v>2.4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Björktrast
Järpe
Grönsiska</t>
        </is>
      </c>
      <c r="S26">
        <f>HYPERLINK("https://klasma.github.io/Logging_2031/artfynd/A 1251-2022 artfynd.xlsx", "A 1251-2022")</f>
        <v/>
      </c>
      <c r="T26">
        <f>HYPERLINK("https://klasma.github.io/Logging_2031/kartor/A 1251-2022 karta.png", "A 1251-2022")</f>
        <v/>
      </c>
      <c r="V26">
        <f>HYPERLINK("https://klasma.github.io/Logging_2031/klagomål/A 1251-2022 FSC-klagomål.docx", "A 1251-2022")</f>
        <v/>
      </c>
      <c r="W26">
        <f>HYPERLINK("https://klasma.github.io/Logging_2031/klagomålsmail/A 1251-2022 FSC-klagomål mail.docx", "A 1251-2022")</f>
        <v/>
      </c>
      <c r="X26">
        <f>HYPERLINK("https://klasma.github.io/Logging_2031/tillsyn/A 1251-2022 tillsynsbegäran.docx", "A 1251-2022")</f>
        <v/>
      </c>
      <c r="Y26">
        <f>HYPERLINK("https://klasma.github.io/Logging_2031/tillsynsmail/A 1251-2022 tillsynsbegäran mail.docx", "A 1251-2022")</f>
        <v/>
      </c>
      <c r="Z26">
        <f>HYPERLINK("https://klasma.github.io/Logging_2031/fåglar/A 1251-2022 prioriterade fågelarter.docx", "A 1251-2022")</f>
        <v/>
      </c>
    </row>
    <row r="27" ht="15" customHeight="1">
      <c r="A27" t="inlineStr">
        <is>
          <t>A 35710-2022</t>
        </is>
      </c>
      <c r="B27" s="1" t="n">
        <v>44799</v>
      </c>
      <c r="C27" s="1" t="n">
        <v>45877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Mörk kolflarnlav
Dropptaggsvamp</t>
        </is>
      </c>
      <c r="S27">
        <f>HYPERLINK("https://klasma.github.io/Logging_2031/artfynd/A 35710-2022 artfynd.xlsx", "A 35710-2022")</f>
        <v/>
      </c>
      <c r="T27">
        <f>HYPERLINK("https://klasma.github.io/Logging_2031/kartor/A 35710-2022 karta.png", "A 35710-2022")</f>
        <v/>
      </c>
      <c r="V27">
        <f>HYPERLINK("https://klasma.github.io/Logging_2031/klagomål/A 35710-2022 FSC-klagomål.docx", "A 35710-2022")</f>
        <v/>
      </c>
      <c r="W27">
        <f>HYPERLINK("https://klasma.github.io/Logging_2031/klagomålsmail/A 35710-2022 FSC-klagomål mail.docx", "A 35710-2022")</f>
        <v/>
      </c>
      <c r="X27">
        <f>HYPERLINK("https://klasma.github.io/Logging_2031/tillsyn/A 35710-2022 tillsynsbegäran.docx", "A 35710-2022")</f>
        <v/>
      </c>
      <c r="Y27">
        <f>HYPERLINK("https://klasma.github.io/Logging_2031/tillsynsmail/A 35710-2022 tillsynsbegäran mail.docx", "A 35710-2022")</f>
        <v/>
      </c>
    </row>
    <row r="28" ht="15" customHeight="1">
      <c r="A28" t="inlineStr">
        <is>
          <t>A 60133-2022</t>
        </is>
      </c>
      <c r="B28" s="1" t="n">
        <v>44909</v>
      </c>
      <c r="C28" s="1" t="n">
        <v>45877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Spadskinn
Mindre märgborre
Revlummer</t>
        </is>
      </c>
      <c r="S28">
        <f>HYPERLINK("https://klasma.github.io/Logging_2031/artfynd/A 60133-2022 artfynd.xlsx", "A 60133-2022")</f>
        <v/>
      </c>
      <c r="T28">
        <f>HYPERLINK("https://klasma.github.io/Logging_2031/kartor/A 60133-2022 karta.png", "A 60133-2022")</f>
        <v/>
      </c>
      <c r="V28">
        <f>HYPERLINK("https://klasma.github.io/Logging_2031/klagomål/A 60133-2022 FSC-klagomål.docx", "A 60133-2022")</f>
        <v/>
      </c>
      <c r="W28">
        <f>HYPERLINK("https://klasma.github.io/Logging_2031/klagomålsmail/A 60133-2022 FSC-klagomål mail.docx", "A 60133-2022")</f>
        <v/>
      </c>
      <c r="X28">
        <f>HYPERLINK("https://klasma.github.io/Logging_2031/tillsyn/A 60133-2022 tillsynsbegäran.docx", "A 60133-2022")</f>
        <v/>
      </c>
      <c r="Y28">
        <f>HYPERLINK("https://klasma.github.io/Logging_2031/tillsynsmail/A 60133-2022 tillsynsbegäran mail.docx", "A 60133-2022")</f>
        <v/>
      </c>
    </row>
    <row r="29" ht="15" customHeight="1">
      <c r="A29" t="inlineStr">
        <is>
          <t>A 60127-2022</t>
        </is>
      </c>
      <c r="B29" s="1" t="n">
        <v>44909</v>
      </c>
      <c r="C29" s="1" t="n">
        <v>45877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Kolflarnlav
Mörk kolflarnlav
Vedflamlav</t>
        </is>
      </c>
      <c r="S29">
        <f>HYPERLINK("https://klasma.github.io/Logging_2031/artfynd/A 60127-2022 artfynd.xlsx", "A 60127-2022")</f>
        <v/>
      </c>
      <c r="T29">
        <f>HYPERLINK("https://klasma.github.io/Logging_2031/kartor/A 60127-2022 karta.png", "A 60127-2022")</f>
        <v/>
      </c>
      <c r="V29">
        <f>HYPERLINK("https://klasma.github.io/Logging_2031/klagomål/A 60127-2022 FSC-klagomål.docx", "A 60127-2022")</f>
        <v/>
      </c>
      <c r="W29">
        <f>HYPERLINK("https://klasma.github.io/Logging_2031/klagomålsmail/A 60127-2022 FSC-klagomål mail.docx", "A 60127-2022")</f>
        <v/>
      </c>
      <c r="X29">
        <f>HYPERLINK("https://klasma.github.io/Logging_2031/tillsyn/A 60127-2022 tillsynsbegäran.docx", "A 60127-2022")</f>
        <v/>
      </c>
      <c r="Y29">
        <f>HYPERLINK("https://klasma.github.io/Logging_2031/tillsynsmail/A 60127-2022 tillsynsbegäran mail.docx", "A 60127-2022")</f>
        <v/>
      </c>
    </row>
    <row r="30" ht="15" customHeight="1">
      <c r="A30" t="inlineStr">
        <is>
          <t>A 30522-2023</t>
        </is>
      </c>
      <c r="B30" s="1" t="n">
        <v>45111</v>
      </c>
      <c r="C30" s="1" t="n">
        <v>45877</v>
      </c>
      <c r="D30" t="inlineStr">
        <is>
          <t>DALARNAS LÄN</t>
        </is>
      </c>
      <c r="E30" t="inlineStr">
        <is>
          <t>RÄTTVIK</t>
        </is>
      </c>
      <c r="G30" t="n">
        <v>20.7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Bårdlav
Stuplav</t>
        </is>
      </c>
      <c r="S30">
        <f>HYPERLINK("https://klasma.github.io/Logging_2031/artfynd/A 30522-2023 artfynd.xlsx", "A 30522-2023")</f>
        <v/>
      </c>
      <c r="T30">
        <f>HYPERLINK("https://klasma.github.io/Logging_2031/kartor/A 30522-2023 karta.png", "A 30522-2023")</f>
        <v/>
      </c>
      <c r="V30">
        <f>HYPERLINK("https://klasma.github.io/Logging_2031/klagomål/A 30522-2023 FSC-klagomål.docx", "A 30522-2023")</f>
        <v/>
      </c>
      <c r="W30">
        <f>HYPERLINK("https://klasma.github.io/Logging_2031/klagomålsmail/A 30522-2023 FSC-klagomål mail.docx", "A 30522-2023")</f>
        <v/>
      </c>
      <c r="X30">
        <f>HYPERLINK("https://klasma.github.io/Logging_2031/tillsyn/A 30522-2023 tillsynsbegäran.docx", "A 30522-2023")</f>
        <v/>
      </c>
      <c r="Y30">
        <f>HYPERLINK("https://klasma.github.io/Logging_2031/tillsynsmail/A 30522-2023 tillsynsbegäran mail.docx", "A 30522-2023")</f>
        <v/>
      </c>
    </row>
    <row r="31" ht="15" customHeight="1">
      <c r="A31" t="inlineStr">
        <is>
          <t>A 32354-2023</t>
        </is>
      </c>
      <c r="B31" s="1" t="n">
        <v>45120</v>
      </c>
      <c r="C31" s="1" t="n">
        <v>45877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11.3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Fläcknycklar
Revlummer</t>
        </is>
      </c>
      <c r="S31">
        <f>HYPERLINK("https://klasma.github.io/Logging_2031/artfynd/A 32354-2023 artfynd.xlsx", "A 32354-2023")</f>
        <v/>
      </c>
      <c r="T31">
        <f>HYPERLINK("https://klasma.github.io/Logging_2031/kartor/A 32354-2023 karta.png", "A 32354-2023")</f>
        <v/>
      </c>
      <c r="V31">
        <f>HYPERLINK("https://klasma.github.io/Logging_2031/klagomål/A 32354-2023 FSC-klagomål.docx", "A 32354-2023")</f>
        <v/>
      </c>
      <c r="W31">
        <f>HYPERLINK("https://klasma.github.io/Logging_2031/klagomålsmail/A 32354-2023 FSC-klagomål mail.docx", "A 32354-2023")</f>
        <v/>
      </c>
      <c r="X31">
        <f>HYPERLINK("https://klasma.github.io/Logging_2031/tillsyn/A 32354-2023 tillsynsbegäran.docx", "A 32354-2023")</f>
        <v/>
      </c>
      <c r="Y31">
        <f>HYPERLINK("https://klasma.github.io/Logging_2031/tillsynsmail/A 32354-2023 tillsynsbegäran mail.docx", "A 32354-2023")</f>
        <v/>
      </c>
    </row>
    <row r="32" ht="15" customHeight="1">
      <c r="A32" t="inlineStr">
        <is>
          <t>A 10974-2024</t>
        </is>
      </c>
      <c r="B32" s="1" t="n">
        <v>45370</v>
      </c>
      <c r="C32" s="1" t="n">
        <v>45877</v>
      </c>
      <c r="D32" t="inlineStr">
        <is>
          <t>DALARNAS LÄN</t>
        </is>
      </c>
      <c r="E32" t="inlineStr">
        <is>
          <t>RÄTTVIK</t>
        </is>
      </c>
      <c r="G32" t="n">
        <v>24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Lappuggla
Vedskivlav
Vågbandad barkbock</t>
        </is>
      </c>
      <c r="S32">
        <f>HYPERLINK("https://klasma.github.io/Logging_2031/artfynd/A 10974-2024 artfynd.xlsx", "A 10974-2024")</f>
        <v/>
      </c>
      <c r="T32">
        <f>HYPERLINK("https://klasma.github.io/Logging_2031/kartor/A 10974-2024 karta.png", "A 10974-2024")</f>
        <v/>
      </c>
      <c r="V32">
        <f>HYPERLINK("https://klasma.github.io/Logging_2031/klagomål/A 10974-2024 FSC-klagomål.docx", "A 10974-2024")</f>
        <v/>
      </c>
      <c r="W32">
        <f>HYPERLINK("https://klasma.github.io/Logging_2031/klagomålsmail/A 10974-2024 FSC-klagomål mail.docx", "A 10974-2024")</f>
        <v/>
      </c>
      <c r="X32">
        <f>HYPERLINK("https://klasma.github.io/Logging_2031/tillsyn/A 10974-2024 tillsynsbegäran.docx", "A 10974-2024")</f>
        <v/>
      </c>
      <c r="Y32">
        <f>HYPERLINK("https://klasma.github.io/Logging_2031/tillsynsmail/A 10974-2024 tillsynsbegäran mail.docx", "A 10974-2024")</f>
        <v/>
      </c>
      <c r="Z32">
        <f>HYPERLINK("https://klasma.github.io/Logging_2031/fåglar/A 10974-2024 prioriterade fågelarter.docx", "A 10974-2024")</f>
        <v/>
      </c>
    </row>
    <row r="33" ht="15" customHeight="1">
      <c r="A33" t="inlineStr">
        <is>
          <t>A 41927-2019</t>
        </is>
      </c>
      <c r="B33" s="1" t="n">
        <v>43700</v>
      </c>
      <c r="C33" s="1" t="n">
        <v>45877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13.8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Goliatmusseron
Orange taggsvamp</t>
        </is>
      </c>
      <c r="S33">
        <f>HYPERLINK("https://klasma.github.io/Logging_2031/artfynd/A 41927-2019 artfynd.xlsx", "A 41927-2019")</f>
        <v/>
      </c>
      <c r="T33">
        <f>HYPERLINK("https://klasma.github.io/Logging_2031/kartor/A 41927-2019 karta.png", "A 41927-2019")</f>
        <v/>
      </c>
      <c r="V33">
        <f>HYPERLINK("https://klasma.github.io/Logging_2031/klagomål/A 41927-2019 FSC-klagomål.docx", "A 41927-2019")</f>
        <v/>
      </c>
      <c r="W33">
        <f>HYPERLINK("https://klasma.github.io/Logging_2031/klagomålsmail/A 41927-2019 FSC-klagomål mail.docx", "A 41927-2019")</f>
        <v/>
      </c>
      <c r="X33">
        <f>HYPERLINK("https://klasma.github.io/Logging_2031/tillsyn/A 41927-2019 tillsynsbegäran.docx", "A 41927-2019")</f>
        <v/>
      </c>
      <c r="Y33">
        <f>HYPERLINK("https://klasma.github.io/Logging_2031/tillsynsmail/A 41927-2019 tillsynsbegäran mail.docx", "A 41927-2019")</f>
        <v/>
      </c>
    </row>
    <row r="34" ht="15" customHeight="1">
      <c r="A34" t="inlineStr">
        <is>
          <t>A 60477-2021</t>
        </is>
      </c>
      <c r="B34" s="1" t="n">
        <v>44496</v>
      </c>
      <c r="C34" s="1" t="n">
        <v>45877</v>
      </c>
      <c r="D34" t="inlineStr">
        <is>
          <t>DALARNAS LÄN</t>
        </is>
      </c>
      <c r="E34" t="inlineStr">
        <is>
          <t>RÄTTVIK</t>
        </is>
      </c>
      <c r="G34" t="n">
        <v>3.1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Mikroskapania
Skogshakmossa</t>
        </is>
      </c>
      <c r="S34">
        <f>HYPERLINK("https://klasma.github.io/Logging_2031/artfynd/A 60477-2021 artfynd.xlsx", "A 60477-2021")</f>
        <v/>
      </c>
      <c r="T34">
        <f>HYPERLINK("https://klasma.github.io/Logging_2031/kartor/A 60477-2021 karta.png", "A 60477-2021")</f>
        <v/>
      </c>
      <c r="V34">
        <f>HYPERLINK("https://klasma.github.io/Logging_2031/klagomål/A 60477-2021 FSC-klagomål.docx", "A 60477-2021")</f>
        <v/>
      </c>
      <c r="W34">
        <f>HYPERLINK("https://klasma.github.io/Logging_2031/klagomålsmail/A 60477-2021 FSC-klagomål mail.docx", "A 60477-2021")</f>
        <v/>
      </c>
      <c r="X34">
        <f>HYPERLINK("https://klasma.github.io/Logging_2031/tillsyn/A 60477-2021 tillsynsbegäran.docx", "A 60477-2021")</f>
        <v/>
      </c>
      <c r="Y34">
        <f>HYPERLINK("https://klasma.github.io/Logging_2031/tillsynsmail/A 60477-2021 tillsynsbegäran mail.docx", "A 60477-2021")</f>
        <v/>
      </c>
    </row>
    <row r="35" ht="15" customHeight="1">
      <c r="A35" t="inlineStr">
        <is>
          <t>A 16832-2023</t>
        </is>
      </c>
      <c r="B35" s="1" t="n">
        <v>45033</v>
      </c>
      <c r="C35" s="1" t="n">
        <v>45877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HYPERLINK("https://klasma.github.io/Logging_2031/artfynd/A 16832-2023 artfynd.xlsx", "A 16832-2023")</f>
        <v/>
      </c>
      <c r="T35">
        <f>HYPERLINK("https://klasma.github.io/Logging_2031/kartor/A 16832-2023 karta.png", "A 16832-2023")</f>
        <v/>
      </c>
      <c r="V35">
        <f>HYPERLINK("https://klasma.github.io/Logging_2031/klagomål/A 16832-2023 FSC-klagomål.docx", "A 16832-2023")</f>
        <v/>
      </c>
      <c r="W35">
        <f>HYPERLINK("https://klasma.github.io/Logging_2031/klagomålsmail/A 16832-2023 FSC-klagomål mail.docx", "A 16832-2023")</f>
        <v/>
      </c>
      <c r="X35">
        <f>HYPERLINK("https://klasma.github.io/Logging_2031/tillsyn/A 16832-2023 tillsynsbegäran.docx", "A 16832-2023")</f>
        <v/>
      </c>
      <c r="Y35">
        <f>HYPERLINK("https://klasma.github.io/Logging_2031/tillsynsmail/A 16832-2023 tillsynsbegäran mail.docx", "A 16832-2023")</f>
        <v/>
      </c>
    </row>
    <row r="36" ht="15" customHeight="1">
      <c r="A36" t="inlineStr">
        <is>
          <t>A 51519-2023</t>
        </is>
      </c>
      <c r="B36" s="1" t="n">
        <v>45222</v>
      </c>
      <c r="C36" s="1" t="n">
        <v>45877</v>
      </c>
      <c r="D36" t="inlineStr">
        <is>
          <t>DALARNAS LÄN</t>
        </is>
      </c>
      <c r="E36" t="inlineStr">
        <is>
          <t>RÄTTVIK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51519-2023 artfynd.xlsx", "A 51519-2023")</f>
        <v/>
      </c>
      <c r="T36">
        <f>HYPERLINK("https://klasma.github.io/Logging_2031/kartor/A 51519-2023 karta.png", "A 51519-2023")</f>
        <v/>
      </c>
      <c r="V36">
        <f>HYPERLINK("https://klasma.github.io/Logging_2031/klagomål/A 51519-2023 FSC-klagomål.docx", "A 51519-2023")</f>
        <v/>
      </c>
      <c r="W36">
        <f>HYPERLINK("https://klasma.github.io/Logging_2031/klagomålsmail/A 51519-2023 FSC-klagomål mail.docx", "A 51519-2023")</f>
        <v/>
      </c>
      <c r="X36">
        <f>HYPERLINK("https://klasma.github.io/Logging_2031/tillsyn/A 51519-2023 tillsynsbegäran.docx", "A 51519-2023")</f>
        <v/>
      </c>
      <c r="Y36">
        <f>HYPERLINK("https://klasma.github.io/Logging_2031/tillsynsmail/A 51519-2023 tillsynsbegäran mail.docx", "A 51519-2023")</f>
        <v/>
      </c>
    </row>
    <row r="37" ht="15" customHeight="1">
      <c r="A37" t="inlineStr">
        <is>
          <t>A 61198-2023</t>
        </is>
      </c>
      <c r="B37" s="1" t="n">
        <v>45264</v>
      </c>
      <c r="C37" s="1" t="n">
        <v>45877</v>
      </c>
      <c r="D37" t="inlineStr">
        <is>
          <t>DALARNAS LÄN</t>
        </is>
      </c>
      <c r="E37" t="inlineStr">
        <is>
          <t>RÄTTVIK</t>
        </is>
      </c>
      <c r="G37" t="n">
        <v>19.8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Tjäder</t>
        </is>
      </c>
      <c r="S37">
        <f>HYPERLINK("https://klasma.github.io/Logging_2031/artfynd/A 61198-2023 artfynd.xlsx", "A 61198-2023")</f>
        <v/>
      </c>
      <c r="T37">
        <f>HYPERLINK("https://klasma.github.io/Logging_2031/kartor/A 61198-2023 karta.png", "A 61198-2023")</f>
        <v/>
      </c>
      <c r="U37">
        <f>HYPERLINK("https://klasma.github.io/Logging_2031/knärot/A 61198-2023 karta knärot.png", "A 61198-2023")</f>
        <v/>
      </c>
      <c r="V37">
        <f>HYPERLINK("https://klasma.github.io/Logging_2031/klagomål/A 61198-2023 FSC-klagomål.docx", "A 61198-2023")</f>
        <v/>
      </c>
      <c r="W37">
        <f>HYPERLINK("https://klasma.github.io/Logging_2031/klagomålsmail/A 61198-2023 FSC-klagomål mail.docx", "A 61198-2023")</f>
        <v/>
      </c>
      <c r="X37">
        <f>HYPERLINK("https://klasma.github.io/Logging_2031/tillsyn/A 61198-2023 tillsynsbegäran.docx", "A 61198-2023")</f>
        <v/>
      </c>
      <c r="Y37">
        <f>HYPERLINK("https://klasma.github.io/Logging_2031/tillsynsmail/A 61198-2023 tillsynsbegäran mail.docx", "A 61198-2023")</f>
        <v/>
      </c>
      <c r="Z37">
        <f>HYPERLINK("https://klasma.github.io/Logging_2031/fåglar/A 61198-2023 prioriterade fågelarter.docx", "A 61198-2023")</f>
        <v/>
      </c>
    </row>
    <row r="38" ht="15" customHeight="1">
      <c r="A38" t="inlineStr">
        <is>
          <t>A 14205-2024</t>
        </is>
      </c>
      <c r="B38" s="1" t="n">
        <v>45393</v>
      </c>
      <c r="C38" s="1" t="n">
        <v>45877</v>
      </c>
      <c r="D38" t="inlineStr">
        <is>
          <t>DALARNAS LÄN</t>
        </is>
      </c>
      <c r="E38" t="inlineStr">
        <is>
          <t>RÄTTVIK</t>
        </is>
      </c>
      <c r="G38" t="n">
        <v>0.7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Rosenticka
Svavelriska</t>
        </is>
      </c>
      <c r="S38">
        <f>HYPERLINK("https://klasma.github.io/Logging_2031/artfynd/A 14205-2024 artfynd.xlsx", "A 14205-2024")</f>
        <v/>
      </c>
      <c r="T38">
        <f>HYPERLINK("https://klasma.github.io/Logging_2031/kartor/A 14205-2024 karta.png", "A 14205-2024")</f>
        <v/>
      </c>
      <c r="V38">
        <f>HYPERLINK("https://klasma.github.io/Logging_2031/klagomål/A 14205-2024 FSC-klagomål.docx", "A 14205-2024")</f>
        <v/>
      </c>
      <c r="W38">
        <f>HYPERLINK("https://klasma.github.io/Logging_2031/klagomålsmail/A 14205-2024 FSC-klagomål mail.docx", "A 14205-2024")</f>
        <v/>
      </c>
      <c r="X38">
        <f>HYPERLINK("https://klasma.github.io/Logging_2031/tillsyn/A 14205-2024 tillsynsbegäran.docx", "A 14205-2024")</f>
        <v/>
      </c>
      <c r="Y38">
        <f>HYPERLINK("https://klasma.github.io/Logging_2031/tillsynsmail/A 14205-2024 tillsynsbegäran mail.docx", "A 14205-2024")</f>
        <v/>
      </c>
    </row>
    <row r="39" ht="15" customHeight="1">
      <c r="A39" t="inlineStr">
        <is>
          <t>A 19783-2024</t>
        </is>
      </c>
      <c r="B39" s="1" t="n">
        <v>45432</v>
      </c>
      <c r="C39" s="1" t="n">
        <v>45877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48.5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Fläcknycklar</t>
        </is>
      </c>
      <c r="S39">
        <f>HYPERLINK("https://klasma.github.io/Logging_2031/artfynd/A 19783-2024 artfynd.xlsx", "A 19783-2024")</f>
        <v/>
      </c>
      <c r="T39">
        <f>HYPERLINK("https://klasma.github.io/Logging_2031/kartor/A 19783-2024 karta.png", "A 19783-2024")</f>
        <v/>
      </c>
      <c r="V39">
        <f>HYPERLINK("https://klasma.github.io/Logging_2031/klagomål/A 19783-2024 FSC-klagomål.docx", "A 19783-2024")</f>
        <v/>
      </c>
      <c r="W39">
        <f>HYPERLINK("https://klasma.github.io/Logging_2031/klagomålsmail/A 19783-2024 FSC-klagomål mail.docx", "A 19783-2024")</f>
        <v/>
      </c>
      <c r="X39">
        <f>HYPERLINK("https://klasma.github.io/Logging_2031/tillsyn/A 19783-2024 tillsynsbegäran.docx", "A 19783-2024")</f>
        <v/>
      </c>
      <c r="Y39">
        <f>HYPERLINK("https://klasma.github.io/Logging_2031/tillsynsmail/A 19783-2024 tillsynsbegäran mail.docx", "A 19783-2024")</f>
        <v/>
      </c>
      <c r="Z39">
        <f>HYPERLINK("https://klasma.github.io/Logging_2031/fåglar/A 19783-2024 prioriterade fågelarter.docx", "A 19783-2024")</f>
        <v/>
      </c>
    </row>
    <row r="40" ht="15" customHeight="1">
      <c r="A40" t="inlineStr">
        <is>
          <t>A 28119-2024</t>
        </is>
      </c>
      <c r="B40" s="1" t="n">
        <v>45476</v>
      </c>
      <c r="C40" s="1" t="n">
        <v>45877</v>
      </c>
      <c r="D40" t="inlineStr">
        <is>
          <t>DALARNAS LÄN</t>
        </is>
      </c>
      <c r="E40" t="inlineStr">
        <is>
          <t>RÄTTVIK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Plattlummer</t>
        </is>
      </c>
      <c r="S40">
        <f>HYPERLINK("https://klasma.github.io/Logging_2031/artfynd/A 28119-2024 artfynd.xlsx", "A 28119-2024")</f>
        <v/>
      </c>
      <c r="T40">
        <f>HYPERLINK("https://klasma.github.io/Logging_2031/kartor/A 28119-2024 karta.png", "A 28119-2024")</f>
        <v/>
      </c>
      <c r="V40">
        <f>HYPERLINK("https://klasma.github.io/Logging_2031/klagomål/A 28119-2024 FSC-klagomål.docx", "A 28119-2024")</f>
        <v/>
      </c>
      <c r="W40">
        <f>HYPERLINK("https://klasma.github.io/Logging_2031/klagomålsmail/A 28119-2024 FSC-klagomål mail.docx", "A 28119-2024")</f>
        <v/>
      </c>
      <c r="X40">
        <f>HYPERLINK("https://klasma.github.io/Logging_2031/tillsyn/A 28119-2024 tillsynsbegäran.docx", "A 28119-2024")</f>
        <v/>
      </c>
      <c r="Y40">
        <f>HYPERLINK("https://klasma.github.io/Logging_2031/tillsynsmail/A 28119-2024 tillsynsbegäran mail.docx", "A 28119-2024")</f>
        <v/>
      </c>
    </row>
    <row r="41" ht="15" customHeight="1">
      <c r="A41" t="inlineStr">
        <is>
          <t>A 30368-2024</t>
        </is>
      </c>
      <c r="B41" s="1" t="n">
        <v>45490</v>
      </c>
      <c r="C41" s="1" t="n">
        <v>45877</v>
      </c>
      <c r="D41" t="inlineStr">
        <is>
          <t>DALARNAS LÄN</t>
        </is>
      </c>
      <c r="E41" t="inlineStr">
        <is>
          <t>RÄTTVIK</t>
        </is>
      </c>
      <c r="G41" t="n">
        <v>16.5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Trolldruvemätare
Svart trolldruva</t>
        </is>
      </c>
      <c r="S41">
        <f>HYPERLINK("https://klasma.github.io/Logging_2031/artfynd/A 30368-2024 artfynd.xlsx", "A 30368-2024")</f>
        <v/>
      </c>
      <c r="T41">
        <f>HYPERLINK("https://klasma.github.io/Logging_2031/kartor/A 30368-2024 karta.png", "A 30368-2024")</f>
        <v/>
      </c>
      <c r="V41">
        <f>HYPERLINK("https://klasma.github.io/Logging_2031/klagomål/A 30368-2024 FSC-klagomål.docx", "A 30368-2024")</f>
        <v/>
      </c>
      <c r="W41">
        <f>HYPERLINK("https://klasma.github.io/Logging_2031/klagomålsmail/A 30368-2024 FSC-klagomål mail.docx", "A 30368-2024")</f>
        <v/>
      </c>
      <c r="X41">
        <f>HYPERLINK("https://klasma.github.io/Logging_2031/tillsyn/A 30368-2024 tillsynsbegäran.docx", "A 30368-2024")</f>
        <v/>
      </c>
      <c r="Y41">
        <f>HYPERLINK("https://klasma.github.io/Logging_2031/tillsynsmail/A 30368-2024 tillsynsbegäran mail.docx", "A 30368-2024")</f>
        <v/>
      </c>
    </row>
    <row r="42" ht="15" customHeight="1">
      <c r="A42" t="inlineStr">
        <is>
          <t>A 36148-2024</t>
        </is>
      </c>
      <c r="B42" s="1" t="n">
        <v>45534</v>
      </c>
      <c r="C42" s="1" t="n">
        <v>45877</v>
      </c>
      <c r="D42" t="inlineStr">
        <is>
          <t>DALARNAS LÄN</t>
        </is>
      </c>
      <c r="E42" t="inlineStr">
        <is>
          <t>RÄTTVIK</t>
        </is>
      </c>
      <c r="G42" t="n">
        <v>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HYPERLINK("https://klasma.github.io/Logging_2031/artfynd/A 36148-2024 artfynd.xlsx", "A 36148-2024")</f>
        <v/>
      </c>
      <c r="T42">
        <f>HYPERLINK("https://klasma.github.io/Logging_2031/kartor/A 36148-2024 karta.png", "A 36148-2024")</f>
        <v/>
      </c>
      <c r="V42">
        <f>HYPERLINK("https://klasma.github.io/Logging_2031/klagomål/A 36148-2024 FSC-klagomål.docx", "A 36148-2024")</f>
        <v/>
      </c>
      <c r="W42">
        <f>HYPERLINK("https://klasma.github.io/Logging_2031/klagomålsmail/A 36148-2024 FSC-klagomål mail.docx", "A 36148-2024")</f>
        <v/>
      </c>
      <c r="X42">
        <f>HYPERLINK("https://klasma.github.io/Logging_2031/tillsyn/A 36148-2024 tillsynsbegäran.docx", "A 36148-2024")</f>
        <v/>
      </c>
      <c r="Y42">
        <f>HYPERLINK("https://klasma.github.io/Logging_2031/tillsynsmail/A 36148-2024 tillsynsbegäran mail.docx", "A 36148-2024")</f>
        <v/>
      </c>
    </row>
    <row r="43" ht="15" customHeight="1">
      <c r="A43" t="inlineStr">
        <is>
          <t>A 36315-2024</t>
        </is>
      </c>
      <c r="B43" s="1" t="n">
        <v>45534</v>
      </c>
      <c r="C43" s="1" t="n">
        <v>45877</v>
      </c>
      <c r="D43" t="inlineStr">
        <is>
          <t>DALARNAS LÄN</t>
        </is>
      </c>
      <c r="E43" t="inlineStr">
        <is>
          <t>RÄTTVIK</t>
        </is>
      </c>
      <c r="G43" t="n">
        <v>4.7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Rynkskinn
Ullticka</t>
        </is>
      </c>
      <c r="S43">
        <f>HYPERLINK("https://klasma.github.io/Logging_2031/artfynd/A 36315-2024 artfynd.xlsx", "A 36315-2024")</f>
        <v/>
      </c>
      <c r="T43">
        <f>HYPERLINK("https://klasma.github.io/Logging_2031/kartor/A 36315-2024 karta.png", "A 36315-2024")</f>
        <v/>
      </c>
      <c r="V43">
        <f>HYPERLINK("https://klasma.github.io/Logging_2031/klagomål/A 36315-2024 FSC-klagomål.docx", "A 36315-2024")</f>
        <v/>
      </c>
      <c r="W43">
        <f>HYPERLINK("https://klasma.github.io/Logging_2031/klagomålsmail/A 36315-2024 FSC-klagomål mail.docx", "A 36315-2024")</f>
        <v/>
      </c>
      <c r="X43">
        <f>HYPERLINK("https://klasma.github.io/Logging_2031/tillsyn/A 36315-2024 tillsynsbegäran.docx", "A 36315-2024")</f>
        <v/>
      </c>
      <c r="Y43">
        <f>HYPERLINK("https://klasma.github.io/Logging_2031/tillsynsmail/A 36315-2024 tillsynsbegäran mail.docx", "A 36315-2024")</f>
        <v/>
      </c>
    </row>
    <row r="44" ht="15" customHeight="1">
      <c r="A44" t="inlineStr">
        <is>
          <t>A 10374-2025</t>
        </is>
      </c>
      <c r="B44" s="1" t="n">
        <v>45720</v>
      </c>
      <c r="C44" s="1" t="n">
        <v>45877</v>
      </c>
      <c r="D44" t="inlineStr">
        <is>
          <t>DALARNAS LÄN</t>
        </is>
      </c>
      <c r="E44" t="inlineStr">
        <is>
          <t>RÄTTVIK</t>
        </is>
      </c>
      <c r="G44" t="n">
        <v>10.1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HYPERLINK("https://klasma.github.io/Logging_202031/artfynd/A 10374-2025 artfynd.xlsx", "A 10374-2025")</f>
        <v/>
      </c>
      <c r="T44">
        <f>HYPERLINK("https://klasma.github.io/Logging_202031/kartor/A 10374-2025 karta.png", "A 10374-2025")</f>
        <v/>
      </c>
      <c r="V44">
        <f>HYPERLINK("https://klasma.github.io/Logging_202031/klagomål/A 10374-2025 FSC-klagomål.docx", "A 10374-2025")</f>
        <v/>
      </c>
      <c r="W44">
        <f>HYPERLINK("https://klasma.github.io/Logging_202031/klagomålsmail/A 10374-2025 FSC-klagomål mail.docx", "A 10374-2025")</f>
        <v/>
      </c>
      <c r="X44">
        <f>HYPERLINK("https://klasma.github.io/Logging_202031/tillsyn/A 10374-2025 tillsynsbegäran.docx", "A 10374-2025")</f>
        <v/>
      </c>
      <c r="Y44">
        <f>HYPERLINK("https://klasma.github.io/Logging_202031/tillsynsmail/A 10374-2025 tillsynsbegäran mail.docx", "A 10374-2025")</f>
        <v/>
      </c>
    </row>
    <row r="45" ht="15" customHeight="1">
      <c r="A45" t="inlineStr">
        <is>
          <t>A 36849-2025</t>
        </is>
      </c>
      <c r="B45" s="1" t="n">
        <v>45874</v>
      </c>
      <c r="C45" s="1" t="n">
        <v>45877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26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Stuplav</t>
        </is>
      </c>
      <c r="S45">
        <f>HYPERLINK("https://klasma.github.io/Logging_202031/artfynd/A 36849-2025 artfynd.xlsx", "A 36849-2025")</f>
        <v/>
      </c>
      <c r="T45">
        <f>HYPERLINK("https://klasma.github.io/Logging_202031/kartor/A 36849-2025 karta.png", "A 36849-2025")</f>
        <v/>
      </c>
      <c r="V45">
        <f>HYPERLINK("https://klasma.github.io/Logging_202031/klagomål/A 36849-2025 FSC-klagomål.docx", "A 36849-2025")</f>
        <v/>
      </c>
      <c r="W45">
        <f>HYPERLINK("https://klasma.github.io/Logging_202031/klagomålsmail/A 36849-2025 FSC-klagomål mail.docx", "A 36849-2025")</f>
        <v/>
      </c>
      <c r="X45">
        <f>HYPERLINK("https://klasma.github.io/Logging_202031/tillsyn/A 36849-2025 tillsynsbegäran.docx", "A 36849-2025")</f>
        <v/>
      </c>
      <c r="Y45">
        <f>HYPERLINK("https://klasma.github.io/Logging_202031/tillsynsmail/A 36849-2025 tillsynsbegäran mail.docx", "A 36849-2025")</f>
        <v/>
      </c>
    </row>
    <row r="46" ht="15" customHeight="1">
      <c r="A46" t="inlineStr">
        <is>
          <t>A 29197-2019</t>
        </is>
      </c>
      <c r="B46" s="1" t="n">
        <v>43623</v>
      </c>
      <c r="C46" s="1" t="n">
        <v>45877</v>
      </c>
      <c r="D46" t="inlineStr">
        <is>
          <t>DALARNAS LÄN</t>
        </is>
      </c>
      <c r="E46" t="inlineStr">
        <is>
          <t>RÄTTVIK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HYPERLINK("https://klasma.github.io/Logging_2031/artfynd/A 29197-2019 artfynd.xlsx", "A 29197-2019")</f>
        <v/>
      </c>
      <c r="T46">
        <f>HYPERLINK("https://klasma.github.io/Logging_2031/kartor/A 29197-2019 karta.png", "A 29197-2019")</f>
        <v/>
      </c>
      <c r="V46">
        <f>HYPERLINK("https://klasma.github.io/Logging_2031/klagomål/A 29197-2019 FSC-klagomål.docx", "A 29197-2019")</f>
        <v/>
      </c>
      <c r="W46">
        <f>HYPERLINK("https://klasma.github.io/Logging_2031/klagomålsmail/A 29197-2019 FSC-klagomål mail.docx", "A 29197-2019")</f>
        <v/>
      </c>
      <c r="X46">
        <f>HYPERLINK("https://klasma.github.io/Logging_2031/tillsyn/A 29197-2019 tillsynsbegäran.docx", "A 29197-2019")</f>
        <v/>
      </c>
      <c r="Y46">
        <f>HYPERLINK("https://klasma.github.io/Logging_2031/tillsynsmail/A 29197-2019 tillsynsbegäran mail.docx", "A 29197-2019")</f>
        <v/>
      </c>
    </row>
    <row r="47" ht="15" customHeight="1">
      <c r="A47" t="inlineStr">
        <is>
          <t>A 43002-2019</t>
        </is>
      </c>
      <c r="B47" s="1" t="n">
        <v>43705</v>
      </c>
      <c r="C47" s="1" t="n">
        <v>45877</v>
      </c>
      <c r="D47" t="inlineStr">
        <is>
          <t>DALARNAS LÄN</t>
        </is>
      </c>
      <c r="E47" t="inlineStr">
        <is>
          <t>RÄTTVIK</t>
        </is>
      </c>
      <c r="G47" t="n">
        <v>22.6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43002-2019 artfynd.xlsx", "A 43002-2019")</f>
        <v/>
      </c>
      <c r="T47">
        <f>HYPERLINK("https://klasma.github.io/Logging_2031/kartor/A 43002-2019 karta.png", "A 43002-2019")</f>
        <v/>
      </c>
      <c r="V47">
        <f>HYPERLINK("https://klasma.github.io/Logging_2031/klagomål/A 43002-2019 FSC-klagomål.docx", "A 43002-2019")</f>
        <v/>
      </c>
      <c r="W47">
        <f>HYPERLINK("https://klasma.github.io/Logging_2031/klagomålsmail/A 43002-2019 FSC-klagomål mail.docx", "A 43002-2019")</f>
        <v/>
      </c>
      <c r="X47">
        <f>HYPERLINK("https://klasma.github.io/Logging_2031/tillsyn/A 43002-2019 tillsynsbegäran.docx", "A 43002-2019")</f>
        <v/>
      </c>
      <c r="Y47">
        <f>HYPERLINK("https://klasma.github.io/Logging_2031/tillsynsmail/A 43002-2019 tillsynsbegäran mail.docx", "A 43002-2019")</f>
        <v/>
      </c>
    </row>
    <row r="48" ht="15" customHeight="1">
      <c r="A48" t="inlineStr">
        <is>
          <t>A 20853-2020</t>
        </is>
      </c>
      <c r="B48" s="1" t="n">
        <v>43948</v>
      </c>
      <c r="C48" s="1" t="n">
        <v>45877</v>
      </c>
      <c r="D48" t="inlineStr">
        <is>
          <t>DALARNAS LÄN</t>
        </is>
      </c>
      <c r="E48" t="inlineStr">
        <is>
          <t>RÄTTVIK</t>
        </is>
      </c>
      <c r="G48" t="n">
        <v>1.8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HYPERLINK("https://klasma.github.io/Logging_2031/artfynd/A 20853-2020 artfynd.xlsx", "A 20853-2020")</f>
        <v/>
      </c>
      <c r="T48">
        <f>HYPERLINK("https://klasma.github.io/Logging_2031/kartor/A 20853-2020 karta.png", "A 20853-2020")</f>
        <v/>
      </c>
      <c r="V48">
        <f>HYPERLINK("https://klasma.github.io/Logging_2031/klagomål/A 20853-2020 FSC-klagomål.docx", "A 20853-2020")</f>
        <v/>
      </c>
      <c r="W48">
        <f>HYPERLINK("https://klasma.github.io/Logging_2031/klagomålsmail/A 20853-2020 FSC-klagomål mail.docx", "A 20853-2020")</f>
        <v/>
      </c>
      <c r="X48">
        <f>HYPERLINK("https://klasma.github.io/Logging_2031/tillsyn/A 20853-2020 tillsynsbegäran.docx", "A 20853-2020")</f>
        <v/>
      </c>
      <c r="Y48">
        <f>HYPERLINK("https://klasma.github.io/Logging_2031/tillsynsmail/A 20853-2020 tillsynsbegäran mail.docx", "A 20853-2020")</f>
        <v/>
      </c>
      <c r="Z48">
        <f>HYPERLINK("https://klasma.github.io/Logging_2031/fåglar/A 20853-2020 prioriterade fågelarter.docx", "A 20853-2020")</f>
        <v/>
      </c>
    </row>
    <row r="49" ht="15" customHeight="1">
      <c r="A49" t="inlineStr">
        <is>
          <t>A 45867-2020</t>
        </is>
      </c>
      <c r="B49" s="1" t="n">
        <v>44088</v>
      </c>
      <c r="C49" s="1" t="n">
        <v>45877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HYPERLINK("https://klasma.github.io/Logging_2031/artfynd/A 45867-2020 artfynd.xlsx", "A 45867-2020")</f>
        <v/>
      </c>
      <c r="T49">
        <f>HYPERLINK("https://klasma.github.io/Logging_2031/kartor/A 45867-2020 karta.png", "A 45867-2020")</f>
        <v/>
      </c>
      <c r="V49">
        <f>HYPERLINK("https://klasma.github.io/Logging_2031/klagomål/A 45867-2020 FSC-klagomål.docx", "A 45867-2020")</f>
        <v/>
      </c>
      <c r="W49">
        <f>HYPERLINK("https://klasma.github.io/Logging_2031/klagomålsmail/A 45867-2020 FSC-klagomål mail.docx", "A 45867-2020")</f>
        <v/>
      </c>
      <c r="X49">
        <f>HYPERLINK("https://klasma.github.io/Logging_2031/tillsyn/A 45867-2020 tillsynsbegäran.docx", "A 45867-2020")</f>
        <v/>
      </c>
      <c r="Y49">
        <f>HYPERLINK("https://klasma.github.io/Logging_2031/tillsynsmail/A 45867-2020 tillsynsbegäran mail.docx", "A 45867-2020")</f>
        <v/>
      </c>
    </row>
    <row r="50" ht="15" customHeight="1">
      <c r="A50" t="inlineStr">
        <is>
          <t>A 50604-2020</t>
        </is>
      </c>
      <c r="B50" s="1" t="n">
        <v>44110</v>
      </c>
      <c r="C50" s="1" t="n">
        <v>45877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HYPERLINK("https://klasma.github.io/Logging_2031/artfynd/A 50604-2020 artfynd.xlsx", "A 50604-2020")</f>
        <v/>
      </c>
      <c r="T50">
        <f>HYPERLINK("https://klasma.github.io/Logging_2031/kartor/A 50604-2020 karta.png", "A 50604-2020")</f>
        <v/>
      </c>
      <c r="V50">
        <f>HYPERLINK("https://klasma.github.io/Logging_2031/klagomål/A 50604-2020 FSC-klagomål.docx", "A 50604-2020")</f>
        <v/>
      </c>
      <c r="W50">
        <f>HYPERLINK("https://klasma.github.io/Logging_2031/klagomålsmail/A 50604-2020 FSC-klagomål mail.docx", "A 50604-2020")</f>
        <v/>
      </c>
      <c r="X50">
        <f>HYPERLINK("https://klasma.github.io/Logging_2031/tillsyn/A 50604-2020 tillsynsbegäran.docx", "A 50604-2020")</f>
        <v/>
      </c>
      <c r="Y50">
        <f>HYPERLINK("https://klasma.github.io/Logging_2031/tillsynsmail/A 50604-2020 tillsynsbegäran mail.docx", "A 50604-2020")</f>
        <v/>
      </c>
    </row>
    <row r="51" ht="15" customHeight="1">
      <c r="A51" t="inlineStr">
        <is>
          <t>A 15138-2021</t>
        </is>
      </c>
      <c r="B51" s="1" t="n">
        <v>44284</v>
      </c>
      <c r="C51" s="1" t="n">
        <v>45877</v>
      </c>
      <c r="D51" t="inlineStr">
        <is>
          <t>DALARNAS LÄN</t>
        </is>
      </c>
      <c r="E51" t="inlineStr">
        <is>
          <t>RÄTTVIK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HYPERLINK("https://klasma.github.io/Logging_2031/artfynd/A 15138-2021 artfynd.xlsx", "A 15138-2021")</f>
        <v/>
      </c>
      <c r="T51">
        <f>HYPERLINK("https://klasma.github.io/Logging_2031/kartor/A 15138-2021 karta.png", "A 15138-2021")</f>
        <v/>
      </c>
      <c r="V51">
        <f>HYPERLINK("https://klasma.github.io/Logging_2031/klagomål/A 15138-2021 FSC-klagomål.docx", "A 15138-2021")</f>
        <v/>
      </c>
      <c r="W51">
        <f>HYPERLINK("https://klasma.github.io/Logging_2031/klagomålsmail/A 15138-2021 FSC-klagomål mail.docx", "A 15138-2021")</f>
        <v/>
      </c>
      <c r="X51">
        <f>HYPERLINK("https://klasma.github.io/Logging_2031/tillsyn/A 15138-2021 tillsynsbegäran.docx", "A 15138-2021")</f>
        <v/>
      </c>
      <c r="Y51">
        <f>HYPERLINK("https://klasma.github.io/Logging_2031/tillsynsmail/A 15138-2021 tillsynsbegäran mail.docx", "A 15138-2021")</f>
        <v/>
      </c>
    </row>
    <row r="52" ht="15" customHeight="1">
      <c r="A52" t="inlineStr">
        <is>
          <t>A 29527-2021</t>
        </is>
      </c>
      <c r="B52" s="1" t="n">
        <v>44361</v>
      </c>
      <c r="C52" s="1" t="n">
        <v>45877</v>
      </c>
      <c r="D52" t="inlineStr">
        <is>
          <t>DALARNAS LÄN</t>
        </is>
      </c>
      <c r="E52" t="inlineStr">
        <is>
          <t>RÄTTVIK</t>
        </is>
      </c>
      <c r="G52" t="n">
        <v>4.4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29527-2021 artfynd.xlsx", "A 29527-2021")</f>
        <v/>
      </c>
      <c r="T52">
        <f>HYPERLINK("https://klasma.github.io/Logging_2031/kartor/A 29527-2021 karta.png", "A 29527-2021")</f>
        <v/>
      </c>
      <c r="V52">
        <f>HYPERLINK("https://klasma.github.io/Logging_2031/klagomål/A 29527-2021 FSC-klagomål.docx", "A 29527-2021")</f>
        <v/>
      </c>
      <c r="W52">
        <f>HYPERLINK("https://klasma.github.io/Logging_2031/klagomålsmail/A 29527-2021 FSC-klagomål mail.docx", "A 29527-2021")</f>
        <v/>
      </c>
      <c r="X52">
        <f>HYPERLINK("https://klasma.github.io/Logging_2031/tillsyn/A 29527-2021 tillsynsbegäran.docx", "A 29527-2021")</f>
        <v/>
      </c>
      <c r="Y52">
        <f>HYPERLINK("https://klasma.github.io/Logging_2031/tillsynsmail/A 29527-2021 tillsynsbegäran mail.docx", "A 29527-2021")</f>
        <v/>
      </c>
    </row>
    <row r="53" ht="15" customHeight="1">
      <c r="A53" t="inlineStr">
        <is>
          <t>A 36615-2021</t>
        </is>
      </c>
      <c r="B53" s="1" t="n">
        <v>44391</v>
      </c>
      <c r="C53" s="1" t="n">
        <v>45877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HYPERLINK("https://klasma.github.io/Logging_2031/artfynd/A 36615-2021 artfynd.xlsx", "A 36615-2021")</f>
        <v/>
      </c>
      <c r="T53">
        <f>HYPERLINK("https://klasma.github.io/Logging_2031/kartor/A 36615-2021 karta.png", "A 36615-2021")</f>
        <v/>
      </c>
      <c r="V53">
        <f>HYPERLINK("https://klasma.github.io/Logging_2031/klagomål/A 36615-2021 FSC-klagomål.docx", "A 36615-2021")</f>
        <v/>
      </c>
      <c r="W53">
        <f>HYPERLINK("https://klasma.github.io/Logging_2031/klagomålsmail/A 36615-2021 FSC-klagomål mail.docx", "A 36615-2021")</f>
        <v/>
      </c>
      <c r="X53">
        <f>HYPERLINK("https://klasma.github.io/Logging_2031/tillsyn/A 36615-2021 tillsynsbegäran.docx", "A 36615-2021")</f>
        <v/>
      </c>
      <c r="Y53">
        <f>HYPERLINK("https://klasma.github.io/Logging_2031/tillsynsmail/A 36615-2021 tillsynsbegäran mail.docx", "A 36615-2021")</f>
        <v/>
      </c>
    </row>
    <row r="54" ht="15" customHeight="1">
      <c r="A54" t="inlineStr">
        <is>
          <t>A 39484-2021</t>
        </is>
      </c>
      <c r="B54" s="1" t="n">
        <v>44414</v>
      </c>
      <c r="C54" s="1" t="n">
        <v>45877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HYPERLINK("https://klasma.github.io/Logging_2031/artfynd/A 39484-2021 artfynd.xlsx", "A 39484-2021")</f>
        <v/>
      </c>
      <c r="T54">
        <f>HYPERLINK("https://klasma.github.io/Logging_2031/kartor/A 39484-2021 karta.png", "A 39484-2021")</f>
        <v/>
      </c>
      <c r="V54">
        <f>HYPERLINK("https://klasma.github.io/Logging_2031/klagomål/A 39484-2021 FSC-klagomål.docx", "A 39484-2021")</f>
        <v/>
      </c>
      <c r="W54">
        <f>HYPERLINK("https://klasma.github.io/Logging_2031/klagomålsmail/A 39484-2021 FSC-klagomål mail.docx", "A 39484-2021")</f>
        <v/>
      </c>
      <c r="X54">
        <f>HYPERLINK("https://klasma.github.io/Logging_2031/tillsyn/A 39484-2021 tillsynsbegäran.docx", "A 39484-2021")</f>
        <v/>
      </c>
      <c r="Y54">
        <f>HYPERLINK("https://klasma.github.io/Logging_2031/tillsynsmail/A 39484-2021 tillsynsbegäran mail.docx", "A 39484-2021")</f>
        <v/>
      </c>
    </row>
    <row r="55" ht="15" customHeight="1">
      <c r="A55" t="inlineStr">
        <is>
          <t>A 54173-2021</t>
        </is>
      </c>
      <c r="B55" s="1" t="n">
        <v>44470</v>
      </c>
      <c r="C55" s="1" t="n">
        <v>45877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HYPERLINK("https://klasma.github.io/Logging_2031/artfynd/A 54173-2021 artfynd.xlsx", "A 54173-2021")</f>
        <v/>
      </c>
      <c r="T55">
        <f>HYPERLINK("https://klasma.github.io/Logging_2031/kartor/A 54173-2021 karta.png", "A 54173-2021")</f>
        <v/>
      </c>
      <c r="V55">
        <f>HYPERLINK("https://klasma.github.io/Logging_2031/klagomål/A 54173-2021 FSC-klagomål.docx", "A 54173-2021")</f>
        <v/>
      </c>
      <c r="W55">
        <f>HYPERLINK("https://klasma.github.io/Logging_2031/klagomålsmail/A 54173-2021 FSC-klagomål mail.docx", "A 54173-2021")</f>
        <v/>
      </c>
      <c r="X55">
        <f>HYPERLINK("https://klasma.github.io/Logging_2031/tillsyn/A 54173-2021 tillsynsbegäran.docx", "A 54173-2021")</f>
        <v/>
      </c>
      <c r="Y55">
        <f>HYPERLINK("https://klasma.github.io/Logging_2031/tillsynsmail/A 54173-2021 tillsynsbegäran mail.docx", "A 54173-2021")</f>
        <v/>
      </c>
    </row>
    <row r="56" ht="15" customHeight="1">
      <c r="A56" t="inlineStr">
        <is>
          <t>A 60707-2021</t>
        </is>
      </c>
      <c r="B56" s="1" t="n">
        <v>44496</v>
      </c>
      <c r="C56" s="1" t="n">
        <v>45877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Tallfingersvamp</t>
        </is>
      </c>
      <c r="S56">
        <f>HYPERLINK("https://klasma.github.io/Logging_2031/artfynd/A 60707-2021 artfynd.xlsx", "A 60707-2021")</f>
        <v/>
      </c>
      <c r="T56">
        <f>HYPERLINK("https://klasma.github.io/Logging_2031/kartor/A 60707-2021 karta.png", "A 60707-2021")</f>
        <v/>
      </c>
      <c r="V56">
        <f>HYPERLINK("https://klasma.github.io/Logging_2031/klagomål/A 60707-2021 FSC-klagomål.docx", "A 60707-2021")</f>
        <v/>
      </c>
      <c r="W56">
        <f>HYPERLINK("https://klasma.github.io/Logging_2031/klagomålsmail/A 60707-2021 FSC-klagomål mail.docx", "A 60707-2021")</f>
        <v/>
      </c>
      <c r="X56">
        <f>HYPERLINK("https://klasma.github.io/Logging_2031/tillsyn/A 60707-2021 tillsynsbegäran.docx", "A 60707-2021")</f>
        <v/>
      </c>
      <c r="Y56">
        <f>HYPERLINK("https://klasma.github.io/Logging_2031/tillsynsmail/A 60707-2021 tillsynsbegäran mail.docx", "A 60707-2021")</f>
        <v/>
      </c>
    </row>
    <row r="57" ht="15" customHeight="1">
      <c r="A57" t="inlineStr">
        <is>
          <t>A 64451-2021</t>
        </is>
      </c>
      <c r="B57" s="1" t="n">
        <v>44511</v>
      </c>
      <c r="C57" s="1" t="n">
        <v>45877</v>
      </c>
      <c r="D57" t="inlineStr">
        <is>
          <t>DALARNAS LÄN</t>
        </is>
      </c>
      <c r="E57" t="inlineStr">
        <is>
          <t>RÄTTVIK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HYPERLINK("https://klasma.github.io/Logging_2031/artfynd/A 64451-2021 artfynd.xlsx", "A 64451-2021")</f>
        <v/>
      </c>
      <c r="T57">
        <f>HYPERLINK("https://klasma.github.io/Logging_2031/kartor/A 64451-2021 karta.png", "A 64451-2021")</f>
        <v/>
      </c>
      <c r="V57">
        <f>HYPERLINK("https://klasma.github.io/Logging_2031/klagomål/A 64451-2021 FSC-klagomål.docx", "A 64451-2021")</f>
        <v/>
      </c>
      <c r="W57">
        <f>HYPERLINK("https://klasma.github.io/Logging_2031/klagomålsmail/A 64451-2021 FSC-klagomål mail.docx", "A 64451-2021")</f>
        <v/>
      </c>
      <c r="X57">
        <f>HYPERLINK("https://klasma.github.io/Logging_2031/tillsyn/A 64451-2021 tillsynsbegäran.docx", "A 64451-2021")</f>
        <v/>
      </c>
      <c r="Y57">
        <f>HYPERLINK("https://klasma.github.io/Logging_2031/tillsynsmail/A 64451-2021 tillsynsbegäran mail.docx", "A 64451-2021")</f>
        <v/>
      </c>
    </row>
    <row r="58" ht="15" customHeight="1">
      <c r="A58" t="inlineStr">
        <is>
          <t>A 734-2022</t>
        </is>
      </c>
      <c r="B58" s="1" t="n">
        <v>44568</v>
      </c>
      <c r="C58" s="1" t="n">
        <v>45877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HYPERLINK("https://klasma.github.io/Logging_2031/artfynd/A 734-2022 artfynd.xlsx", "A 734-2022")</f>
        <v/>
      </c>
      <c r="T58">
        <f>HYPERLINK("https://klasma.github.io/Logging_2031/kartor/A 734-2022 karta.png", "A 734-2022")</f>
        <v/>
      </c>
      <c r="U58">
        <f>HYPERLINK("https://klasma.github.io/Logging_2031/knärot/A 734-2022 karta knärot.png", "A 734-2022")</f>
        <v/>
      </c>
      <c r="V58">
        <f>HYPERLINK("https://klasma.github.io/Logging_2031/klagomål/A 734-2022 FSC-klagomål.docx", "A 734-2022")</f>
        <v/>
      </c>
      <c r="W58">
        <f>HYPERLINK("https://klasma.github.io/Logging_2031/klagomålsmail/A 734-2022 FSC-klagomål mail.docx", "A 734-2022")</f>
        <v/>
      </c>
      <c r="X58">
        <f>HYPERLINK("https://klasma.github.io/Logging_2031/tillsyn/A 734-2022 tillsynsbegäran.docx", "A 734-2022")</f>
        <v/>
      </c>
      <c r="Y58">
        <f>HYPERLINK("https://klasma.github.io/Logging_2031/tillsynsmail/A 734-2022 tillsynsbegäran mail.docx", "A 734-2022")</f>
        <v/>
      </c>
    </row>
    <row r="59" ht="15" customHeight="1">
      <c r="A59" t="inlineStr">
        <is>
          <t>A 10626-2022</t>
        </is>
      </c>
      <c r="B59" s="1" t="n">
        <v>44627</v>
      </c>
      <c r="C59" s="1" t="n">
        <v>45877</v>
      </c>
      <c r="D59" t="inlineStr">
        <is>
          <t>DALARNAS LÄN</t>
        </is>
      </c>
      <c r="E59" t="inlineStr">
        <is>
          <t>RÄTTVIK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Rödgul trumpetsvamp</t>
        </is>
      </c>
      <c r="S59">
        <f>HYPERLINK("https://klasma.github.io/Logging_2031/artfynd/A 10626-2022 artfynd.xlsx", "A 10626-2022")</f>
        <v/>
      </c>
      <c r="T59">
        <f>HYPERLINK("https://klasma.github.io/Logging_2031/kartor/A 10626-2022 karta.png", "A 10626-2022")</f>
        <v/>
      </c>
      <c r="V59">
        <f>HYPERLINK("https://klasma.github.io/Logging_2031/klagomål/A 10626-2022 FSC-klagomål.docx", "A 10626-2022")</f>
        <v/>
      </c>
      <c r="W59">
        <f>HYPERLINK("https://klasma.github.io/Logging_2031/klagomålsmail/A 10626-2022 FSC-klagomål mail.docx", "A 10626-2022")</f>
        <v/>
      </c>
      <c r="X59">
        <f>HYPERLINK("https://klasma.github.io/Logging_2031/tillsyn/A 10626-2022 tillsynsbegäran.docx", "A 10626-2022")</f>
        <v/>
      </c>
      <c r="Y59">
        <f>HYPERLINK("https://klasma.github.io/Logging_2031/tillsynsmail/A 10626-2022 tillsynsbegäran mail.docx", "A 10626-2022")</f>
        <v/>
      </c>
    </row>
    <row r="60" ht="15" customHeight="1">
      <c r="A60" t="inlineStr">
        <is>
          <t>A 24854-2022</t>
        </is>
      </c>
      <c r="B60" s="1" t="n">
        <v>44728</v>
      </c>
      <c r="C60" s="1" t="n">
        <v>45877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24854-2022 artfynd.xlsx", "A 24854-2022")</f>
        <v/>
      </c>
      <c r="T60">
        <f>HYPERLINK("https://klasma.github.io/Logging_2031/kartor/A 24854-2022 karta.png", "A 24854-2022")</f>
        <v/>
      </c>
      <c r="U60">
        <f>HYPERLINK("https://klasma.github.io/Logging_2031/knärot/A 24854-2022 karta knärot.png", "A 24854-2022")</f>
        <v/>
      </c>
      <c r="V60">
        <f>HYPERLINK("https://klasma.github.io/Logging_2031/klagomål/A 24854-2022 FSC-klagomål.docx", "A 24854-2022")</f>
        <v/>
      </c>
      <c r="W60">
        <f>HYPERLINK("https://klasma.github.io/Logging_2031/klagomålsmail/A 24854-2022 FSC-klagomål mail.docx", "A 24854-2022")</f>
        <v/>
      </c>
      <c r="X60">
        <f>HYPERLINK("https://klasma.github.io/Logging_2031/tillsyn/A 24854-2022 tillsynsbegäran.docx", "A 24854-2022")</f>
        <v/>
      </c>
      <c r="Y60">
        <f>HYPERLINK("https://klasma.github.io/Logging_2031/tillsynsmail/A 24854-2022 tillsynsbegäran mail.docx", "A 24854-2022")</f>
        <v/>
      </c>
    </row>
    <row r="61" ht="15" customHeight="1">
      <c r="A61" t="inlineStr">
        <is>
          <t>A 47962-2022</t>
        </is>
      </c>
      <c r="B61" s="1" t="n">
        <v>44855</v>
      </c>
      <c r="C61" s="1" t="n">
        <v>45877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HYPERLINK("https://klasma.github.io/Logging_2031/artfynd/A 47962-2022 artfynd.xlsx", "A 47962-2022")</f>
        <v/>
      </c>
      <c r="T61">
        <f>HYPERLINK("https://klasma.github.io/Logging_2031/kartor/A 47962-2022 karta.png", "A 47962-2022")</f>
        <v/>
      </c>
      <c r="V61">
        <f>HYPERLINK("https://klasma.github.io/Logging_2031/klagomål/A 47962-2022 FSC-klagomål.docx", "A 47962-2022")</f>
        <v/>
      </c>
      <c r="W61">
        <f>HYPERLINK("https://klasma.github.io/Logging_2031/klagomålsmail/A 47962-2022 FSC-klagomål mail.docx", "A 47962-2022")</f>
        <v/>
      </c>
      <c r="X61">
        <f>HYPERLINK("https://klasma.github.io/Logging_2031/tillsyn/A 47962-2022 tillsynsbegäran.docx", "A 47962-2022")</f>
        <v/>
      </c>
      <c r="Y61">
        <f>HYPERLINK("https://klasma.github.io/Logging_2031/tillsynsmail/A 47962-2022 tillsynsbegäran mail.docx", "A 47962-2022")</f>
        <v/>
      </c>
    </row>
    <row r="62" ht="15" customHeight="1">
      <c r="A62" t="inlineStr">
        <is>
          <t>A 56806-2022</t>
        </is>
      </c>
      <c r="B62" s="1" t="n">
        <v>44894</v>
      </c>
      <c r="C62" s="1" t="n">
        <v>45877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HYPERLINK("https://klasma.github.io/Logging_2031/artfynd/A 56806-2022 artfynd.xlsx", "A 56806-2022")</f>
        <v/>
      </c>
      <c r="T62">
        <f>HYPERLINK("https://klasma.github.io/Logging_2031/kartor/A 56806-2022 karta.png", "A 56806-2022")</f>
        <v/>
      </c>
      <c r="V62">
        <f>HYPERLINK("https://klasma.github.io/Logging_2031/klagomål/A 56806-2022 FSC-klagomål.docx", "A 56806-2022")</f>
        <v/>
      </c>
      <c r="W62">
        <f>HYPERLINK("https://klasma.github.io/Logging_2031/klagomålsmail/A 56806-2022 FSC-klagomål mail.docx", "A 56806-2022")</f>
        <v/>
      </c>
      <c r="X62">
        <f>HYPERLINK("https://klasma.github.io/Logging_2031/tillsyn/A 56806-2022 tillsynsbegäran.docx", "A 56806-2022")</f>
        <v/>
      </c>
      <c r="Y62">
        <f>HYPERLINK("https://klasma.github.io/Logging_2031/tillsynsmail/A 56806-2022 tillsynsbegäran mail.docx", "A 56806-2022")</f>
        <v/>
      </c>
    </row>
    <row r="63" ht="15" customHeight="1">
      <c r="A63" t="inlineStr">
        <is>
          <t>A 60556-2022</t>
        </is>
      </c>
      <c r="B63" s="1" t="n">
        <v>44911</v>
      </c>
      <c r="C63" s="1" t="n">
        <v>45877</v>
      </c>
      <c r="D63" t="inlineStr">
        <is>
          <t>DALARNAS LÄN</t>
        </is>
      </c>
      <c r="E63" t="inlineStr">
        <is>
          <t>RÄTTVIK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Scharlakansvårskål agg.</t>
        </is>
      </c>
      <c r="S63">
        <f>HYPERLINK("https://klasma.github.io/Logging_2031/artfynd/A 60556-2022 artfynd.xlsx", "A 60556-2022")</f>
        <v/>
      </c>
      <c r="T63">
        <f>HYPERLINK("https://klasma.github.io/Logging_2031/kartor/A 60556-2022 karta.png", "A 60556-2022")</f>
        <v/>
      </c>
      <c r="V63">
        <f>HYPERLINK("https://klasma.github.io/Logging_2031/klagomål/A 60556-2022 FSC-klagomål.docx", "A 60556-2022")</f>
        <v/>
      </c>
      <c r="W63">
        <f>HYPERLINK("https://klasma.github.io/Logging_2031/klagomålsmail/A 60556-2022 FSC-klagomål mail.docx", "A 60556-2022")</f>
        <v/>
      </c>
      <c r="X63">
        <f>HYPERLINK("https://klasma.github.io/Logging_2031/tillsyn/A 60556-2022 tillsynsbegäran.docx", "A 60556-2022")</f>
        <v/>
      </c>
      <c r="Y63">
        <f>HYPERLINK("https://klasma.github.io/Logging_2031/tillsynsmail/A 60556-2022 tillsynsbegäran mail.docx", "A 60556-2022")</f>
        <v/>
      </c>
    </row>
    <row r="64" ht="15" customHeight="1">
      <c r="A64" t="inlineStr">
        <is>
          <t>A 61983-2022</t>
        </is>
      </c>
      <c r="B64" s="1" t="n">
        <v>44918</v>
      </c>
      <c r="C64" s="1" t="n">
        <v>45877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HYPERLINK("https://klasma.github.io/Logging_2031/artfynd/A 61983-2022 artfynd.xlsx", "A 61983-2022")</f>
        <v/>
      </c>
      <c r="T64">
        <f>HYPERLINK("https://klasma.github.io/Logging_2031/kartor/A 61983-2022 karta.png", "A 61983-2022")</f>
        <v/>
      </c>
      <c r="V64">
        <f>HYPERLINK("https://klasma.github.io/Logging_2031/klagomål/A 61983-2022 FSC-klagomål.docx", "A 61983-2022")</f>
        <v/>
      </c>
      <c r="W64">
        <f>HYPERLINK("https://klasma.github.io/Logging_2031/klagomålsmail/A 61983-2022 FSC-klagomål mail.docx", "A 61983-2022")</f>
        <v/>
      </c>
      <c r="X64">
        <f>HYPERLINK("https://klasma.github.io/Logging_2031/tillsyn/A 61983-2022 tillsynsbegäran.docx", "A 61983-2022")</f>
        <v/>
      </c>
      <c r="Y64">
        <f>HYPERLINK("https://klasma.github.io/Logging_2031/tillsynsmail/A 61983-2022 tillsynsbegäran mail.docx", "A 61983-2022")</f>
        <v/>
      </c>
    </row>
    <row r="65" ht="15" customHeight="1">
      <c r="A65" t="inlineStr">
        <is>
          <t>A 10247-2023</t>
        </is>
      </c>
      <c r="B65" s="1" t="n">
        <v>44986</v>
      </c>
      <c r="C65" s="1" t="n">
        <v>45877</v>
      </c>
      <c r="D65" t="inlineStr">
        <is>
          <t>DALARNAS LÄN</t>
        </is>
      </c>
      <c r="E65" t="inlineStr">
        <is>
          <t>RÄTTVIK</t>
        </is>
      </c>
      <c r="G65" t="n">
        <v>9.9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HYPERLINK("https://klasma.github.io/Logging_2031/artfynd/A 10247-2023 artfynd.xlsx", "A 10247-2023")</f>
        <v/>
      </c>
      <c r="T65">
        <f>HYPERLINK("https://klasma.github.io/Logging_2031/kartor/A 10247-2023 karta.png", "A 10247-2023")</f>
        <v/>
      </c>
      <c r="V65">
        <f>HYPERLINK("https://klasma.github.io/Logging_2031/klagomål/A 10247-2023 FSC-klagomål.docx", "A 10247-2023")</f>
        <v/>
      </c>
      <c r="W65">
        <f>HYPERLINK("https://klasma.github.io/Logging_2031/klagomålsmail/A 10247-2023 FSC-klagomål mail.docx", "A 10247-2023")</f>
        <v/>
      </c>
      <c r="X65">
        <f>HYPERLINK("https://klasma.github.io/Logging_2031/tillsyn/A 10247-2023 tillsynsbegäran.docx", "A 10247-2023")</f>
        <v/>
      </c>
      <c r="Y65">
        <f>HYPERLINK("https://klasma.github.io/Logging_2031/tillsynsmail/A 10247-2023 tillsynsbegäran mail.docx", "A 10247-2023")</f>
        <v/>
      </c>
    </row>
    <row r="66" ht="15" customHeight="1">
      <c r="A66" t="inlineStr">
        <is>
          <t>A 23707-2023</t>
        </is>
      </c>
      <c r="B66" s="1" t="n">
        <v>45077</v>
      </c>
      <c r="C66" s="1" t="n">
        <v>45877</v>
      </c>
      <c r="D66" t="inlineStr">
        <is>
          <t>DALARNAS LÄN</t>
        </is>
      </c>
      <c r="E66" t="inlineStr">
        <is>
          <t>RÄTTVIK</t>
        </is>
      </c>
      <c r="G66" t="n">
        <v>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HYPERLINK("https://klasma.github.io/Logging_2031/artfynd/A 23707-2023 artfynd.xlsx", "A 23707-2023")</f>
        <v/>
      </c>
      <c r="T66">
        <f>HYPERLINK("https://klasma.github.io/Logging_2031/kartor/A 23707-2023 karta.png", "A 23707-2023")</f>
        <v/>
      </c>
      <c r="V66">
        <f>HYPERLINK("https://klasma.github.io/Logging_2031/klagomål/A 23707-2023 FSC-klagomål.docx", "A 23707-2023")</f>
        <v/>
      </c>
      <c r="W66">
        <f>HYPERLINK("https://klasma.github.io/Logging_2031/klagomålsmail/A 23707-2023 FSC-klagomål mail.docx", "A 23707-2023")</f>
        <v/>
      </c>
      <c r="X66">
        <f>HYPERLINK("https://klasma.github.io/Logging_2031/tillsyn/A 23707-2023 tillsynsbegäran.docx", "A 23707-2023")</f>
        <v/>
      </c>
      <c r="Y66">
        <f>HYPERLINK("https://klasma.github.io/Logging_2031/tillsynsmail/A 23707-2023 tillsynsbegäran mail.docx", "A 23707-2023")</f>
        <v/>
      </c>
    </row>
    <row r="67" ht="15" customHeight="1">
      <c r="A67" t="inlineStr">
        <is>
          <t>A 45516-2023</t>
        </is>
      </c>
      <c r="B67" s="1" t="n">
        <v>45194</v>
      </c>
      <c r="C67" s="1" t="n">
        <v>45877</v>
      </c>
      <c r="D67" t="inlineStr">
        <is>
          <t>DALARNAS LÄN</t>
        </is>
      </c>
      <c r="E67" t="inlineStr">
        <is>
          <t>RÄTTVIK</t>
        </is>
      </c>
      <c r="G67" t="n">
        <v>20.3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HYPERLINK("https://klasma.github.io/Logging_2031/artfynd/A 45516-2023 artfynd.xlsx", "A 45516-2023")</f>
        <v/>
      </c>
      <c r="T67">
        <f>HYPERLINK("https://klasma.github.io/Logging_2031/kartor/A 45516-2023 karta.png", "A 45516-2023")</f>
        <v/>
      </c>
      <c r="V67">
        <f>HYPERLINK("https://klasma.github.io/Logging_2031/klagomål/A 45516-2023 FSC-klagomål.docx", "A 45516-2023")</f>
        <v/>
      </c>
      <c r="W67">
        <f>HYPERLINK("https://klasma.github.io/Logging_2031/klagomålsmail/A 45516-2023 FSC-klagomål mail.docx", "A 45516-2023")</f>
        <v/>
      </c>
      <c r="X67">
        <f>HYPERLINK("https://klasma.github.io/Logging_2031/tillsyn/A 45516-2023 tillsynsbegäran.docx", "A 45516-2023")</f>
        <v/>
      </c>
      <c r="Y67">
        <f>HYPERLINK("https://klasma.github.io/Logging_2031/tillsynsmail/A 45516-2023 tillsynsbegäran mail.docx", "A 45516-2023")</f>
        <v/>
      </c>
    </row>
    <row r="68" ht="15" customHeight="1">
      <c r="A68" t="inlineStr">
        <is>
          <t>A 45524-2023</t>
        </is>
      </c>
      <c r="B68" s="1" t="n">
        <v>45194</v>
      </c>
      <c r="C68" s="1" t="n">
        <v>45877</v>
      </c>
      <c r="D68" t="inlineStr">
        <is>
          <t>DALARNAS LÄN</t>
        </is>
      </c>
      <c r="E68" t="inlineStr">
        <is>
          <t>RÄTTVIK</t>
        </is>
      </c>
      <c r="G68" t="n">
        <v>16.1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HYPERLINK("https://klasma.github.io/Logging_2031/artfynd/A 45524-2023 artfynd.xlsx", "A 45524-2023")</f>
        <v/>
      </c>
      <c r="T68">
        <f>HYPERLINK("https://klasma.github.io/Logging_2031/kartor/A 45524-2023 karta.png", "A 45524-2023")</f>
        <v/>
      </c>
      <c r="V68">
        <f>HYPERLINK("https://klasma.github.io/Logging_2031/klagomål/A 45524-2023 FSC-klagomål.docx", "A 45524-2023")</f>
        <v/>
      </c>
      <c r="W68">
        <f>HYPERLINK("https://klasma.github.io/Logging_2031/klagomålsmail/A 45524-2023 FSC-klagomål mail.docx", "A 45524-2023")</f>
        <v/>
      </c>
      <c r="X68">
        <f>HYPERLINK("https://klasma.github.io/Logging_2031/tillsyn/A 45524-2023 tillsynsbegäran.docx", "A 45524-2023")</f>
        <v/>
      </c>
      <c r="Y68">
        <f>HYPERLINK("https://klasma.github.io/Logging_2031/tillsynsmail/A 45524-2023 tillsynsbegäran mail.docx", "A 45524-2023")</f>
        <v/>
      </c>
    </row>
    <row r="69" ht="15" customHeight="1">
      <c r="A69" t="inlineStr">
        <is>
          <t>A 55268-2023</t>
        </is>
      </c>
      <c r="B69" s="1" t="n">
        <v>45231</v>
      </c>
      <c r="C69" s="1" t="n">
        <v>45877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HYPERLINK("https://klasma.github.io/Logging_2031/artfynd/A 55268-2023 artfynd.xlsx", "A 55268-2023")</f>
        <v/>
      </c>
      <c r="T69">
        <f>HYPERLINK("https://klasma.github.io/Logging_2031/kartor/A 55268-2023 karta.png", "A 55268-2023")</f>
        <v/>
      </c>
      <c r="V69">
        <f>HYPERLINK("https://klasma.github.io/Logging_2031/klagomål/A 55268-2023 FSC-klagomål.docx", "A 55268-2023")</f>
        <v/>
      </c>
      <c r="W69">
        <f>HYPERLINK("https://klasma.github.io/Logging_2031/klagomålsmail/A 55268-2023 FSC-klagomål mail.docx", "A 55268-2023")</f>
        <v/>
      </c>
      <c r="X69">
        <f>HYPERLINK("https://klasma.github.io/Logging_2031/tillsyn/A 55268-2023 tillsynsbegäran.docx", "A 55268-2023")</f>
        <v/>
      </c>
      <c r="Y69">
        <f>HYPERLINK("https://klasma.github.io/Logging_2031/tillsynsmail/A 55268-2023 tillsynsbegäran mail.docx", "A 55268-2023")</f>
        <v/>
      </c>
    </row>
    <row r="70" ht="15" customHeight="1">
      <c r="A70" t="inlineStr">
        <is>
          <t>A 11574-2024</t>
        </is>
      </c>
      <c r="B70" s="1" t="n">
        <v>45373</v>
      </c>
      <c r="C70" s="1" t="n">
        <v>45877</v>
      </c>
      <c r="D70" t="inlineStr">
        <is>
          <t>DALARNAS LÄN</t>
        </is>
      </c>
      <c r="E70" t="inlineStr">
        <is>
          <t>RÄTTVIK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Linmåra/småsnärjmåra</t>
        </is>
      </c>
      <c r="S70">
        <f>HYPERLINK("https://klasma.github.io/Logging_2031/artfynd/A 11574-2024 artfynd.xlsx", "A 11574-2024")</f>
        <v/>
      </c>
      <c r="T70">
        <f>HYPERLINK("https://klasma.github.io/Logging_2031/kartor/A 11574-2024 karta.png", "A 11574-2024")</f>
        <v/>
      </c>
      <c r="V70">
        <f>HYPERLINK("https://klasma.github.io/Logging_2031/klagomål/A 11574-2024 FSC-klagomål.docx", "A 11574-2024")</f>
        <v/>
      </c>
      <c r="W70">
        <f>HYPERLINK("https://klasma.github.io/Logging_2031/klagomålsmail/A 11574-2024 FSC-klagomål mail.docx", "A 11574-2024")</f>
        <v/>
      </c>
      <c r="X70">
        <f>HYPERLINK("https://klasma.github.io/Logging_2031/tillsyn/A 11574-2024 tillsynsbegäran.docx", "A 11574-2024")</f>
        <v/>
      </c>
      <c r="Y70">
        <f>HYPERLINK("https://klasma.github.io/Logging_2031/tillsynsmail/A 11574-2024 tillsynsbegäran mail.docx", "A 11574-2024")</f>
        <v/>
      </c>
    </row>
    <row r="71" ht="15" customHeight="1">
      <c r="A71" t="inlineStr">
        <is>
          <t>A 16116-2024</t>
        </is>
      </c>
      <c r="B71" s="1" t="n">
        <v>45406</v>
      </c>
      <c r="C71" s="1" t="n">
        <v>45877</v>
      </c>
      <c r="D71" t="inlineStr">
        <is>
          <t>DALARNAS LÄN</t>
        </is>
      </c>
      <c r="E71" t="inlineStr">
        <is>
          <t>RÄTTVIK</t>
        </is>
      </c>
      <c r="G71" t="n">
        <v>19.1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Korallblylav</t>
        </is>
      </c>
      <c r="S71">
        <f>HYPERLINK("https://klasma.github.io/Logging_2031/artfynd/A 16116-2024 artfynd.xlsx", "A 16116-2024")</f>
        <v/>
      </c>
      <c r="T71">
        <f>HYPERLINK("https://klasma.github.io/Logging_2031/kartor/A 16116-2024 karta.png", "A 16116-2024")</f>
        <v/>
      </c>
      <c r="V71">
        <f>HYPERLINK("https://klasma.github.io/Logging_2031/klagomål/A 16116-2024 FSC-klagomål.docx", "A 16116-2024")</f>
        <v/>
      </c>
      <c r="W71">
        <f>HYPERLINK("https://klasma.github.io/Logging_2031/klagomålsmail/A 16116-2024 FSC-klagomål mail.docx", "A 16116-2024")</f>
        <v/>
      </c>
      <c r="X71">
        <f>HYPERLINK("https://klasma.github.io/Logging_2031/tillsyn/A 16116-2024 tillsynsbegäran.docx", "A 16116-2024")</f>
        <v/>
      </c>
      <c r="Y71">
        <f>HYPERLINK("https://klasma.github.io/Logging_2031/tillsynsmail/A 16116-2024 tillsynsbegäran mail.docx", "A 16116-2024")</f>
        <v/>
      </c>
    </row>
    <row r="72" ht="15" customHeight="1">
      <c r="A72" t="inlineStr">
        <is>
          <t>A 16818-2024</t>
        </is>
      </c>
      <c r="B72" s="1" t="n">
        <v>45411</v>
      </c>
      <c r="C72" s="1" t="n">
        <v>45877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2.5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HYPERLINK("https://klasma.github.io/Logging_2031/artfynd/A 16818-2024 artfynd.xlsx", "A 16818-2024")</f>
        <v/>
      </c>
      <c r="T72">
        <f>HYPERLINK("https://klasma.github.io/Logging_2031/kartor/A 16818-2024 karta.png", "A 16818-2024")</f>
        <v/>
      </c>
      <c r="V72">
        <f>HYPERLINK("https://klasma.github.io/Logging_2031/klagomål/A 16818-2024 FSC-klagomål.docx", "A 16818-2024")</f>
        <v/>
      </c>
      <c r="W72">
        <f>HYPERLINK("https://klasma.github.io/Logging_2031/klagomålsmail/A 16818-2024 FSC-klagomål mail.docx", "A 16818-2024")</f>
        <v/>
      </c>
      <c r="X72">
        <f>HYPERLINK("https://klasma.github.io/Logging_2031/tillsyn/A 16818-2024 tillsynsbegäran.docx", "A 16818-2024")</f>
        <v/>
      </c>
      <c r="Y72">
        <f>HYPERLINK("https://klasma.github.io/Logging_2031/tillsynsmail/A 16818-2024 tillsynsbegäran mail.docx", "A 16818-2024")</f>
        <v/>
      </c>
    </row>
    <row r="73" ht="15" customHeight="1">
      <c r="A73" t="inlineStr">
        <is>
          <t>A 17734-2024</t>
        </is>
      </c>
      <c r="B73" s="1" t="n">
        <v>45415</v>
      </c>
      <c r="C73" s="1" t="n">
        <v>45877</v>
      </c>
      <c r="D73" t="inlineStr">
        <is>
          <t>DALARNAS LÄN</t>
        </is>
      </c>
      <c r="E73" t="inlineStr">
        <is>
          <t>RÄTTVIK</t>
        </is>
      </c>
      <c r="G73" t="n">
        <v>9.300000000000001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HYPERLINK("https://klasma.github.io/Logging_2031/artfynd/A 17734-2024 artfynd.xlsx", "A 17734-2024")</f>
        <v/>
      </c>
      <c r="T73">
        <f>HYPERLINK("https://klasma.github.io/Logging_2031/kartor/A 17734-2024 karta.png", "A 17734-2024")</f>
        <v/>
      </c>
      <c r="V73">
        <f>HYPERLINK("https://klasma.github.io/Logging_2031/klagomål/A 17734-2024 FSC-klagomål.docx", "A 17734-2024")</f>
        <v/>
      </c>
      <c r="W73">
        <f>HYPERLINK("https://klasma.github.io/Logging_2031/klagomålsmail/A 17734-2024 FSC-klagomål mail.docx", "A 17734-2024")</f>
        <v/>
      </c>
      <c r="X73">
        <f>HYPERLINK("https://klasma.github.io/Logging_2031/tillsyn/A 17734-2024 tillsynsbegäran.docx", "A 17734-2024")</f>
        <v/>
      </c>
      <c r="Y73">
        <f>HYPERLINK("https://klasma.github.io/Logging_2031/tillsynsmail/A 17734-2024 tillsynsbegäran mail.docx", "A 17734-2024")</f>
        <v/>
      </c>
    </row>
    <row r="74" ht="15" customHeight="1">
      <c r="A74" t="inlineStr">
        <is>
          <t>A 25283-2024</t>
        </is>
      </c>
      <c r="B74" s="1" t="n">
        <v>45462</v>
      </c>
      <c r="C74" s="1" t="n">
        <v>45877</v>
      </c>
      <c r="D74" t="inlineStr">
        <is>
          <t>DALARNAS LÄN</t>
        </is>
      </c>
      <c r="E74" t="inlineStr">
        <is>
          <t>RÄTTVIK</t>
        </is>
      </c>
      <c r="G74" t="n">
        <v>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Majviva</t>
        </is>
      </c>
      <c r="S74">
        <f>HYPERLINK("https://klasma.github.io/Logging_2031/artfynd/A 25283-2024 artfynd.xlsx", "A 25283-2024")</f>
        <v/>
      </c>
      <c r="T74">
        <f>HYPERLINK("https://klasma.github.io/Logging_2031/kartor/A 25283-2024 karta.png", "A 25283-2024")</f>
        <v/>
      </c>
      <c r="V74">
        <f>HYPERLINK("https://klasma.github.io/Logging_2031/klagomål/A 25283-2024 FSC-klagomål.docx", "A 25283-2024")</f>
        <v/>
      </c>
      <c r="W74">
        <f>HYPERLINK("https://klasma.github.io/Logging_2031/klagomålsmail/A 25283-2024 FSC-klagomål mail.docx", "A 25283-2024")</f>
        <v/>
      </c>
      <c r="X74">
        <f>HYPERLINK("https://klasma.github.io/Logging_2031/tillsyn/A 25283-2024 tillsynsbegäran.docx", "A 25283-2024")</f>
        <v/>
      </c>
      <c r="Y74">
        <f>HYPERLINK("https://klasma.github.io/Logging_2031/tillsynsmail/A 25283-2024 tillsynsbegäran mail.docx", "A 25283-2024")</f>
        <v/>
      </c>
    </row>
    <row r="75" ht="15" customHeight="1">
      <c r="A75" t="inlineStr">
        <is>
          <t>A 33079-2024</t>
        </is>
      </c>
      <c r="B75" s="1" t="n">
        <v>45517</v>
      </c>
      <c r="C75" s="1" t="n">
        <v>45877</v>
      </c>
      <c r="D75" t="inlineStr">
        <is>
          <t>DALARNAS LÄN</t>
        </is>
      </c>
      <c r="E75" t="inlineStr">
        <is>
          <t>RÄTTVIK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HYPERLINK("https://klasma.github.io/Logging_2031/artfynd/A 33079-2024 artfynd.xlsx", "A 33079-2024")</f>
        <v/>
      </c>
      <c r="T75">
        <f>HYPERLINK("https://klasma.github.io/Logging_2031/kartor/A 33079-2024 karta.png", "A 33079-2024")</f>
        <v/>
      </c>
      <c r="V75">
        <f>HYPERLINK("https://klasma.github.io/Logging_2031/klagomål/A 33079-2024 FSC-klagomål.docx", "A 33079-2024")</f>
        <v/>
      </c>
      <c r="W75">
        <f>HYPERLINK("https://klasma.github.io/Logging_2031/klagomålsmail/A 33079-2024 FSC-klagomål mail.docx", "A 33079-2024")</f>
        <v/>
      </c>
      <c r="X75">
        <f>HYPERLINK("https://klasma.github.io/Logging_2031/tillsyn/A 33079-2024 tillsynsbegäran.docx", "A 33079-2024")</f>
        <v/>
      </c>
      <c r="Y75">
        <f>HYPERLINK("https://klasma.github.io/Logging_2031/tillsynsmail/A 33079-2024 tillsynsbegäran mail.docx", "A 33079-2024")</f>
        <v/>
      </c>
    </row>
    <row r="76" ht="15" customHeight="1">
      <c r="A76" t="inlineStr">
        <is>
          <t>A 34305-2024</t>
        </is>
      </c>
      <c r="B76" s="1" t="n">
        <v>45524</v>
      </c>
      <c r="C76" s="1" t="n">
        <v>45877</v>
      </c>
      <c r="D76" t="inlineStr">
        <is>
          <t>DALARNAS LÄN</t>
        </is>
      </c>
      <c r="E76" t="inlineStr">
        <is>
          <t>RÄTTVIK</t>
        </is>
      </c>
      <c r="G76" t="n">
        <v>18.1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märgborre</t>
        </is>
      </c>
      <c r="S76">
        <f>HYPERLINK("https://klasma.github.io/Logging_2031/artfynd/A 34305-2024 artfynd.xlsx", "A 34305-2024")</f>
        <v/>
      </c>
      <c r="T76">
        <f>HYPERLINK("https://klasma.github.io/Logging_2031/kartor/A 34305-2024 karta.png", "A 34305-2024")</f>
        <v/>
      </c>
      <c r="V76">
        <f>HYPERLINK("https://klasma.github.io/Logging_2031/klagomål/A 34305-2024 FSC-klagomål.docx", "A 34305-2024")</f>
        <v/>
      </c>
      <c r="W76">
        <f>HYPERLINK("https://klasma.github.io/Logging_2031/klagomålsmail/A 34305-2024 FSC-klagomål mail.docx", "A 34305-2024")</f>
        <v/>
      </c>
      <c r="X76">
        <f>HYPERLINK("https://klasma.github.io/Logging_2031/tillsyn/A 34305-2024 tillsynsbegäran.docx", "A 34305-2024")</f>
        <v/>
      </c>
      <c r="Y76">
        <f>HYPERLINK("https://klasma.github.io/Logging_2031/tillsynsmail/A 34305-2024 tillsynsbegäran mail.docx", "A 34305-2024")</f>
        <v/>
      </c>
    </row>
    <row r="77" ht="15" customHeight="1">
      <c r="A77" t="inlineStr">
        <is>
          <t>A 35539-2024</t>
        </is>
      </c>
      <c r="B77" s="1" t="n">
        <v>45531</v>
      </c>
      <c r="C77" s="1" t="n">
        <v>45877</v>
      </c>
      <c r="D77" t="inlineStr">
        <is>
          <t>DALARNAS LÄN</t>
        </is>
      </c>
      <c r="E77" t="inlineStr">
        <is>
          <t>RÄTTVIK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HYPERLINK("https://klasma.github.io/Logging_2031/artfynd/A 35539-2024 artfynd.xlsx", "A 35539-2024")</f>
        <v/>
      </c>
      <c r="T77">
        <f>HYPERLINK("https://klasma.github.io/Logging_2031/kartor/A 35539-2024 karta.png", "A 35539-2024")</f>
        <v/>
      </c>
      <c r="V77">
        <f>HYPERLINK("https://klasma.github.io/Logging_2031/klagomål/A 35539-2024 FSC-klagomål.docx", "A 35539-2024")</f>
        <v/>
      </c>
      <c r="W77">
        <f>HYPERLINK("https://klasma.github.io/Logging_2031/klagomålsmail/A 35539-2024 FSC-klagomål mail.docx", "A 35539-2024")</f>
        <v/>
      </c>
      <c r="X77">
        <f>HYPERLINK("https://klasma.github.io/Logging_2031/tillsyn/A 35539-2024 tillsynsbegäran.docx", "A 35539-2024")</f>
        <v/>
      </c>
      <c r="Y77">
        <f>HYPERLINK("https://klasma.github.io/Logging_2031/tillsynsmail/A 35539-2024 tillsynsbegäran mail.docx", "A 35539-2024")</f>
        <v/>
      </c>
    </row>
    <row r="78" ht="15" customHeight="1">
      <c r="A78" t="inlineStr">
        <is>
          <t>A 47620-2024</t>
        </is>
      </c>
      <c r="B78" s="1" t="n">
        <v>45588</v>
      </c>
      <c r="C78" s="1" t="n">
        <v>45877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HYPERLINK("https://klasma.github.io/Logging_2031/artfynd/A 47620-2024 artfynd.xlsx", "A 47620-2024")</f>
        <v/>
      </c>
      <c r="T78">
        <f>HYPERLINK("https://klasma.github.io/Logging_2031/kartor/A 47620-2024 karta.png", "A 47620-2024")</f>
        <v/>
      </c>
      <c r="V78">
        <f>HYPERLINK("https://klasma.github.io/Logging_2031/klagomål/A 47620-2024 FSC-klagomål.docx", "A 47620-2024")</f>
        <v/>
      </c>
      <c r="W78">
        <f>HYPERLINK("https://klasma.github.io/Logging_2031/klagomålsmail/A 47620-2024 FSC-klagomål mail.docx", "A 47620-2024")</f>
        <v/>
      </c>
      <c r="X78">
        <f>HYPERLINK("https://klasma.github.io/Logging_2031/tillsyn/A 47620-2024 tillsynsbegäran.docx", "A 47620-2024")</f>
        <v/>
      </c>
      <c r="Y78">
        <f>HYPERLINK("https://klasma.github.io/Logging_2031/tillsynsmail/A 47620-2024 tillsynsbegäran mail.docx", "A 47620-2024")</f>
        <v/>
      </c>
    </row>
    <row r="79" ht="15" customHeight="1">
      <c r="A79" t="inlineStr">
        <is>
          <t>A 50117-2024</t>
        </is>
      </c>
      <c r="B79" s="1" t="n">
        <v>45600</v>
      </c>
      <c r="C79" s="1" t="n">
        <v>45877</v>
      </c>
      <c r="D79" t="inlineStr">
        <is>
          <t>DALARNAS LÄN</t>
        </is>
      </c>
      <c r="E79" t="inlineStr">
        <is>
          <t>RÄTTVIK</t>
        </is>
      </c>
      <c r="G79" t="n">
        <v>4.5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Finbräken</t>
        </is>
      </c>
      <c r="S79">
        <f>HYPERLINK("https://klasma.github.io/Logging_2031/artfynd/A 50117-2024 artfynd.xlsx", "A 50117-2024")</f>
        <v/>
      </c>
      <c r="T79">
        <f>HYPERLINK("https://klasma.github.io/Logging_2031/kartor/A 50117-2024 karta.png", "A 50117-2024")</f>
        <v/>
      </c>
      <c r="V79">
        <f>HYPERLINK("https://klasma.github.io/Logging_2031/klagomål/A 50117-2024 FSC-klagomål.docx", "A 50117-2024")</f>
        <v/>
      </c>
      <c r="W79">
        <f>HYPERLINK("https://klasma.github.io/Logging_2031/klagomålsmail/A 50117-2024 FSC-klagomål mail.docx", "A 50117-2024")</f>
        <v/>
      </c>
      <c r="X79">
        <f>HYPERLINK("https://klasma.github.io/Logging_2031/tillsyn/A 50117-2024 tillsynsbegäran.docx", "A 50117-2024")</f>
        <v/>
      </c>
      <c r="Y79">
        <f>HYPERLINK("https://klasma.github.io/Logging_2031/tillsynsmail/A 50117-2024 tillsynsbegäran mail.docx", "A 50117-2024")</f>
        <v/>
      </c>
    </row>
    <row r="80" ht="15" customHeight="1">
      <c r="A80" t="inlineStr">
        <is>
          <t>A 4357-2025</t>
        </is>
      </c>
      <c r="B80" s="1" t="n">
        <v>45686</v>
      </c>
      <c r="C80" s="1" t="n">
        <v>45877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HYPERLINK("https://klasma.github.io/Logging_2031/artfynd/A 4357-2025 artfynd.xlsx", "A 4357-2025")</f>
        <v/>
      </c>
      <c r="T80">
        <f>HYPERLINK("https://klasma.github.io/Logging_2031/kartor/A 4357-2025 karta.png", "A 4357-2025")</f>
        <v/>
      </c>
      <c r="V80">
        <f>HYPERLINK("https://klasma.github.io/Logging_2031/klagomål/A 4357-2025 FSC-klagomål.docx", "A 4357-2025")</f>
        <v/>
      </c>
      <c r="W80">
        <f>HYPERLINK("https://klasma.github.io/Logging_2031/klagomålsmail/A 4357-2025 FSC-klagomål mail.docx", "A 4357-2025")</f>
        <v/>
      </c>
      <c r="X80">
        <f>HYPERLINK("https://klasma.github.io/Logging_2031/tillsyn/A 4357-2025 tillsynsbegäran.docx", "A 4357-2025")</f>
        <v/>
      </c>
      <c r="Y80">
        <f>HYPERLINK("https://klasma.github.io/Logging_2031/tillsynsmail/A 4357-2025 tillsynsbegäran mail.docx", "A 4357-2025")</f>
        <v/>
      </c>
    </row>
    <row r="81" ht="15" customHeight="1">
      <c r="A81" t="inlineStr">
        <is>
          <t>A 11320-2025</t>
        </is>
      </c>
      <c r="B81" s="1" t="n">
        <v>45726</v>
      </c>
      <c r="C81" s="1" t="n">
        <v>45877</v>
      </c>
      <c r="D81" t="inlineStr">
        <is>
          <t>DALARNAS LÄN</t>
        </is>
      </c>
      <c r="E81" t="inlineStr">
        <is>
          <t>RÄTTVIK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HYPERLINK("https://klasma.github.io/Logging_202031/artfynd/A 11320-2025 artfynd.xlsx", "A 11320-2025")</f>
        <v/>
      </c>
      <c r="T81">
        <f>HYPERLINK("https://klasma.github.io/Logging_202031/kartor/A 11320-2025 karta.png", "A 11320-2025")</f>
        <v/>
      </c>
      <c r="V81">
        <f>HYPERLINK("https://klasma.github.io/Logging_202031/klagomål/A 11320-2025 FSC-klagomål.docx", "A 11320-2025")</f>
        <v/>
      </c>
      <c r="W81">
        <f>HYPERLINK("https://klasma.github.io/Logging_202031/klagomålsmail/A 11320-2025 FSC-klagomål mail.docx", "A 11320-2025")</f>
        <v/>
      </c>
      <c r="X81">
        <f>HYPERLINK("https://klasma.github.io/Logging_202031/tillsyn/A 11320-2025 tillsynsbegäran.docx", "A 11320-2025")</f>
        <v/>
      </c>
      <c r="Y81">
        <f>HYPERLINK("https://klasma.github.io/Logging_202031/tillsynsmail/A 11320-2025 tillsynsbegäran mail.docx", "A 11320-2025")</f>
        <v/>
      </c>
    </row>
    <row r="82" ht="15" customHeight="1">
      <c r="A82" t="inlineStr">
        <is>
          <t>A 17698-2025</t>
        </is>
      </c>
      <c r="B82" s="1" t="n">
        <v>45758</v>
      </c>
      <c r="C82" s="1" t="n">
        <v>45877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10.8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HYPERLINK("https://klasma.github.io/Logging_202031/artfynd/A 17698-2025 artfynd.xlsx", "A 17698-2025")</f>
        <v/>
      </c>
      <c r="T82">
        <f>HYPERLINK("https://klasma.github.io/Logging_202031/kartor/A 17698-2025 karta.png", "A 17698-2025")</f>
        <v/>
      </c>
      <c r="V82">
        <f>HYPERLINK("https://klasma.github.io/Logging_202031/klagomål/A 17698-2025 FSC-klagomål.docx", "A 17698-2025")</f>
        <v/>
      </c>
      <c r="W82">
        <f>HYPERLINK("https://klasma.github.io/Logging_202031/klagomålsmail/A 17698-2025 FSC-klagomål mail.docx", "A 17698-2025")</f>
        <v/>
      </c>
      <c r="X82">
        <f>HYPERLINK("https://klasma.github.io/Logging_202031/tillsyn/A 17698-2025 tillsynsbegäran.docx", "A 17698-2025")</f>
        <v/>
      </c>
      <c r="Y82">
        <f>HYPERLINK("https://klasma.github.io/Logging_202031/tillsynsmail/A 17698-2025 tillsynsbegäran mail.docx", "A 17698-2025")</f>
        <v/>
      </c>
    </row>
    <row r="83" ht="15" customHeight="1">
      <c r="A83" t="inlineStr">
        <is>
          <t>A 20207-2025</t>
        </is>
      </c>
      <c r="B83" s="1" t="n">
        <v>45772</v>
      </c>
      <c r="C83" s="1" t="n">
        <v>45877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13.6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HYPERLINK("https://klasma.github.io/Logging_202031/artfynd/A 20207-2025 artfynd.xlsx", "A 20207-2025")</f>
        <v/>
      </c>
      <c r="T83">
        <f>HYPERLINK("https://klasma.github.io/Logging_202031/kartor/A 20207-2025 karta.png", "A 20207-2025")</f>
        <v/>
      </c>
      <c r="V83">
        <f>HYPERLINK("https://klasma.github.io/Logging_202031/klagomål/A 20207-2025 FSC-klagomål.docx", "A 20207-2025")</f>
        <v/>
      </c>
      <c r="W83">
        <f>HYPERLINK("https://klasma.github.io/Logging_202031/klagomålsmail/A 20207-2025 FSC-klagomål mail.docx", "A 20207-2025")</f>
        <v/>
      </c>
      <c r="X83">
        <f>HYPERLINK("https://klasma.github.io/Logging_202031/tillsyn/A 20207-2025 tillsynsbegäran.docx", "A 20207-2025")</f>
        <v/>
      </c>
      <c r="Y83">
        <f>HYPERLINK("https://klasma.github.io/Logging_202031/tillsynsmail/A 20207-2025 tillsynsbegäran mail.docx", "A 20207-2025")</f>
        <v/>
      </c>
      <c r="Z83">
        <f>HYPERLINK("https://klasma.github.io/Logging_202031/fåglar/A 20207-2025 prioriterade fågelarter.docx", "A 20207-2025")</f>
        <v/>
      </c>
    </row>
    <row r="84" ht="15" customHeight="1">
      <c r="A84" t="inlineStr">
        <is>
          <t>A 33392-2025</t>
        </is>
      </c>
      <c r="B84" s="1" t="n">
        <v>45841</v>
      </c>
      <c r="C84" s="1" t="n">
        <v>45877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Brunklöver</t>
        </is>
      </c>
      <c r="S84">
        <f>HYPERLINK("https://klasma.github.io/Logging_202031/artfynd/A 33392-2025 artfynd.xlsx", "A 33392-2025")</f>
        <v/>
      </c>
      <c r="T84">
        <f>HYPERLINK("https://klasma.github.io/Logging_202031/kartor/A 33392-2025 karta.png", "A 33392-2025")</f>
        <v/>
      </c>
      <c r="V84">
        <f>HYPERLINK("https://klasma.github.io/Logging_202031/klagomål/A 33392-2025 FSC-klagomål.docx", "A 33392-2025")</f>
        <v/>
      </c>
      <c r="W84">
        <f>HYPERLINK("https://klasma.github.io/Logging_202031/klagomålsmail/A 33392-2025 FSC-klagomål mail.docx", "A 33392-2025")</f>
        <v/>
      </c>
      <c r="X84">
        <f>HYPERLINK("https://klasma.github.io/Logging_202031/tillsyn/A 33392-2025 tillsynsbegäran.docx", "A 33392-2025")</f>
        <v/>
      </c>
      <c r="Y84">
        <f>HYPERLINK("https://klasma.github.io/Logging_202031/tillsynsmail/A 33392-2025 tillsynsbegäran mail.docx", "A 33392-2025")</f>
        <v/>
      </c>
    </row>
    <row r="85" ht="15" customHeight="1">
      <c r="A85" t="inlineStr">
        <is>
          <t>A 18098-2019</t>
        </is>
      </c>
      <c r="B85" s="1" t="n">
        <v>43556</v>
      </c>
      <c r="C85" s="1" t="n">
        <v>45877</v>
      </c>
      <c r="D85" t="inlineStr">
        <is>
          <t>DALARNAS LÄN</t>
        </is>
      </c>
      <c r="E85" t="inlineStr">
        <is>
          <t>RÄTTVIK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18534-2019</t>
        </is>
      </c>
      <c r="B86" s="1" t="n">
        <v>43559</v>
      </c>
      <c r="C86" s="1" t="n">
        <v>45877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43.7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19150-2019</t>
        </is>
      </c>
      <c r="B87" s="1" t="n">
        <v>43564</v>
      </c>
      <c r="C87" s="1" t="n">
        <v>45877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19754-2019</t>
        </is>
      </c>
      <c r="B88" s="1" t="n">
        <v>43566</v>
      </c>
      <c r="C88" s="1" t="n">
        <v>45877</v>
      </c>
      <c r="D88" t="inlineStr">
        <is>
          <t>DALARNAS LÄN</t>
        </is>
      </c>
      <c r="E88" t="inlineStr">
        <is>
          <t>RÄTTVIK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20044-2019</t>
        </is>
      </c>
      <c r="B89" s="1" t="n">
        <v>43570</v>
      </c>
      <c r="C89" s="1" t="n">
        <v>45877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20032-2019</t>
        </is>
      </c>
      <c r="B90" s="1" t="n">
        <v>43570</v>
      </c>
      <c r="C90" s="1" t="n">
        <v>45877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20311-2019</t>
        </is>
      </c>
      <c r="B91" s="1" t="n">
        <v>43570</v>
      </c>
      <c r="C91" s="1" t="n">
        <v>45877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21455-2019</t>
        </is>
      </c>
      <c r="B92" s="1" t="n">
        <v>43580</v>
      </c>
      <c r="C92" s="1" t="n">
        <v>45877</v>
      </c>
      <c r="D92" t="inlineStr">
        <is>
          <t>DALARNAS LÄN</t>
        </is>
      </c>
      <c r="E92" t="inlineStr">
        <is>
          <t>RÄTTVIK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21947-2019</t>
        </is>
      </c>
      <c r="B93" s="1" t="n">
        <v>43584</v>
      </c>
      <c r="C93" s="1" t="n">
        <v>45877</v>
      </c>
      <c r="D93" t="inlineStr">
        <is>
          <t>DALARNAS LÄN</t>
        </is>
      </c>
      <c r="E93" t="inlineStr">
        <is>
          <t>RÄTTVIK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22347-2019</t>
        </is>
      </c>
      <c r="B94" s="1" t="n">
        <v>43585</v>
      </c>
      <c r="C94" s="1" t="n">
        <v>45877</v>
      </c>
      <c r="D94" t="inlineStr">
        <is>
          <t>DALARNAS LÄN</t>
        </is>
      </c>
      <c r="E94" t="inlineStr">
        <is>
          <t>RÄTTVIK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22560-2019</t>
        </is>
      </c>
      <c r="B95" s="1" t="n">
        <v>43587</v>
      </c>
      <c r="C95" s="1" t="n">
        <v>45877</v>
      </c>
      <c r="D95" t="inlineStr">
        <is>
          <t>DALARNAS LÄN</t>
        </is>
      </c>
      <c r="E95" t="inlineStr">
        <is>
          <t>RÄTTVIK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23176-2019</t>
        </is>
      </c>
      <c r="B96" s="1" t="n">
        <v>43592</v>
      </c>
      <c r="C96" s="1" t="n">
        <v>45877</v>
      </c>
      <c r="D96" t="inlineStr">
        <is>
          <t>DALARNAS LÄN</t>
        </is>
      </c>
      <c r="E96" t="inlineStr">
        <is>
          <t>RÄTTVIK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23154-2019</t>
        </is>
      </c>
      <c r="B97" s="1" t="n">
        <v>43592</v>
      </c>
      <c r="C97" s="1" t="n">
        <v>45877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23374-2019</t>
        </is>
      </c>
      <c r="B98" s="1" t="n">
        <v>43592</v>
      </c>
      <c r="C98" s="1" t="n">
        <v>45877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24266-2019</t>
        </is>
      </c>
      <c r="B99" s="1" t="n">
        <v>43599</v>
      </c>
      <c r="C99" s="1" t="n">
        <v>45877</v>
      </c>
      <c r="D99" t="inlineStr">
        <is>
          <t>DALARNAS LÄN</t>
        </is>
      </c>
      <c r="E99" t="inlineStr">
        <is>
          <t>RÄTTVIK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26973-2019</t>
        </is>
      </c>
      <c r="B100" s="1" t="n">
        <v>43609</v>
      </c>
      <c r="C100" s="1" t="n">
        <v>45877</v>
      </c>
      <c r="D100" t="inlineStr">
        <is>
          <t>DALARNAS LÄN</t>
        </is>
      </c>
      <c r="E100" t="inlineStr">
        <is>
          <t>RÄTTVIK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27960-2019</t>
        </is>
      </c>
      <c r="B101" s="1" t="n">
        <v>43612</v>
      </c>
      <c r="C101" s="1" t="n">
        <v>45877</v>
      </c>
      <c r="D101" t="inlineStr">
        <is>
          <t>DALARNAS LÄN</t>
        </is>
      </c>
      <c r="E101" t="inlineStr">
        <is>
          <t>RÄTTVIK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27188-2019</t>
        </is>
      </c>
      <c r="B102" s="1" t="n">
        <v>43612</v>
      </c>
      <c r="C102" s="1" t="n">
        <v>45877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27959-2019</t>
        </is>
      </c>
      <c r="B103" s="1" t="n">
        <v>43612</v>
      </c>
      <c r="C103" s="1" t="n">
        <v>45877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26347-2019</t>
        </is>
      </c>
      <c r="B104" s="1" t="n">
        <v>43612</v>
      </c>
      <c r="C104" s="1" t="n">
        <v>45877</v>
      </c>
      <c r="D104" t="inlineStr">
        <is>
          <t>DALARNAS LÄN</t>
        </is>
      </c>
      <c r="E104" t="inlineStr">
        <is>
          <t>RÄTTVIK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28870-2019</t>
        </is>
      </c>
      <c r="B105" s="1" t="n">
        <v>43616</v>
      </c>
      <c r="C105" s="1" t="n">
        <v>45877</v>
      </c>
      <c r="D105" t="inlineStr">
        <is>
          <t>DALARNAS LÄN</t>
        </is>
      </c>
      <c r="E105" t="inlineStr">
        <is>
          <t>RÄTTVIK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27722-2019</t>
        </is>
      </c>
      <c r="B106" s="1" t="n">
        <v>43619</v>
      </c>
      <c r="C106" s="1" t="n">
        <v>45877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29022-2019</t>
        </is>
      </c>
      <c r="B107" s="1" t="n">
        <v>43621</v>
      </c>
      <c r="C107" s="1" t="n">
        <v>45877</v>
      </c>
      <c r="D107" t="inlineStr">
        <is>
          <t>DALARNAS LÄN</t>
        </is>
      </c>
      <c r="E107" t="inlineStr">
        <is>
          <t>RÄTTVIK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29200-2019</t>
        </is>
      </c>
      <c r="B108" s="1" t="n">
        <v>43623</v>
      </c>
      <c r="C108" s="1" t="n">
        <v>45877</v>
      </c>
      <c r="D108" t="inlineStr">
        <is>
          <t>DALARNAS LÄN</t>
        </is>
      </c>
      <c r="E108" t="inlineStr">
        <is>
          <t>RÄTTVIK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29012-2019</t>
        </is>
      </c>
      <c r="B109" s="1" t="n">
        <v>43628</v>
      </c>
      <c r="C109" s="1" t="n">
        <v>45877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28948-2019</t>
        </is>
      </c>
      <c r="B110" s="1" t="n">
        <v>43628</v>
      </c>
      <c r="C110" s="1" t="n">
        <v>45877</v>
      </c>
      <c r="D110" t="inlineStr">
        <is>
          <t>DALARNAS LÄN</t>
        </is>
      </c>
      <c r="E110" t="inlineStr">
        <is>
          <t>RÄTTVIK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29880-2019</t>
        </is>
      </c>
      <c r="B111" s="1" t="n">
        <v>43629</v>
      </c>
      <c r="C111" s="1" t="n">
        <v>45877</v>
      </c>
      <c r="D111" t="inlineStr">
        <is>
          <t>DALARNAS LÄN</t>
        </is>
      </c>
      <c r="E111" t="inlineStr">
        <is>
          <t>RÄTTVIK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29638-2019</t>
        </is>
      </c>
      <c r="B112" s="1" t="n">
        <v>43630</v>
      </c>
      <c r="C112" s="1" t="n">
        <v>45877</v>
      </c>
      <c r="D112" t="inlineStr">
        <is>
          <t>DALARNAS LÄN</t>
        </is>
      </c>
      <c r="E112" t="inlineStr">
        <is>
          <t>RÄTTVIK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29842-2019</t>
        </is>
      </c>
      <c r="B113" s="1" t="n">
        <v>43633</v>
      </c>
      <c r="C113" s="1" t="n">
        <v>45877</v>
      </c>
      <c r="D113" t="inlineStr">
        <is>
          <t>DALARNAS LÄN</t>
        </is>
      </c>
      <c r="E113" t="inlineStr">
        <is>
          <t>RÄTTVIK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30250-2019</t>
        </is>
      </c>
      <c r="B114" s="1" t="n">
        <v>43633</v>
      </c>
      <c r="C114" s="1" t="n">
        <v>45877</v>
      </c>
      <c r="D114" t="inlineStr">
        <is>
          <t>DALARNAS LÄN</t>
        </is>
      </c>
      <c r="E114" t="inlineStr">
        <is>
          <t>RÄTTVIK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31549-2019</t>
        </is>
      </c>
      <c r="B115" s="1" t="n">
        <v>43641</v>
      </c>
      <c r="C115" s="1" t="n">
        <v>45877</v>
      </c>
      <c r="D115" t="inlineStr">
        <is>
          <t>DALARNAS LÄN</t>
        </is>
      </c>
      <c r="E115" t="inlineStr">
        <is>
          <t>RÄTTVIK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32158-2019</t>
        </is>
      </c>
      <c r="B116" s="1" t="n">
        <v>43643</v>
      </c>
      <c r="C116" s="1" t="n">
        <v>45877</v>
      </c>
      <c r="D116" t="inlineStr">
        <is>
          <t>DALARNAS LÄN</t>
        </is>
      </c>
      <c r="E116" t="inlineStr">
        <is>
          <t>RÄTTVIK</t>
        </is>
      </c>
      <c r="F116" t="inlineStr">
        <is>
          <t>Bergvik skog väst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32157-2019</t>
        </is>
      </c>
      <c r="B117" s="1" t="n">
        <v>43643</v>
      </c>
      <c r="C117" s="1" t="n">
        <v>45877</v>
      </c>
      <c r="D117" t="inlineStr">
        <is>
          <t>DALARNAS LÄN</t>
        </is>
      </c>
      <c r="E117" t="inlineStr">
        <is>
          <t>RÄTTVIK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34149-2019</t>
        </is>
      </c>
      <c r="B118" s="1" t="n">
        <v>43647</v>
      </c>
      <c r="C118" s="1" t="n">
        <v>45877</v>
      </c>
      <c r="D118" t="inlineStr">
        <is>
          <t>DALARNAS LÄN</t>
        </is>
      </c>
      <c r="E118" t="inlineStr">
        <is>
          <t>RÄTTVIK</t>
        </is>
      </c>
      <c r="F118" t="inlineStr">
        <is>
          <t>Kommuner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35215-2019</t>
        </is>
      </c>
      <c r="B119" s="1" t="n">
        <v>43651</v>
      </c>
      <c r="C119" s="1" t="n">
        <v>45877</v>
      </c>
      <c r="D119" t="inlineStr">
        <is>
          <t>DALARNAS LÄN</t>
        </is>
      </c>
      <c r="E119" t="inlineStr">
        <is>
          <t>RÄTTVIK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35211-2019</t>
        </is>
      </c>
      <c r="B120" s="1" t="n">
        <v>43651</v>
      </c>
      <c r="C120" s="1" t="n">
        <v>45877</v>
      </c>
      <c r="D120" t="inlineStr">
        <is>
          <t>DALARNAS LÄN</t>
        </is>
      </c>
      <c r="E120" t="inlineStr">
        <is>
          <t>RÄTTVIK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34329-2019</t>
        </is>
      </c>
      <c r="B121" s="1" t="n">
        <v>43656</v>
      </c>
      <c r="C121" s="1" t="n">
        <v>45877</v>
      </c>
      <c r="D121" t="inlineStr">
        <is>
          <t>DALARNAS LÄN</t>
        </is>
      </c>
      <c r="E121" t="inlineStr">
        <is>
          <t>RÄTTVIK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36028-2019</t>
        </is>
      </c>
      <c r="B122" s="1" t="n">
        <v>43657</v>
      </c>
      <c r="C122" s="1" t="n">
        <v>45877</v>
      </c>
      <c r="D122" t="inlineStr">
        <is>
          <t>DALARNAS LÄN</t>
        </is>
      </c>
      <c r="E122" t="inlineStr">
        <is>
          <t>RÄTTVIK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36382-2019</t>
        </is>
      </c>
      <c r="B123" s="1" t="n">
        <v>43662</v>
      </c>
      <c r="C123" s="1" t="n">
        <v>45877</v>
      </c>
      <c r="D123" t="inlineStr">
        <is>
          <t>DALARNAS LÄN</t>
        </is>
      </c>
      <c r="E123" t="inlineStr">
        <is>
          <t>RÄTTVIK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36380-2019</t>
        </is>
      </c>
      <c r="B124" s="1" t="n">
        <v>43662</v>
      </c>
      <c r="C124" s="1" t="n">
        <v>45877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35410-2019</t>
        </is>
      </c>
      <c r="B125" s="1" t="n">
        <v>43663</v>
      </c>
      <c r="C125" s="1" t="n">
        <v>45877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HYPERLINK("https://klasma.github.io/Logging_2031/knärot/A 35410-2019 karta knärot.png", "A 35410-2019")</f>
        <v/>
      </c>
      <c r="V125">
        <f>HYPERLINK("https://klasma.github.io/Logging_2031/klagomål/A 35410-2019 FSC-klagomål.docx", "A 35410-2019")</f>
        <v/>
      </c>
      <c r="W125">
        <f>HYPERLINK("https://klasma.github.io/Logging_2031/klagomålsmail/A 35410-2019 FSC-klagomål mail.docx", "A 35410-2019")</f>
        <v/>
      </c>
      <c r="X125">
        <f>HYPERLINK("https://klasma.github.io/Logging_2031/tillsyn/A 35410-2019 tillsynsbegäran.docx", "A 35410-2019")</f>
        <v/>
      </c>
      <c r="Y125">
        <f>HYPERLINK("https://klasma.github.io/Logging_2031/tillsynsmail/A 35410-2019 tillsynsbegäran mail.docx", "A 35410-2019")</f>
        <v/>
      </c>
    </row>
    <row r="126" ht="15" customHeight="1">
      <c r="A126" t="inlineStr">
        <is>
          <t>A 35418-2019</t>
        </is>
      </c>
      <c r="B126" s="1" t="n">
        <v>43663</v>
      </c>
      <c r="C126" s="1" t="n">
        <v>45877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35423-2019</t>
        </is>
      </c>
      <c r="B127" s="1" t="n">
        <v>43663</v>
      </c>
      <c r="C127" s="1" t="n">
        <v>45877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35408-2019</t>
        </is>
      </c>
      <c r="B128" s="1" t="n">
        <v>43663</v>
      </c>
      <c r="C128" s="1" t="n">
        <v>45877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37678-2019</t>
        </is>
      </c>
      <c r="B129" s="1" t="n">
        <v>43682</v>
      </c>
      <c r="C129" s="1" t="n">
        <v>45877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38748-2019</t>
        </is>
      </c>
      <c r="B130" s="1" t="n">
        <v>43686</v>
      </c>
      <c r="C130" s="1" t="n">
        <v>45877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39556-2019</t>
        </is>
      </c>
      <c r="B131" s="1" t="n">
        <v>43686</v>
      </c>
      <c r="C131" s="1" t="n">
        <v>45877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39005-2019</t>
        </is>
      </c>
      <c r="B132" s="1" t="n">
        <v>43689</v>
      </c>
      <c r="C132" s="1" t="n">
        <v>45877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40304-2019</t>
        </is>
      </c>
      <c r="B133" s="1" t="n">
        <v>43690</v>
      </c>
      <c r="C133" s="1" t="n">
        <v>45877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40853-2019</t>
        </is>
      </c>
      <c r="B134" s="1" t="n">
        <v>43697</v>
      </c>
      <c r="C134" s="1" t="n">
        <v>45877</v>
      </c>
      <c r="D134" t="inlineStr">
        <is>
          <t>DALARNAS LÄN</t>
        </is>
      </c>
      <c r="E134" t="inlineStr">
        <is>
          <t>RÄTTVIK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42846-2019</t>
        </is>
      </c>
      <c r="B135" s="1" t="n">
        <v>43700</v>
      </c>
      <c r="C135" s="1" t="n">
        <v>45877</v>
      </c>
      <c r="D135" t="inlineStr">
        <is>
          <t>DALARNAS LÄN</t>
        </is>
      </c>
      <c r="E135" t="inlineStr">
        <is>
          <t>RÄTTVIK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42949-2019</t>
        </is>
      </c>
      <c r="B136" s="1" t="n">
        <v>43705</v>
      </c>
      <c r="C136" s="1" t="n">
        <v>45877</v>
      </c>
      <c r="D136" t="inlineStr">
        <is>
          <t>DALARNAS LÄN</t>
        </is>
      </c>
      <c r="E136" t="inlineStr">
        <is>
          <t>RÄTTVIK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44376-2019</t>
        </is>
      </c>
      <c r="B137" s="1" t="n">
        <v>43711</v>
      </c>
      <c r="C137" s="1" t="n">
        <v>45877</v>
      </c>
      <c r="D137" t="inlineStr">
        <is>
          <t>DALARNAS LÄN</t>
        </is>
      </c>
      <c r="E137" t="inlineStr">
        <is>
          <t>RÄTTVIK</t>
        </is>
      </c>
      <c r="F137" t="inlineStr">
        <is>
          <t>Bergvik skog väst AB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44697-2019</t>
        </is>
      </c>
      <c r="B138" s="1" t="n">
        <v>43712</v>
      </c>
      <c r="C138" s="1" t="n">
        <v>45877</v>
      </c>
      <c r="D138" t="inlineStr">
        <is>
          <t>DALARNAS LÄN</t>
        </is>
      </c>
      <c r="E138" t="inlineStr">
        <is>
          <t>RÄTTVIK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45991-2019</t>
        </is>
      </c>
      <c r="B139" s="1" t="n">
        <v>43713</v>
      </c>
      <c r="C139" s="1" t="n">
        <v>45877</v>
      </c>
      <c r="D139" t="inlineStr">
        <is>
          <t>DALARNAS LÄN</t>
        </is>
      </c>
      <c r="E139" t="inlineStr">
        <is>
          <t>RÄTTVIK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46214-2019</t>
        </is>
      </c>
      <c r="B140" s="1" t="n">
        <v>43714</v>
      </c>
      <c r="C140" s="1" t="n">
        <v>45877</v>
      </c>
      <c r="D140" t="inlineStr">
        <is>
          <t>DALARNAS LÄN</t>
        </is>
      </c>
      <c r="E140" t="inlineStr">
        <is>
          <t>RÄTTVIK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46213-2019</t>
        </is>
      </c>
      <c r="B141" s="1" t="n">
        <v>43714</v>
      </c>
      <c r="C141" s="1" t="n">
        <v>45877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46525-2019</t>
        </is>
      </c>
      <c r="B142" s="1" t="n">
        <v>43717</v>
      </c>
      <c r="C142" s="1" t="n">
        <v>45877</v>
      </c>
      <c r="D142" t="inlineStr">
        <is>
          <t>DALARNAS LÄN</t>
        </is>
      </c>
      <c r="E142" t="inlineStr">
        <is>
          <t>RÄTTVIK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45598-2019</t>
        </is>
      </c>
      <c r="B143" s="1" t="n">
        <v>43718</v>
      </c>
      <c r="C143" s="1" t="n">
        <v>45877</v>
      </c>
      <c r="D143" t="inlineStr">
        <is>
          <t>DALARNAS LÄN</t>
        </is>
      </c>
      <c r="E143" t="inlineStr">
        <is>
          <t>RÄTTVIK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47036-2019</t>
        </is>
      </c>
      <c r="B144" s="1" t="n">
        <v>43720</v>
      </c>
      <c r="C144" s="1" t="n">
        <v>45877</v>
      </c>
      <c r="D144" t="inlineStr">
        <is>
          <t>DALARNAS LÄN</t>
        </is>
      </c>
      <c r="E144" t="inlineStr">
        <is>
          <t>RÄTTVIK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47650-2019</t>
        </is>
      </c>
      <c r="B145" s="1" t="n">
        <v>43724</v>
      </c>
      <c r="C145" s="1" t="n">
        <v>45877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48518-2019</t>
        </is>
      </c>
      <c r="B146" s="1" t="n">
        <v>43726</v>
      </c>
      <c r="C146" s="1" t="n">
        <v>45877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48541-2019</t>
        </is>
      </c>
      <c r="B147" s="1" t="n">
        <v>43727</v>
      </c>
      <c r="C147" s="1" t="n">
        <v>45877</v>
      </c>
      <c r="D147" t="inlineStr">
        <is>
          <t>DALARNAS LÄN</t>
        </is>
      </c>
      <c r="E147" t="inlineStr">
        <is>
          <t>RÄTTVIK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48548-2019</t>
        </is>
      </c>
      <c r="B148" s="1" t="n">
        <v>43727</v>
      </c>
      <c r="C148" s="1" t="n">
        <v>45877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48537-2019</t>
        </is>
      </c>
      <c r="B149" s="1" t="n">
        <v>43727</v>
      </c>
      <c r="C149" s="1" t="n">
        <v>45877</v>
      </c>
      <c r="D149" t="inlineStr">
        <is>
          <t>DALARNAS LÄN</t>
        </is>
      </c>
      <c r="E149" t="inlineStr">
        <is>
          <t>RÄTTVIK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51369-2019</t>
        </is>
      </c>
      <c r="B150" s="1" t="n">
        <v>43732</v>
      </c>
      <c r="C150" s="1" t="n">
        <v>45877</v>
      </c>
      <c r="D150" t="inlineStr">
        <is>
          <t>DALARNAS LÄN</t>
        </is>
      </c>
      <c r="E150" t="inlineStr">
        <is>
          <t>RÄTTVIK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50213-2019</t>
        </is>
      </c>
      <c r="B151" s="1" t="n">
        <v>43734</v>
      </c>
      <c r="C151" s="1" t="n">
        <v>45877</v>
      </c>
      <c r="D151" t="inlineStr">
        <is>
          <t>DALARNAS LÄN</t>
        </is>
      </c>
      <c r="E151" t="inlineStr">
        <is>
          <t>RÄTTVIK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51773-2019</t>
        </is>
      </c>
      <c r="B152" s="1" t="n">
        <v>43734</v>
      </c>
      <c r="C152" s="1" t="n">
        <v>45877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50362-2019</t>
        </is>
      </c>
      <c r="B153" s="1" t="n">
        <v>43734</v>
      </c>
      <c r="C153" s="1" t="n">
        <v>45877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50460-2019</t>
        </is>
      </c>
      <c r="B154" s="1" t="n">
        <v>43735</v>
      </c>
      <c r="C154" s="1" t="n">
        <v>45877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50471-2019</t>
        </is>
      </c>
      <c r="B155" s="1" t="n">
        <v>43735</v>
      </c>
      <c r="C155" s="1" t="n">
        <v>45877</v>
      </c>
      <c r="D155" t="inlineStr">
        <is>
          <t>DALARNAS LÄN</t>
        </is>
      </c>
      <c r="E155" t="inlineStr">
        <is>
          <t>RÄTTVIK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51526-2019</t>
        </is>
      </c>
      <c r="B156" s="1" t="n">
        <v>43740</v>
      </c>
      <c r="C156" s="1" t="n">
        <v>45877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51536-2019</t>
        </is>
      </c>
      <c r="B157" s="1" t="n">
        <v>43740</v>
      </c>
      <c r="C157" s="1" t="n">
        <v>45877</v>
      </c>
      <c r="D157" t="inlineStr">
        <is>
          <t>DALARNAS LÄN</t>
        </is>
      </c>
      <c r="E157" t="inlineStr">
        <is>
          <t>RÄTTVIK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52865-2019</t>
        </is>
      </c>
      <c r="B158" s="1" t="n">
        <v>43740</v>
      </c>
      <c r="C158" s="1" t="n">
        <v>45877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53060-2019</t>
        </is>
      </c>
      <c r="B159" s="1" t="n">
        <v>43740</v>
      </c>
      <c r="C159" s="1" t="n">
        <v>45877</v>
      </c>
      <c r="D159" t="inlineStr">
        <is>
          <t>DALARNAS LÄN</t>
        </is>
      </c>
      <c r="E159" t="inlineStr">
        <is>
          <t>RÄTTVIK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52221-2019</t>
        </is>
      </c>
      <c r="B160" s="1" t="n">
        <v>43742</v>
      </c>
      <c r="C160" s="1" t="n">
        <v>45877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21.2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53998-2019</t>
        </is>
      </c>
      <c r="B161" s="1" t="n">
        <v>43742</v>
      </c>
      <c r="C161" s="1" t="n">
        <v>45877</v>
      </c>
      <c r="D161" t="inlineStr">
        <is>
          <t>DALARNAS LÄN</t>
        </is>
      </c>
      <c r="E161" t="inlineStr">
        <is>
          <t>RÄTTVIK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53099-2019</t>
        </is>
      </c>
      <c r="B162" s="1" t="n">
        <v>43747</v>
      </c>
      <c r="C162" s="1" t="n">
        <v>45877</v>
      </c>
      <c r="D162" t="inlineStr">
        <is>
          <t>DALARNAS LÄN</t>
        </is>
      </c>
      <c r="E162" t="inlineStr">
        <is>
          <t>RÄTTVIK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56609-2019</t>
        </is>
      </c>
      <c r="B163" s="1" t="n">
        <v>43758</v>
      </c>
      <c r="C163" s="1" t="n">
        <v>45877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57663-2019</t>
        </is>
      </c>
      <c r="B164" s="1" t="n">
        <v>43761</v>
      </c>
      <c r="C164" s="1" t="n">
        <v>45877</v>
      </c>
      <c r="D164" t="inlineStr">
        <is>
          <t>DALARNAS LÄN</t>
        </is>
      </c>
      <c r="E164" t="inlineStr">
        <is>
          <t>RÄTTVIK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58514-2019</t>
        </is>
      </c>
      <c r="B165" s="1" t="n">
        <v>43766</v>
      </c>
      <c r="C165" s="1" t="n">
        <v>45877</v>
      </c>
      <c r="D165" t="inlineStr">
        <is>
          <t>DALARNAS LÄN</t>
        </is>
      </c>
      <c r="E165" t="inlineStr">
        <is>
          <t>RÄTTVIK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57490-2019</t>
        </is>
      </c>
      <c r="B166" s="1" t="n">
        <v>43767</v>
      </c>
      <c r="C166" s="1" t="n">
        <v>45877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57951-2019</t>
        </is>
      </c>
      <c r="B167" s="1" t="n">
        <v>43769</v>
      </c>
      <c r="C167" s="1" t="n">
        <v>45877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59171-2019</t>
        </is>
      </c>
      <c r="B168" s="1" t="n">
        <v>43770</v>
      </c>
      <c r="C168" s="1" t="n">
        <v>45877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59176-2019</t>
        </is>
      </c>
      <c r="B169" s="1" t="n">
        <v>43770</v>
      </c>
      <c r="C169" s="1" t="n">
        <v>45877</v>
      </c>
      <c r="D169" t="inlineStr">
        <is>
          <t>DALARNAS LÄN</t>
        </is>
      </c>
      <c r="E169" t="inlineStr">
        <is>
          <t>RÄTTVIK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59301-2019</t>
        </is>
      </c>
      <c r="B170" s="1" t="n">
        <v>43773</v>
      </c>
      <c r="C170" s="1" t="n">
        <v>45877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59816-2019</t>
        </is>
      </c>
      <c r="B171" s="1" t="n">
        <v>43775</v>
      </c>
      <c r="C171" s="1" t="n">
        <v>45877</v>
      </c>
      <c r="D171" t="inlineStr">
        <is>
          <t>DALARNAS LÄN</t>
        </is>
      </c>
      <c r="E171" t="inlineStr">
        <is>
          <t>RÄTTVIK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60578-2019</t>
        </is>
      </c>
      <c r="B172" s="1" t="n">
        <v>43776</v>
      </c>
      <c r="C172" s="1" t="n">
        <v>45877</v>
      </c>
      <c r="D172" t="inlineStr">
        <is>
          <t>DALARNAS LÄN</t>
        </is>
      </c>
      <c r="E172" t="inlineStr">
        <is>
          <t>RÄTTVIK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60474-2019</t>
        </is>
      </c>
      <c r="B173" s="1" t="n">
        <v>43776</v>
      </c>
      <c r="C173" s="1" t="n">
        <v>45877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60575-2019</t>
        </is>
      </c>
      <c r="B174" s="1" t="n">
        <v>43776</v>
      </c>
      <c r="C174" s="1" t="n">
        <v>45877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60473-2019</t>
        </is>
      </c>
      <c r="B175" s="1" t="n">
        <v>43776</v>
      </c>
      <c r="C175" s="1" t="n">
        <v>45877</v>
      </c>
      <c r="D175" t="inlineStr">
        <is>
          <t>DALARNAS LÄN</t>
        </is>
      </c>
      <c r="E175" t="inlineStr">
        <is>
          <t>RÄTTVIK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60467-2019</t>
        </is>
      </c>
      <c r="B176" s="1" t="n">
        <v>43780</v>
      </c>
      <c r="C176" s="1" t="n">
        <v>45877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61112-2019</t>
        </is>
      </c>
      <c r="B177" s="1" t="n">
        <v>43780</v>
      </c>
      <c r="C177" s="1" t="n">
        <v>45877</v>
      </c>
      <c r="D177" t="inlineStr">
        <is>
          <t>DALARNAS LÄN</t>
        </is>
      </c>
      <c r="E177" t="inlineStr">
        <is>
          <t>RÄTTVIK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61115-2019</t>
        </is>
      </c>
      <c r="B178" s="1" t="n">
        <v>43780</v>
      </c>
      <c r="C178" s="1" t="n">
        <v>45877</v>
      </c>
      <c r="D178" t="inlineStr">
        <is>
          <t>DALARNAS LÄN</t>
        </is>
      </c>
      <c r="E178" t="inlineStr">
        <is>
          <t>RÄTTVIK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61117-2019</t>
        </is>
      </c>
      <c r="B179" s="1" t="n">
        <v>43780</v>
      </c>
      <c r="C179" s="1" t="n">
        <v>45877</v>
      </c>
      <c r="D179" t="inlineStr">
        <is>
          <t>DALARNAS LÄN</t>
        </is>
      </c>
      <c r="E179" t="inlineStr">
        <is>
          <t>RÄTTVIK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61257-2019</t>
        </is>
      </c>
      <c r="B180" s="1" t="n">
        <v>43783</v>
      </c>
      <c r="C180" s="1" t="n">
        <v>45877</v>
      </c>
      <c r="D180" t="inlineStr">
        <is>
          <t>DALARNAS LÄN</t>
        </is>
      </c>
      <c r="E180" t="inlineStr">
        <is>
          <t>RÄTTVIK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62807-2019</t>
        </is>
      </c>
      <c r="B181" s="1" t="n">
        <v>43784</v>
      </c>
      <c r="C181" s="1" t="n">
        <v>45877</v>
      </c>
      <c r="D181" t="inlineStr">
        <is>
          <t>DALARNAS LÄN</t>
        </is>
      </c>
      <c r="E181" t="inlineStr">
        <is>
          <t>RÄTTVIK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62738-2019</t>
        </is>
      </c>
      <c r="B182" s="1" t="n">
        <v>43786</v>
      </c>
      <c r="C182" s="1" t="n">
        <v>45877</v>
      </c>
      <c r="D182" t="inlineStr">
        <is>
          <t>DALARNAS LÄN</t>
        </is>
      </c>
      <c r="E182" t="inlineStr">
        <is>
          <t>RÄTTVIK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65199-2019</t>
        </is>
      </c>
      <c r="B183" s="1" t="n">
        <v>43797</v>
      </c>
      <c r="C183" s="1" t="n">
        <v>45877</v>
      </c>
      <c r="D183" t="inlineStr">
        <is>
          <t>DALARNAS LÄN</t>
        </is>
      </c>
      <c r="E183" t="inlineStr">
        <is>
          <t>RÄTTVIK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66771-2019</t>
        </is>
      </c>
      <c r="B184" s="1" t="n">
        <v>43804</v>
      </c>
      <c r="C184" s="1" t="n">
        <v>45877</v>
      </c>
      <c r="D184" t="inlineStr">
        <is>
          <t>DALARNAS LÄN</t>
        </is>
      </c>
      <c r="E184" t="inlineStr">
        <is>
          <t>RÄTTVIK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67053-2019</t>
        </is>
      </c>
      <c r="B185" s="1" t="n">
        <v>43805</v>
      </c>
      <c r="C185" s="1" t="n">
        <v>45877</v>
      </c>
      <c r="D185" t="inlineStr">
        <is>
          <t>DALARNAS LÄN</t>
        </is>
      </c>
      <c r="E185" t="inlineStr">
        <is>
          <t>RÄTTVIK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67049-2019</t>
        </is>
      </c>
      <c r="B186" s="1" t="n">
        <v>43805</v>
      </c>
      <c r="C186" s="1" t="n">
        <v>45877</v>
      </c>
      <c r="D186" t="inlineStr">
        <is>
          <t>DALARNAS LÄN</t>
        </is>
      </c>
      <c r="E186" t="inlineStr">
        <is>
          <t>RÄTTVIK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67308-2019</t>
        </is>
      </c>
      <c r="B187" s="1" t="n">
        <v>43812</v>
      </c>
      <c r="C187" s="1" t="n">
        <v>45877</v>
      </c>
      <c r="D187" t="inlineStr">
        <is>
          <t>DALARNAS LÄN</t>
        </is>
      </c>
      <c r="E187" t="inlineStr">
        <is>
          <t>RÄTTVIK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67404-2019</t>
        </is>
      </c>
      <c r="B188" s="1" t="n">
        <v>43812</v>
      </c>
      <c r="C188" s="1" t="n">
        <v>45877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68806-2019</t>
        </is>
      </c>
      <c r="B189" s="1" t="n">
        <v>43815</v>
      </c>
      <c r="C189" s="1" t="n">
        <v>45877</v>
      </c>
      <c r="D189" t="inlineStr">
        <is>
          <t>DALARNAS LÄN</t>
        </is>
      </c>
      <c r="E189" t="inlineStr">
        <is>
          <t>RÄTTVIK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67503-2019</t>
        </is>
      </c>
      <c r="B190" s="1" t="n">
        <v>43815</v>
      </c>
      <c r="C190" s="1" t="n">
        <v>45877</v>
      </c>
      <c r="D190" t="inlineStr">
        <is>
          <t>DALARNAS LÄN</t>
        </is>
      </c>
      <c r="E190" t="inlineStr">
        <is>
          <t>RÄTTVIK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69097-2019</t>
        </is>
      </c>
      <c r="B191" s="1" t="n">
        <v>43829</v>
      </c>
      <c r="C191" s="1" t="n">
        <v>45877</v>
      </c>
      <c r="D191" t="inlineStr">
        <is>
          <t>DALARNAS LÄN</t>
        </is>
      </c>
      <c r="E191" t="inlineStr">
        <is>
          <t>RÄTTVIK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1771-2020</t>
        </is>
      </c>
      <c r="B192" s="1" t="n">
        <v>43833</v>
      </c>
      <c r="C192" s="1" t="n">
        <v>45877</v>
      </c>
      <c r="D192" t="inlineStr">
        <is>
          <t>DALARNAS LÄN</t>
        </is>
      </c>
      <c r="E192" t="inlineStr">
        <is>
          <t>RÄTTVIK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449-2020</t>
        </is>
      </c>
      <c r="B193" s="1" t="n">
        <v>43837</v>
      </c>
      <c r="C193" s="1" t="n">
        <v>45877</v>
      </c>
      <c r="D193" t="inlineStr">
        <is>
          <t>DALARNAS LÄN</t>
        </is>
      </c>
      <c r="E193" t="inlineStr">
        <is>
          <t>RÄTTVIK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946-2020</t>
        </is>
      </c>
      <c r="B194" s="1" t="n">
        <v>43839</v>
      </c>
      <c r="C194" s="1" t="n">
        <v>45877</v>
      </c>
      <c r="D194" t="inlineStr">
        <is>
          <t>DALARNAS LÄN</t>
        </is>
      </c>
      <c r="E194" t="inlineStr">
        <is>
          <t>RÄTTVIK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1137-2020</t>
        </is>
      </c>
      <c r="B195" s="1" t="n">
        <v>43840</v>
      </c>
      <c r="C195" s="1" t="n">
        <v>45877</v>
      </c>
      <c r="D195" t="inlineStr">
        <is>
          <t>DALARNAS LÄN</t>
        </is>
      </c>
      <c r="E195" t="inlineStr">
        <is>
          <t>RÄTTVIK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2556-2020</t>
        </is>
      </c>
      <c r="B196" s="1" t="n">
        <v>43843</v>
      </c>
      <c r="C196" s="1" t="n">
        <v>45877</v>
      </c>
      <c r="D196" t="inlineStr">
        <is>
          <t>DALARNAS LÄN</t>
        </is>
      </c>
      <c r="E196" t="inlineStr">
        <is>
          <t>RÄTTVIK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3404-2020</t>
        </is>
      </c>
      <c r="B197" s="1" t="n">
        <v>43845</v>
      </c>
      <c r="C197" s="1" t="n">
        <v>45877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4485-2020</t>
        </is>
      </c>
      <c r="B198" s="1" t="n">
        <v>43850</v>
      </c>
      <c r="C198" s="1" t="n">
        <v>45877</v>
      </c>
      <c r="D198" t="inlineStr">
        <is>
          <t>DALARNAS LÄN</t>
        </is>
      </c>
      <c r="E198" t="inlineStr">
        <is>
          <t>RÄTTVIK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3942-2020</t>
        </is>
      </c>
      <c r="B199" s="1" t="n">
        <v>43854</v>
      </c>
      <c r="C199" s="1" t="n">
        <v>45877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väst AB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4036-2020</t>
        </is>
      </c>
      <c r="B200" s="1" t="n">
        <v>43857</v>
      </c>
      <c r="C200" s="1" t="n">
        <v>45877</v>
      </c>
      <c r="D200" t="inlineStr">
        <is>
          <t>DALARNAS LÄN</t>
        </is>
      </c>
      <c r="E200" t="inlineStr">
        <is>
          <t>RÄTTVIK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4280-2020</t>
        </is>
      </c>
      <c r="B201" s="1" t="n">
        <v>43857</v>
      </c>
      <c r="C201" s="1" t="n">
        <v>45877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5311-2020</t>
        </is>
      </c>
      <c r="B202" s="1" t="n">
        <v>43857</v>
      </c>
      <c r="C202" s="1" t="n">
        <v>45877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5761-2020</t>
        </is>
      </c>
      <c r="B203" s="1" t="n">
        <v>43864</v>
      </c>
      <c r="C203" s="1" t="n">
        <v>45877</v>
      </c>
      <c r="D203" t="inlineStr">
        <is>
          <t>DALARNAS LÄN</t>
        </is>
      </c>
      <c r="E203" t="inlineStr">
        <is>
          <t>RÄTTVIK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5755-2020</t>
        </is>
      </c>
      <c r="B204" s="1" t="n">
        <v>43864</v>
      </c>
      <c r="C204" s="1" t="n">
        <v>45877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6034-2020</t>
        </is>
      </c>
      <c r="B205" s="1" t="n">
        <v>43864</v>
      </c>
      <c r="C205" s="1" t="n">
        <v>45877</v>
      </c>
      <c r="D205" t="inlineStr">
        <is>
          <t>DALARNAS LÄN</t>
        </is>
      </c>
      <c r="E205" t="inlineStr">
        <is>
          <t>RÄTTVIK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6772-2020</t>
        </is>
      </c>
      <c r="B206" s="1" t="n">
        <v>43867</v>
      </c>
      <c r="C206" s="1" t="n">
        <v>45877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7402-2020</t>
        </is>
      </c>
      <c r="B207" s="1" t="n">
        <v>43871</v>
      </c>
      <c r="C207" s="1" t="n">
        <v>45877</v>
      </c>
      <c r="D207" t="inlineStr">
        <is>
          <t>DALARNAS LÄN</t>
        </is>
      </c>
      <c r="E207" t="inlineStr">
        <is>
          <t>RÄTTVIK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7519-2020</t>
        </is>
      </c>
      <c r="B208" s="1" t="n">
        <v>43872</v>
      </c>
      <c r="C208" s="1" t="n">
        <v>45877</v>
      </c>
      <c r="D208" t="inlineStr">
        <is>
          <t>DALARNAS LÄN</t>
        </is>
      </c>
      <c r="E208" t="inlineStr">
        <is>
          <t>RÄTTVIK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8030-2020</t>
        </is>
      </c>
      <c r="B209" s="1" t="n">
        <v>43873</v>
      </c>
      <c r="C209" s="1" t="n">
        <v>45877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8216-2020</t>
        </is>
      </c>
      <c r="B210" s="1" t="n">
        <v>43873</v>
      </c>
      <c r="C210" s="1" t="n">
        <v>45877</v>
      </c>
      <c r="D210" t="inlineStr">
        <is>
          <t>DALARNAS LÄN</t>
        </is>
      </c>
      <c r="E210" t="inlineStr">
        <is>
          <t>RÄTTVIK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8212-2020</t>
        </is>
      </c>
      <c r="B211" s="1" t="n">
        <v>43873</v>
      </c>
      <c r="C211" s="1" t="n">
        <v>45877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8204-2020</t>
        </is>
      </c>
      <c r="B212" s="1" t="n">
        <v>43874</v>
      </c>
      <c r="C212" s="1" t="n">
        <v>45877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8704-2020</t>
        </is>
      </c>
      <c r="B213" s="1" t="n">
        <v>43878</v>
      </c>
      <c r="C213" s="1" t="n">
        <v>45877</v>
      </c>
      <c r="D213" t="inlineStr">
        <is>
          <t>DALARNAS LÄN</t>
        </is>
      </c>
      <c r="E213" t="inlineStr">
        <is>
          <t>RÄTTVIK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9161-2020</t>
        </is>
      </c>
      <c r="B214" s="1" t="n">
        <v>43879</v>
      </c>
      <c r="C214" s="1" t="n">
        <v>45877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9466-2020</t>
        </is>
      </c>
      <c r="B215" s="1" t="n">
        <v>43880</v>
      </c>
      <c r="C215" s="1" t="n">
        <v>45877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11863-2020</t>
        </is>
      </c>
      <c r="B216" s="1" t="n">
        <v>43894</v>
      </c>
      <c r="C216" s="1" t="n">
        <v>45877</v>
      </c>
      <c r="D216" t="inlineStr">
        <is>
          <t>DALARNAS LÄN</t>
        </is>
      </c>
      <c r="E216" t="inlineStr">
        <is>
          <t>RÄTTVIK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11999-2020</t>
        </is>
      </c>
      <c r="B217" s="1" t="n">
        <v>43894</v>
      </c>
      <c r="C217" s="1" t="n">
        <v>45877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14737-2020</t>
        </is>
      </c>
      <c r="B218" s="1" t="n">
        <v>43902</v>
      </c>
      <c r="C218" s="1" t="n">
        <v>45877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16187-2020</t>
        </is>
      </c>
      <c r="B219" s="1" t="n">
        <v>43917</v>
      </c>
      <c r="C219" s="1" t="n">
        <v>45877</v>
      </c>
      <c r="D219" t="inlineStr">
        <is>
          <t>DALARNAS LÄN</t>
        </is>
      </c>
      <c r="E219" t="inlineStr">
        <is>
          <t>RÄTTVIK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16189-2020</t>
        </is>
      </c>
      <c r="B220" s="1" t="n">
        <v>43917</v>
      </c>
      <c r="C220" s="1" t="n">
        <v>45877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16710-2020</t>
        </is>
      </c>
      <c r="B221" s="1" t="n">
        <v>43920</v>
      </c>
      <c r="C221" s="1" t="n">
        <v>45877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öst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16723-2020</t>
        </is>
      </c>
      <c r="B222" s="1" t="n">
        <v>43920</v>
      </c>
      <c r="C222" s="1" t="n">
        <v>45877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öst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16839-2020</t>
        </is>
      </c>
      <c r="B223" s="1" t="n">
        <v>43921</v>
      </c>
      <c r="C223" s="1" t="n">
        <v>45877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öst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17279-2020</t>
        </is>
      </c>
      <c r="B224" s="1" t="n">
        <v>43922</v>
      </c>
      <c r="C224" s="1" t="n">
        <v>45877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17234-2020</t>
        </is>
      </c>
      <c r="B225" s="1" t="n">
        <v>43922</v>
      </c>
      <c r="C225" s="1" t="n">
        <v>45877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18140-2020</t>
        </is>
      </c>
      <c r="B226" s="1" t="n">
        <v>43924</v>
      </c>
      <c r="C226" s="1" t="n">
        <v>45877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18141-2020</t>
        </is>
      </c>
      <c r="B227" s="1" t="n">
        <v>43924</v>
      </c>
      <c r="C227" s="1" t="n">
        <v>45877</v>
      </c>
      <c r="D227" t="inlineStr">
        <is>
          <t>DALARNAS LÄN</t>
        </is>
      </c>
      <c r="E227" t="inlineStr">
        <is>
          <t>RÄTTVIK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18396-2020</t>
        </is>
      </c>
      <c r="B228" s="1" t="n">
        <v>43927</v>
      </c>
      <c r="C228" s="1" t="n">
        <v>45877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18385-2020</t>
        </is>
      </c>
      <c r="B229" s="1" t="n">
        <v>43927</v>
      </c>
      <c r="C229" s="1" t="n">
        <v>45877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18324-2020</t>
        </is>
      </c>
      <c r="B230" s="1" t="n">
        <v>43928</v>
      </c>
      <c r="C230" s="1" t="n">
        <v>45877</v>
      </c>
      <c r="D230" t="inlineStr">
        <is>
          <t>DALARNAS LÄN</t>
        </is>
      </c>
      <c r="E230" t="inlineStr">
        <is>
          <t>RÄTTVIK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18327-2020</t>
        </is>
      </c>
      <c r="B231" s="1" t="n">
        <v>43928</v>
      </c>
      <c r="C231" s="1" t="n">
        <v>45877</v>
      </c>
      <c r="D231" t="inlineStr">
        <is>
          <t>DALARNAS LÄN</t>
        </is>
      </c>
      <c r="E231" t="inlineStr">
        <is>
          <t>RÄTTVIK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18754-2020</t>
        </is>
      </c>
      <c r="B232" s="1" t="n">
        <v>43930</v>
      </c>
      <c r="C232" s="1" t="n">
        <v>45877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19.7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18798-2020</t>
        </is>
      </c>
      <c r="B233" s="1" t="n">
        <v>43933</v>
      </c>
      <c r="C233" s="1" t="n">
        <v>45877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18797-2020</t>
        </is>
      </c>
      <c r="B234" s="1" t="n">
        <v>43933</v>
      </c>
      <c r="C234" s="1" t="n">
        <v>45877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19115-2020</t>
        </is>
      </c>
      <c r="B235" s="1" t="n">
        <v>43935</v>
      </c>
      <c r="C235" s="1" t="n">
        <v>45877</v>
      </c>
      <c r="D235" t="inlineStr">
        <is>
          <t>DALARNAS LÄN</t>
        </is>
      </c>
      <c r="E235" t="inlineStr">
        <is>
          <t>RÄTTVIK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19278-2020</t>
        </is>
      </c>
      <c r="B236" s="1" t="n">
        <v>43937</v>
      </c>
      <c r="C236" s="1" t="n">
        <v>45877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19870-2020</t>
        </is>
      </c>
      <c r="B237" s="1" t="n">
        <v>43941</v>
      </c>
      <c r="C237" s="1" t="n">
        <v>45877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19877-2020</t>
        </is>
      </c>
      <c r="B238" s="1" t="n">
        <v>43941</v>
      </c>
      <c r="C238" s="1" t="n">
        <v>45877</v>
      </c>
      <c r="D238" t="inlineStr">
        <is>
          <t>DALARNAS LÄN</t>
        </is>
      </c>
      <c r="E238" t="inlineStr">
        <is>
          <t>RÄTTVIK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20646-2020</t>
        </is>
      </c>
      <c r="B239" s="1" t="n">
        <v>43949</v>
      </c>
      <c r="C239" s="1" t="n">
        <v>45877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20645-2020</t>
        </is>
      </c>
      <c r="B240" s="1" t="n">
        <v>43949</v>
      </c>
      <c r="C240" s="1" t="n">
        <v>45877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20655-2020</t>
        </is>
      </c>
      <c r="B241" s="1" t="n">
        <v>43949</v>
      </c>
      <c r="C241" s="1" t="n">
        <v>45877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21376-2020</t>
        </is>
      </c>
      <c r="B242" s="1" t="n">
        <v>43950</v>
      </c>
      <c r="C242" s="1" t="n">
        <v>45877</v>
      </c>
      <c r="D242" t="inlineStr">
        <is>
          <t>DALARNAS LÄN</t>
        </is>
      </c>
      <c r="E242" t="inlineStr">
        <is>
          <t>RÄTTVIK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21155-2020</t>
        </is>
      </c>
      <c r="B243" s="1" t="n">
        <v>43951</v>
      </c>
      <c r="C243" s="1" t="n">
        <v>45877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22053-2020</t>
        </is>
      </c>
      <c r="B244" s="1" t="n">
        <v>43959</v>
      </c>
      <c r="C244" s="1" t="n">
        <v>45877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22517-2020</t>
        </is>
      </c>
      <c r="B245" s="1" t="n">
        <v>43959</v>
      </c>
      <c r="C245" s="1" t="n">
        <v>45877</v>
      </c>
      <c r="D245" t="inlineStr">
        <is>
          <t>DALARNAS LÄN</t>
        </is>
      </c>
      <c r="E245" t="inlineStr">
        <is>
          <t>RÄTTVIK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23600-2020</t>
        </is>
      </c>
      <c r="B246" s="1" t="n">
        <v>43969</v>
      </c>
      <c r="C246" s="1" t="n">
        <v>45877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23770-2020</t>
        </is>
      </c>
      <c r="B247" s="1" t="n">
        <v>43970</v>
      </c>
      <c r="C247" s="1" t="n">
        <v>45877</v>
      </c>
      <c r="D247" t="inlineStr">
        <is>
          <t>DALARNAS LÄN</t>
        </is>
      </c>
      <c r="E247" t="inlineStr">
        <is>
          <t>RÄTTVIK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24215-2020</t>
        </is>
      </c>
      <c r="B248" s="1" t="n">
        <v>43973</v>
      </c>
      <c r="C248" s="1" t="n">
        <v>45877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25991-2020</t>
        </is>
      </c>
      <c r="B249" s="1" t="n">
        <v>43985</v>
      </c>
      <c r="C249" s="1" t="n">
        <v>45877</v>
      </c>
      <c r="D249" t="inlineStr">
        <is>
          <t>DALARNAS LÄN</t>
        </is>
      </c>
      <c r="E249" t="inlineStr">
        <is>
          <t>RÄTTVIK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26747-2020</t>
        </is>
      </c>
      <c r="B250" s="1" t="n">
        <v>43990</v>
      </c>
      <c r="C250" s="1" t="n">
        <v>45877</v>
      </c>
      <c r="D250" t="inlineStr">
        <is>
          <t>DALARNAS LÄN</t>
        </is>
      </c>
      <c r="E250" t="inlineStr">
        <is>
          <t>RÄTTVIK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26994-2020</t>
        </is>
      </c>
      <c r="B251" s="1" t="n">
        <v>43991</v>
      </c>
      <c r="C251" s="1" t="n">
        <v>45877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26997-2020</t>
        </is>
      </c>
      <c r="B252" s="1" t="n">
        <v>43991</v>
      </c>
      <c r="C252" s="1" t="n">
        <v>45877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26993-2020</t>
        </is>
      </c>
      <c r="B253" s="1" t="n">
        <v>43991</v>
      </c>
      <c r="C253" s="1" t="n">
        <v>45877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26998-2020</t>
        </is>
      </c>
      <c r="B254" s="1" t="n">
        <v>43991</v>
      </c>
      <c r="C254" s="1" t="n">
        <v>45877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26995-2020</t>
        </is>
      </c>
      <c r="B255" s="1" t="n">
        <v>43991</v>
      </c>
      <c r="C255" s="1" t="n">
        <v>45877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29534-2020</t>
        </is>
      </c>
      <c r="B256" s="1" t="n">
        <v>44005</v>
      </c>
      <c r="C256" s="1" t="n">
        <v>45877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34524-2020</t>
        </is>
      </c>
      <c r="B257" s="1" t="n">
        <v>44033</v>
      </c>
      <c r="C257" s="1" t="n">
        <v>45877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35000-2020</t>
        </is>
      </c>
      <c r="B258" s="1" t="n">
        <v>44039</v>
      </c>
      <c r="C258" s="1" t="n">
        <v>45877</v>
      </c>
      <c r="D258" t="inlineStr">
        <is>
          <t>DALARNAS LÄN</t>
        </is>
      </c>
      <c r="E258" t="inlineStr">
        <is>
          <t>RÄTTVIK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36151-2020</t>
        </is>
      </c>
      <c r="B259" s="1" t="n">
        <v>44048</v>
      </c>
      <c r="C259" s="1" t="n">
        <v>45877</v>
      </c>
      <c r="D259" t="inlineStr">
        <is>
          <t>DALARNAS LÄN</t>
        </is>
      </c>
      <c r="E259" t="inlineStr">
        <is>
          <t>RÄTTVIK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36419-2020</t>
        </is>
      </c>
      <c r="B260" s="1" t="n">
        <v>44049</v>
      </c>
      <c r="C260" s="1" t="n">
        <v>45877</v>
      </c>
      <c r="D260" t="inlineStr">
        <is>
          <t>DALARNAS LÄN</t>
        </is>
      </c>
      <c r="E260" t="inlineStr">
        <is>
          <t>RÄTTVIK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36783-2020</t>
        </is>
      </c>
      <c r="B261" s="1" t="n">
        <v>44053</v>
      </c>
      <c r="C261" s="1" t="n">
        <v>45877</v>
      </c>
      <c r="D261" t="inlineStr">
        <is>
          <t>DALARNAS LÄN</t>
        </is>
      </c>
      <c r="E261" t="inlineStr">
        <is>
          <t>RÄTTVIK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36890-2020</t>
        </is>
      </c>
      <c r="B262" s="1" t="n">
        <v>44053</v>
      </c>
      <c r="C262" s="1" t="n">
        <v>45877</v>
      </c>
      <c r="D262" t="inlineStr">
        <is>
          <t>DALARNAS LÄN</t>
        </is>
      </c>
      <c r="E262" t="inlineStr">
        <is>
          <t>RÄTTVIK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36936-2020</t>
        </is>
      </c>
      <c r="B263" s="1" t="n">
        <v>44053</v>
      </c>
      <c r="C263" s="1" t="n">
        <v>45877</v>
      </c>
      <c r="D263" t="inlineStr">
        <is>
          <t>DALARNAS LÄN</t>
        </is>
      </c>
      <c r="E263" t="inlineStr">
        <is>
          <t>RÄTTVIK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37167-2020</t>
        </is>
      </c>
      <c r="B264" s="1" t="n">
        <v>44054</v>
      </c>
      <c r="C264" s="1" t="n">
        <v>45877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37202-2020</t>
        </is>
      </c>
      <c r="B265" s="1" t="n">
        <v>44054</v>
      </c>
      <c r="C265" s="1" t="n">
        <v>45877</v>
      </c>
      <c r="D265" t="inlineStr">
        <is>
          <t>DALARNAS LÄN</t>
        </is>
      </c>
      <c r="E265" t="inlineStr">
        <is>
          <t>RÄTTVIK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37205-2020</t>
        </is>
      </c>
      <c r="B266" s="1" t="n">
        <v>44054</v>
      </c>
      <c r="C266" s="1" t="n">
        <v>45877</v>
      </c>
      <c r="D266" t="inlineStr">
        <is>
          <t>DALARNAS LÄN</t>
        </is>
      </c>
      <c r="E266" t="inlineStr">
        <is>
          <t>RÄTTVIK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37381-2020</t>
        </is>
      </c>
      <c r="B267" s="1" t="n">
        <v>44055</v>
      </c>
      <c r="C267" s="1" t="n">
        <v>45877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37373-2020</t>
        </is>
      </c>
      <c r="B268" s="1" t="n">
        <v>44055</v>
      </c>
      <c r="C268" s="1" t="n">
        <v>45877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42112-2020</t>
        </is>
      </c>
      <c r="B269" s="1" t="n">
        <v>44074</v>
      </c>
      <c r="C269" s="1" t="n">
        <v>45877</v>
      </c>
      <c r="D269" t="inlineStr">
        <is>
          <t>DALARNAS LÄN</t>
        </is>
      </c>
      <c r="E269" t="inlineStr">
        <is>
          <t>RÄTTVIK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42130-2020</t>
        </is>
      </c>
      <c r="B270" s="1" t="n">
        <v>44074</v>
      </c>
      <c r="C270" s="1" t="n">
        <v>45877</v>
      </c>
      <c r="D270" t="inlineStr">
        <is>
          <t>DALARNAS LÄN</t>
        </is>
      </c>
      <c r="E270" t="inlineStr">
        <is>
          <t>RÄTTVIK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43363-2020</t>
        </is>
      </c>
      <c r="B271" s="1" t="n">
        <v>44077</v>
      </c>
      <c r="C271" s="1" t="n">
        <v>45877</v>
      </c>
      <c r="D271" t="inlineStr">
        <is>
          <t>DALARNAS LÄN</t>
        </is>
      </c>
      <c r="E271" t="inlineStr">
        <is>
          <t>RÄTTVIK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42806-2020</t>
        </is>
      </c>
      <c r="B272" s="1" t="n">
        <v>44078</v>
      </c>
      <c r="C272" s="1" t="n">
        <v>45877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42828-2020</t>
        </is>
      </c>
      <c r="B273" s="1" t="n">
        <v>44078</v>
      </c>
      <c r="C273" s="1" t="n">
        <v>45877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44706-2020</t>
        </is>
      </c>
      <c r="B274" s="1" t="n">
        <v>44082</v>
      </c>
      <c r="C274" s="1" t="n">
        <v>45877</v>
      </c>
      <c r="D274" t="inlineStr">
        <is>
          <t>DALARNAS LÄN</t>
        </is>
      </c>
      <c r="E274" t="inlineStr">
        <is>
          <t>RÄTTVIK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44243-2020</t>
        </is>
      </c>
      <c r="B275" s="1" t="n">
        <v>44084</v>
      </c>
      <c r="C275" s="1" t="n">
        <v>45877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45523-2020</t>
        </is>
      </c>
      <c r="B276" s="1" t="n">
        <v>44089</v>
      </c>
      <c r="C276" s="1" t="n">
        <v>45877</v>
      </c>
      <c r="D276" t="inlineStr">
        <is>
          <t>DALARNAS LÄN</t>
        </is>
      </c>
      <c r="E276" t="inlineStr">
        <is>
          <t>RÄTTVIK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47182-2020</t>
        </is>
      </c>
      <c r="B277" s="1" t="n">
        <v>44091</v>
      </c>
      <c r="C277" s="1" t="n">
        <v>45877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46858-2020</t>
        </is>
      </c>
      <c r="B278" s="1" t="n">
        <v>44095</v>
      </c>
      <c r="C278" s="1" t="n">
        <v>45877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47312-2020</t>
        </is>
      </c>
      <c r="B279" s="1" t="n">
        <v>44097</v>
      </c>
      <c r="C279" s="1" t="n">
        <v>45877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49217-2020</t>
        </is>
      </c>
      <c r="B280" s="1" t="n">
        <v>44102</v>
      </c>
      <c r="C280" s="1" t="n">
        <v>45877</v>
      </c>
      <c r="D280" t="inlineStr">
        <is>
          <t>DALARNAS LÄN</t>
        </is>
      </c>
      <c r="E280" t="inlineStr">
        <is>
          <t>RÄTTVIK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48941-2020</t>
        </is>
      </c>
      <c r="B281" s="1" t="n">
        <v>44104</v>
      </c>
      <c r="C281" s="1" t="n">
        <v>45877</v>
      </c>
      <c r="D281" t="inlineStr">
        <is>
          <t>DALARNAS LÄN</t>
        </is>
      </c>
      <c r="E281" t="inlineStr">
        <is>
          <t>RÄTTVIK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50862-2020</t>
        </is>
      </c>
      <c r="B282" s="1" t="n">
        <v>44105</v>
      </c>
      <c r="C282" s="1" t="n">
        <v>45877</v>
      </c>
      <c r="D282" t="inlineStr">
        <is>
          <t>DALARNAS LÄN</t>
        </is>
      </c>
      <c r="E282" t="inlineStr">
        <is>
          <t>RÄTTVIK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50061-2020</t>
        </is>
      </c>
      <c r="B283" s="1" t="n">
        <v>44109</v>
      </c>
      <c r="C283" s="1" t="n">
        <v>45877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49929-2020</t>
        </is>
      </c>
      <c r="B284" s="1" t="n">
        <v>44109</v>
      </c>
      <c r="C284" s="1" t="n">
        <v>45877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52194-2020</t>
        </is>
      </c>
      <c r="B285" s="1" t="n">
        <v>44117</v>
      </c>
      <c r="C285" s="1" t="n">
        <v>45877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54398-2020</t>
        </is>
      </c>
      <c r="B286" s="1" t="n">
        <v>44126</v>
      </c>
      <c r="C286" s="1" t="n">
        <v>45877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54396-2020</t>
        </is>
      </c>
      <c r="B287" s="1" t="n">
        <v>44126</v>
      </c>
      <c r="C287" s="1" t="n">
        <v>45877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54446-2020</t>
        </is>
      </c>
      <c r="B288" s="1" t="n">
        <v>44126</v>
      </c>
      <c r="C288" s="1" t="n">
        <v>45877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54391-2020</t>
        </is>
      </c>
      <c r="B289" s="1" t="n">
        <v>44126</v>
      </c>
      <c r="C289" s="1" t="n">
        <v>45877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54444-2020</t>
        </is>
      </c>
      <c r="B290" s="1" t="n">
        <v>44126</v>
      </c>
      <c r="C290" s="1" t="n">
        <v>45877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55150-2020</t>
        </is>
      </c>
      <c r="B291" s="1" t="n">
        <v>44130</v>
      </c>
      <c r="C291" s="1" t="n">
        <v>45877</v>
      </c>
      <c r="D291" t="inlineStr">
        <is>
          <t>DALARNAS LÄN</t>
        </is>
      </c>
      <c r="E291" t="inlineStr">
        <is>
          <t>RÄTTVIK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55280-2020</t>
        </is>
      </c>
      <c r="B292" s="1" t="n">
        <v>44130</v>
      </c>
      <c r="C292" s="1" t="n">
        <v>45877</v>
      </c>
      <c r="D292" t="inlineStr">
        <is>
          <t>DALARNAS LÄN</t>
        </is>
      </c>
      <c r="E292" t="inlineStr">
        <is>
          <t>RÄTTVIK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55203-2020</t>
        </is>
      </c>
      <c r="B293" s="1" t="n">
        <v>44130</v>
      </c>
      <c r="C293" s="1" t="n">
        <v>45877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55506-2020</t>
        </is>
      </c>
      <c r="B294" s="1" t="n">
        <v>44130</v>
      </c>
      <c r="C294" s="1" t="n">
        <v>45877</v>
      </c>
      <c r="D294" t="inlineStr">
        <is>
          <t>DALARNAS LÄN</t>
        </is>
      </c>
      <c r="E294" t="inlineStr">
        <is>
          <t>RÄTTVIK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55449-2020</t>
        </is>
      </c>
      <c r="B295" s="1" t="n">
        <v>44131</v>
      </c>
      <c r="C295" s="1" t="n">
        <v>45877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56147-2020</t>
        </is>
      </c>
      <c r="B296" s="1" t="n">
        <v>44133</v>
      </c>
      <c r="C296" s="1" t="n">
        <v>45877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56585-2020</t>
        </is>
      </c>
      <c r="B297" s="1" t="n">
        <v>44137</v>
      </c>
      <c r="C297" s="1" t="n">
        <v>45877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57187-2020</t>
        </is>
      </c>
      <c r="B298" s="1" t="n">
        <v>44139</v>
      </c>
      <c r="C298" s="1" t="n">
        <v>45877</v>
      </c>
      <c r="D298" t="inlineStr">
        <is>
          <t>DALARNAS LÄN</t>
        </is>
      </c>
      <c r="E298" t="inlineStr">
        <is>
          <t>RÄTTVIK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57261-2020</t>
        </is>
      </c>
      <c r="B299" s="1" t="n">
        <v>44139</v>
      </c>
      <c r="C299" s="1" t="n">
        <v>45877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58522-2020</t>
        </is>
      </c>
      <c r="B300" s="1" t="n">
        <v>44141</v>
      </c>
      <c r="C300" s="1" t="n">
        <v>45877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58577-2020</t>
        </is>
      </c>
      <c r="B301" s="1" t="n">
        <v>44145</v>
      </c>
      <c r="C301" s="1" t="n">
        <v>45877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58586-2020</t>
        </is>
      </c>
      <c r="B302" s="1" t="n">
        <v>44145</v>
      </c>
      <c r="C302" s="1" t="n">
        <v>45877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59925-2020</t>
        </is>
      </c>
      <c r="B303" s="1" t="n">
        <v>44151</v>
      </c>
      <c r="C303" s="1" t="n">
        <v>45877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60864-2020</t>
        </is>
      </c>
      <c r="B304" s="1" t="n">
        <v>44151</v>
      </c>
      <c r="C304" s="1" t="n">
        <v>45877</v>
      </c>
      <c r="D304" t="inlineStr">
        <is>
          <t>DALARNAS LÄN</t>
        </is>
      </c>
      <c r="E304" t="inlineStr">
        <is>
          <t>RÄTTVIK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60819-2020</t>
        </is>
      </c>
      <c r="B305" s="1" t="n">
        <v>44153</v>
      </c>
      <c r="C305" s="1" t="n">
        <v>45877</v>
      </c>
      <c r="D305" t="inlineStr">
        <is>
          <t>DALARNAS LÄN</t>
        </is>
      </c>
      <c r="E305" t="inlineStr">
        <is>
          <t>RÄTTVIK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61969-2020</t>
        </is>
      </c>
      <c r="B306" s="1" t="n">
        <v>44159</v>
      </c>
      <c r="C306" s="1" t="n">
        <v>45877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61933-2020</t>
        </is>
      </c>
      <c r="B307" s="1" t="n">
        <v>44159</v>
      </c>
      <c r="C307" s="1" t="n">
        <v>45877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62014-2020</t>
        </is>
      </c>
      <c r="B308" s="1" t="n">
        <v>44159</v>
      </c>
      <c r="C308" s="1" t="n">
        <v>45877</v>
      </c>
      <c r="D308" t="inlineStr">
        <is>
          <t>DALARNAS LÄN</t>
        </is>
      </c>
      <c r="E308" t="inlineStr">
        <is>
          <t>RÄTTVIK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62163-2020</t>
        </is>
      </c>
      <c r="B309" s="1" t="n">
        <v>44159</v>
      </c>
      <c r="C309" s="1" t="n">
        <v>45877</v>
      </c>
      <c r="D309" t="inlineStr">
        <is>
          <t>DALARNAS LÄN</t>
        </is>
      </c>
      <c r="E309" t="inlineStr">
        <is>
          <t>RÄTTVIK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62240-2020</t>
        </is>
      </c>
      <c r="B310" s="1" t="n">
        <v>44160</v>
      </c>
      <c r="C310" s="1" t="n">
        <v>45877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62493-2020</t>
        </is>
      </c>
      <c r="B311" s="1" t="n">
        <v>44160</v>
      </c>
      <c r="C311" s="1" t="n">
        <v>45877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62544-2020</t>
        </is>
      </c>
      <c r="B312" s="1" t="n">
        <v>44160</v>
      </c>
      <c r="C312" s="1" t="n">
        <v>45877</v>
      </c>
      <c r="D312" t="inlineStr">
        <is>
          <t>DALARNAS LÄN</t>
        </is>
      </c>
      <c r="E312" t="inlineStr">
        <is>
          <t>RÄTTVIK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62700-2020</t>
        </is>
      </c>
      <c r="B313" s="1" t="n">
        <v>44161</v>
      </c>
      <c r="C313" s="1" t="n">
        <v>45877</v>
      </c>
      <c r="D313" t="inlineStr">
        <is>
          <t>DALARNAS LÄN</t>
        </is>
      </c>
      <c r="E313" t="inlineStr">
        <is>
          <t>RÄTTVIK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62893-2020</t>
        </is>
      </c>
      <c r="B314" s="1" t="n">
        <v>44162</v>
      </c>
      <c r="C314" s="1" t="n">
        <v>45877</v>
      </c>
      <c r="D314" t="inlineStr">
        <is>
          <t>DALARNAS LÄN</t>
        </is>
      </c>
      <c r="E314" t="inlineStr">
        <is>
          <t>RÄTTVIK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65381-2020</t>
        </is>
      </c>
      <c r="B315" s="1" t="n">
        <v>44173</v>
      </c>
      <c r="C315" s="1" t="n">
        <v>45877</v>
      </c>
      <c r="D315" t="inlineStr">
        <is>
          <t>DALARNAS LÄN</t>
        </is>
      </c>
      <c r="E315" t="inlineStr">
        <is>
          <t>RÄTTVIK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66172-2020</t>
        </is>
      </c>
      <c r="B316" s="1" t="n">
        <v>44175</v>
      </c>
      <c r="C316" s="1" t="n">
        <v>45877</v>
      </c>
      <c r="D316" t="inlineStr">
        <is>
          <t>DALARNAS LÄN</t>
        </is>
      </c>
      <c r="E316" t="inlineStr">
        <is>
          <t>RÄTTVIK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66174-2020</t>
        </is>
      </c>
      <c r="B317" s="1" t="n">
        <v>44175</v>
      </c>
      <c r="C317" s="1" t="n">
        <v>45877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66816-2020</t>
        </is>
      </c>
      <c r="B318" s="1" t="n">
        <v>44179</v>
      </c>
      <c r="C318" s="1" t="n">
        <v>45877</v>
      </c>
      <c r="D318" t="inlineStr">
        <is>
          <t>DALARNAS LÄN</t>
        </is>
      </c>
      <c r="E318" t="inlineStr">
        <is>
          <t>RÄTTVIK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66818-2020</t>
        </is>
      </c>
      <c r="B319" s="1" t="n">
        <v>44179</v>
      </c>
      <c r="C319" s="1" t="n">
        <v>45877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67081-2020</t>
        </is>
      </c>
      <c r="B320" s="1" t="n">
        <v>44180</v>
      </c>
      <c r="C320" s="1" t="n">
        <v>45877</v>
      </c>
      <c r="D320" t="inlineStr">
        <is>
          <t>DALARNAS LÄN</t>
        </is>
      </c>
      <c r="E320" t="inlineStr">
        <is>
          <t>RÄTTVIK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68327-2020</t>
        </is>
      </c>
      <c r="B321" s="1" t="n">
        <v>44185</v>
      </c>
      <c r="C321" s="1" t="n">
        <v>45877</v>
      </c>
      <c r="D321" t="inlineStr">
        <is>
          <t>DALARNAS LÄN</t>
        </is>
      </c>
      <c r="E321" t="inlineStr">
        <is>
          <t>RÄTTVIK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68448-2020</t>
        </is>
      </c>
      <c r="B322" s="1" t="n">
        <v>44186</v>
      </c>
      <c r="C322" s="1" t="n">
        <v>45877</v>
      </c>
      <c r="D322" t="inlineStr">
        <is>
          <t>DALARNAS LÄN</t>
        </is>
      </c>
      <c r="E322" t="inlineStr">
        <is>
          <t>RÄTTVIK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68357-2020</t>
        </is>
      </c>
      <c r="B323" s="1" t="n">
        <v>44186</v>
      </c>
      <c r="C323" s="1" t="n">
        <v>45877</v>
      </c>
      <c r="D323" t="inlineStr">
        <is>
          <t>DALARNAS LÄN</t>
        </is>
      </c>
      <c r="E323" t="inlineStr">
        <is>
          <t>RÄTTVIK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69526-2020</t>
        </is>
      </c>
      <c r="B324" s="1" t="n">
        <v>44194</v>
      </c>
      <c r="C324" s="1" t="n">
        <v>45877</v>
      </c>
      <c r="D324" t="inlineStr">
        <is>
          <t>DALARNAS LÄN</t>
        </is>
      </c>
      <c r="E324" t="inlineStr">
        <is>
          <t>RÄTTVIK</t>
        </is>
      </c>
      <c r="G324" t="n">
        <v>19.8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69606-2020</t>
        </is>
      </c>
      <c r="B325" s="1" t="n">
        <v>44195</v>
      </c>
      <c r="C325" s="1" t="n">
        <v>45877</v>
      </c>
      <c r="D325" t="inlineStr">
        <is>
          <t>DALARNAS LÄN</t>
        </is>
      </c>
      <c r="E325" t="inlineStr">
        <is>
          <t>RÄTTVIK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2404-2021</t>
        </is>
      </c>
      <c r="B326" s="1" t="n">
        <v>44214</v>
      </c>
      <c r="C326" s="1" t="n">
        <v>45877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2419-2021</t>
        </is>
      </c>
      <c r="B327" s="1" t="n">
        <v>44214</v>
      </c>
      <c r="C327" s="1" t="n">
        <v>45877</v>
      </c>
      <c r="D327" t="inlineStr">
        <is>
          <t>DALARNAS LÄN</t>
        </is>
      </c>
      <c r="E327" t="inlineStr">
        <is>
          <t>RÄTTVIK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3340-2021</t>
        </is>
      </c>
      <c r="B328" s="1" t="n">
        <v>44217</v>
      </c>
      <c r="C328" s="1" t="n">
        <v>45877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3124-2021</t>
        </is>
      </c>
      <c r="B329" s="1" t="n">
        <v>44217</v>
      </c>
      <c r="C329" s="1" t="n">
        <v>45877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5155-2021</t>
        </is>
      </c>
      <c r="B330" s="1" t="n">
        <v>44228</v>
      </c>
      <c r="C330" s="1" t="n">
        <v>45877</v>
      </c>
      <c r="D330" t="inlineStr">
        <is>
          <t>DALARNAS LÄN</t>
        </is>
      </c>
      <c r="E330" t="inlineStr">
        <is>
          <t>RÄTTVIK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5030-2021</t>
        </is>
      </c>
      <c r="B331" s="1" t="n">
        <v>44228</v>
      </c>
      <c r="C331" s="1" t="n">
        <v>45877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7161-2021</t>
        </is>
      </c>
      <c r="B332" s="1" t="n">
        <v>44238</v>
      </c>
      <c r="C332" s="1" t="n">
        <v>45877</v>
      </c>
      <c r="D332" t="inlineStr">
        <is>
          <t>DALARNAS LÄN</t>
        </is>
      </c>
      <c r="E332" t="inlineStr">
        <is>
          <t>RÄTTVIK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7749-2021</t>
        </is>
      </c>
      <c r="B333" s="1" t="n">
        <v>44242</v>
      </c>
      <c r="C333" s="1" t="n">
        <v>45877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7762-2021</t>
        </is>
      </c>
      <c r="B334" s="1" t="n">
        <v>44242</v>
      </c>
      <c r="C334" s="1" t="n">
        <v>45877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12898-2021</t>
        </is>
      </c>
      <c r="B335" s="1" t="n">
        <v>44271</v>
      </c>
      <c r="C335" s="1" t="n">
        <v>45877</v>
      </c>
      <c r="D335" t="inlineStr">
        <is>
          <t>DALARNAS LÄN</t>
        </is>
      </c>
      <c r="E335" t="inlineStr">
        <is>
          <t>RÄTTVIK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13376-2021</t>
        </is>
      </c>
      <c r="B336" s="1" t="n">
        <v>44273</v>
      </c>
      <c r="C336" s="1" t="n">
        <v>45877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14724-2021</t>
        </is>
      </c>
      <c r="B337" s="1" t="n">
        <v>44280</v>
      </c>
      <c r="C337" s="1" t="n">
        <v>45877</v>
      </c>
      <c r="D337" t="inlineStr">
        <is>
          <t>DALARNAS LÄN</t>
        </is>
      </c>
      <c r="E337" t="inlineStr">
        <is>
          <t>RÄTTVIK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15079-2021</t>
        </is>
      </c>
      <c r="B338" s="1" t="n">
        <v>44281</v>
      </c>
      <c r="C338" s="1" t="n">
        <v>45877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15247-2021</t>
        </is>
      </c>
      <c r="B339" s="1" t="n">
        <v>44284</v>
      </c>
      <c r="C339" s="1" t="n">
        <v>45877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17779-2021</t>
        </is>
      </c>
      <c r="B340" s="1" t="n">
        <v>44300</v>
      </c>
      <c r="C340" s="1" t="n">
        <v>45877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17775-2021</t>
        </is>
      </c>
      <c r="B341" s="1" t="n">
        <v>44300</v>
      </c>
      <c r="C341" s="1" t="n">
        <v>45877</v>
      </c>
      <c r="D341" t="inlineStr">
        <is>
          <t>DALARNAS LÄN</t>
        </is>
      </c>
      <c r="E341" t="inlineStr">
        <is>
          <t>RÄTTVIK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17785-2021</t>
        </is>
      </c>
      <c r="B342" s="1" t="n">
        <v>44300</v>
      </c>
      <c r="C342" s="1" t="n">
        <v>45877</v>
      </c>
      <c r="D342" t="inlineStr">
        <is>
          <t>DALARNAS LÄN</t>
        </is>
      </c>
      <c r="E342" t="inlineStr">
        <is>
          <t>RÄTTVIK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18295-2021</t>
        </is>
      </c>
      <c r="B343" s="1" t="n">
        <v>44305</v>
      </c>
      <c r="C343" s="1" t="n">
        <v>45877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18619-2021</t>
        </is>
      </c>
      <c r="B344" s="1" t="n">
        <v>44306</v>
      </c>
      <c r="C344" s="1" t="n">
        <v>45877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18743-2021</t>
        </is>
      </c>
      <c r="B345" s="1" t="n">
        <v>44307</v>
      </c>
      <c r="C345" s="1" t="n">
        <v>45877</v>
      </c>
      <c r="D345" t="inlineStr">
        <is>
          <t>DALARNAS LÄN</t>
        </is>
      </c>
      <c r="E345" t="inlineStr">
        <is>
          <t>RÄTTVIK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21900-2021</t>
        </is>
      </c>
      <c r="B346" s="1" t="n">
        <v>44322</v>
      </c>
      <c r="C346" s="1" t="n">
        <v>45877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22402-2021</t>
        </is>
      </c>
      <c r="B347" s="1" t="n">
        <v>44326</v>
      </c>
      <c r="C347" s="1" t="n">
        <v>45877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22389-2021</t>
        </is>
      </c>
      <c r="B348" s="1" t="n">
        <v>44326</v>
      </c>
      <c r="C348" s="1" t="n">
        <v>45877</v>
      </c>
      <c r="D348" t="inlineStr">
        <is>
          <t>DALARNAS LÄN</t>
        </is>
      </c>
      <c r="E348" t="inlineStr">
        <is>
          <t>RÄTTVIK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22409-2021</t>
        </is>
      </c>
      <c r="B349" s="1" t="n">
        <v>44326</v>
      </c>
      <c r="C349" s="1" t="n">
        <v>45877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22414-2021</t>
        </is>
      </c>
      <c r="B350" s="1" t="n">
        <v>44326</v>
      </c>
      <c r="C350" s="1" t="n">
        <v>45877</v>
      </c>
      <c r="D350" t="inlineStr">
        <is>
          <t>DALARNAS LÄN</t>
        </is>
      </c>
      <c r="E350" t="inlineStr">
        <is>
          <t>RÄTTVIK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23107-2021</t>
        </is>
      </c>
      <c r="B351" s="1" t="n">
        <v>44330</v>
      </c>
      <c r="C351" s="1" t="n">
        <v>45877</v>
      </c>
      <c r="D351" t="inlineStr">
        <is>
          <t>DALARNAS LÄN</t>
        </is>
      </c>
      <c r="E351" t="inlineStr">
        <is>
          <t>RÄTTVIK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23846-2021</t>
        </is>
      </c>
      <c r="B352" s="1" t="n">
        <v>44335</v>
      </c>
      <c r="C352" s="1" t="n">
        <v>45877</v>
      </c>
      <c r="D352" t="inlineStr">
        <is>
          <t>DALARNAS LÄN</t>
        </is>
      </c>
      <c r="E352" t="inlineStr">
        <is>
          <t>RÄTTVIK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24231-2021</t>
        </is>
      </c>
      <c r="B353" s="1" t="n">
        <v>44336</v>
      </c>
      <c r="C353" s="1" t="n">
        <v>45877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24757-2021</t>
        </is>
      </c>
      <c r="B354" s="1" t="n">
        <v>44340</v>
      </c>
      <c r="C354" s="1" t="n">
        <v>45877</v>
      </c>
      <c r="D354" t="inlineStr">
        <is>
          <t>DALARNAS LÄN</t>
        </is>
      </c>
      <c r="E354" t="inlineStr">
        <is>
          <t>RÄTTVIK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25464-2021</t>
        </is>
      </c>
      <c r="B355" s="1" t="n">
        <v>44342</v>
      </c>
      <c r="C355" s="1" t="n">
        <v>45877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26209-2021</t>
        </is>
      </c>
      <c r="B356" s="1" t="n">
        <v>44347</v>
      </c>
      <c r="C356" s="1" t="n">
        <v>45877</v>
      </c>
      <c r="D356" t="inlineStr">
        <is>
          <t>DALARNAS LÄN</t>
        </is>
      </c>
      <c r="E356" t="inlineStr">
        <is>
          <t>RÄTTVIK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26219-2021</t>
        </is>
      </c>
      <c r="B357" s="1" t="n">
        <v>44347</v>
      </c>
      <c r="C357" s="1" t="n">
        <v>45877</v>
      </c>
      <c r="D357" t="inlineStr">
        <is>
          <t>DALARNAS LÄN</t>
        </is>
      </c>
      <c r="E357" t="inlineStr">
        <is>
          <t>RÄTTVIK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26586-2021</t>
        </is>
      </c>
      <c r="B358" s="1" t="n">
        <v>44348</v>
      </c>
      <c r="C358" s="1" t="n">
        <v>45877</v>
      </c>
      <c r="D358" t="inlineStr">
        <is>
          <t>DALARNAS LÄN</t>
        </is>
      </c>
      <c r="E358" t="inlineStr">
        <is>
          <t>RÄTTVIK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26432-2021</t>
        </is>
      </c>
      <c r="B359" s="1" t="n">
        <v>44348</v>
      </c>
      <c r="C359" s="1" t="n">
        <v>45877</v>
      </c>
      <c r="D359" t="inlineStr">
        <is>
          <t>DALARNAS LÄN</t>
        </is>
      </c>
      <c r="E359" t="inlineStr">
        <is>
          <t>RÄTTVIK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26686-2021</t>
        </is>
      </c>
      <c r="B360" s="1" t="n">
        <v>44349</v>
      </c>
      <c r="C360" s="1" t="n">
        <v>45877</v>
      </c>
      <c r="D360" t="inlineStr">
        <is>
          <t>DALARNAS LÄN</t>
        </is>
      </c>
      <c r="E360" t="inlineStr">
        <is>
          <t>RÄTTVIK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26688-2021</t>
        </is>
      </c>
      <c r="B361" s="1" t="n">
        <v>44349</v>
      </c>
      <c r="C361" s="1" t="n">
        <v>45877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27029-2021</t>
        </is>
      </c>
      <c r="B362" s="1" t="n">
        <v>44350</v>
      </c>
      <c r="C362" s="1" t="n">
        <v>45877</v>
      </c>
      <c r="D362" t="inlineStr">
        <is>
          <t>DALARNAS LÄN</t>
        </is>
      </c>
      <c r="E362" t="inlineStr">
        <is>
          <t>RÄTTVIK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27282-2021</t>
        </is>
      </c>
      <c r="B363" s="1" t="n">
        <v>44351</v>
      </c>
      <c r="C363" s="1" t="n">
        <v>45877</v>
      </c>
      <c r="D363" t="inlineStr">
        <is>
          <t>DALARNAS LÄN</t>
        </is>
      </c>
      <c r="E363" t="inlineStr">
        <is>
          <t>RÄTTVIK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27376-2021</t>
        </is>
      </c>
      <c r="B364" s="1" t="n">
        <v>44351</v>
      </c>
      <c r="C364" s="1" t="n">
        <v>45877</v>
      </c>
      <c r="D364" t="inlineStr">
        <is>
          <t>DALARNAS LÄN</t>
        </is>
      </c>
      <c r="E364" t="inlineStr">
        <is>
          <t>RÄTTVIK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29960-2021</t>
        </is>
      </c>
      <c r="B365" s="1" t="n">
        <v>44363</v>
      </c>
      <c r="C365" s="1" t="n">
        <v>45877</v>
      </c>
      <c r="D365" t="inlineStr">
        <is>
          <t>DALARNAS LÄN</t>
        </is>
      </c>
      <c r="E365" t="inlineStr">
        <is>
          <t>RÄTTVIK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33248-2021</t>
        </is>
      </c>
      <c r="B366" s="1" t="n">
        <v>44377</v>
      </c>
      <c r="C366" s="1" t="n">
        <v>45877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33400-2021</t>
        </is>
      </c>
      <c r="B367" s="1" t="n">
        <v>44377</v>
      </c>
      <c r="C367" s="1" t="n">
        <v>45877</v>
      </c>
      <c r="D367" t="inlineStr">
        <is>
          <t>DALARNAS LÄN</t>
        </is>
      </c>
      <c r="E367" t="inlineStr">
        <is>
          <t>RÄTTVIK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33404-2021</t>
        </is>
      </c>
      <c r="B368" s="1" t="n">
        <v>44377</v>
      </c>
      <c r="C368" s="1" t="n">
        <v>45877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33398-2021</t>
        </is>
      </c>
      <c r="B369" s="1" t="n">
        <v>44377</v>
      </c>
      <c r="C369" s="1" t="n">
        <v>45877</v>
      </c>
      <c r="D369" t="inlineStr">
        <is>
          <t>DALARNAS LÄN</t>
        </is>
      </c>
      <c r="E369" t="inlineStr">
        <is>
          <t>RÄTTVIK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33533-2021</t>
        </is>
      </c>
      <c r="B370" s="1" t="n">
        <v>44377</v>
      </c>
      <c r="C370" s="1" t="n">
        <v>45877</v>
      </c>
      <c r="D370" t="inlineStr">
        <is>
          <t>DALARNAS LÄN</t>
        </is>
      </c>
      <c r="E370" t="inlineStr">
        <is>
          <t>RÄTTVIK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35789-2021</t>
        </is>
      </c>
      <c r="B371" s="1" t="n">
        <v>44386</v>
      </c>
      <c r="C371" s="1" t="n">
        <v>45877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36617-2021</t>
        </is>
      </c>
      <c r="B372" s="1" t="n">
        <v>44391</v>
      </c>
      <c r="C372" s="1" t="n">
        <v>45877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36616-2021</t>
        </is>
      </c>
      <c r="B373" s="1" t="n">
        <v>44391</v>
      </c>
      <c r="C373" s="1" t="n">
        <v>45877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37560-2021</t>
        </is>
      </c>
      <c r="B374" s="1" t="n">
        <v>44399</v>
      </c>
      <c r="C374" s="1" t="n">
        <v>45877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37774-2021</t>
        </is>
      </c>
      <c r="B375" s="1" t="n">
        <v>44400</v>
      </c>
      <c r="C375" s="1" t="n">
        <v>45877</v>
      </c>
      <c r="D375" t="inlineStr">
        <is>
          <t>DALARNAS LÄN</t>
        </is>
      </c>
      <c r="E375" t="inlineStr">
        <is>
          <t>RÄTTVIK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37852-2021</t>
        </is>
      </c>
      <c r="B376" s="1" t="n">
        <v>44403</v>
      </c>
      <c r="C376" s="1" t="n">
        <v>45877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38602-2021</t>
        </is>
      </c>
      <c r="B377" s="1" t="n">
        <v>44408</v>
      </c>
      <c r="C377" s="1" t="n">
        <v>45877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38603-2021</t>
        </is>
      </c>
      <c r="B378" s="1" t="n">
        <v>44409</v>
      </c>
      <c r="C378" s="1" t="n">
        <v>45877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39433-2021</t>
        </is>
      </c>
      <c r="B379" s="1" t="n">
        <v>44414</v>
      </c>
      <c r="C379" s="1" t="n">
        <v>45877</v>
      </c>
      <c r="D379" t="inlineStr">
        <is>
          <t>DALARNAS LÄN</t>
        </is>
      </c>
      <c r="E379" t="inlineStr">
        <is>
          <t>RÄTTVIK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39489-2021</t>
        </is>
      </c>
      <c r="B380" s="1" t="n">
        <v>44414</v>
      </c>
      <c r="C380" s="1" t="n">
        <v>45877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39486-2021</t>
        </is>
      </c>
      <c r="B381" s="1" t="n">
        <v>44414</v>
      </c>
      <c r="C381" s="1" t="n">
        <v>45877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40020-2021</t>
        </is>
      </c>
      <c r="B382" s="1" t="n">
        <v>44418</v>
      </c>
      <c r="C382" s="1" t="n">
        <v>45877</v>
      </c>
      <c r="D382" t="inlineStr">
        <is>
          <t>DALARNAS LÄN</t>
        </is>
      </c>
      <c r="E382" t="inlineStr">
        <is>
          <t>RÄTTVIK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40498-2021</t>
        </is>
      </c>
      <c r="B383" s="1" t="n">
        <v>44420</v>
      </c>
      <c r="C383" s="1" t="n">
        <v>45877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40791-2021</t>
        </is>
      </c>
      <c r="B384" s="1" t="n">
        <v>44421</v>
      </c>
      <c r="C384" s="1" t="n">
        <v>45877</v>
      </c>
      <c r="D384" t="inlineStr">
        <is>
          <t>DALARNAS LÄN</t>
        </is>
      </c>
      <c r="E384" t="inlineStr">
        <is>
          <t>RÄTTVIK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41039-2021</t>
        </is>
      </c>
      <c r="B385" s="1" t="n">
        <v>44421</v>
      </c>
      <c r="C385" s="1" t="n">
        <v>45877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41153-2021</t>
        </is>
      </c>
      <c r="B386" s="1" t="n">
        <v>44424</v>
      </c>
      <c r="C386" s="1" t="n">
        <v>45877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41199-2021</t>
        </is>
      </c>
      <c r="B387" s="1" t="n">
        <v>44424</v>
      </c>
      <c r="C387" s="1" t="n">
        <v>45877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43417-2021</t>
        </is>
      </c>
      <c r="B388" s="1" t="n">
        <v>44432</v>
      </c>
      <c r="C388" s="1" t="n">
        <v>45877</v>
      </c>
      <c r="D388" t="inlineStr">
        <is>
          <t>DALARNAS LÄN</t>
        </is>
      </c>
      <c r="E388" t="inlineStr">
        <is>
          <t>RÄTTVIK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44434-2021</t>
        </is>
      </c>
      <c r="B389" s="1" t="n">
        <v>44435</v>
      </c>
      <c r="C389" s="1" t="n">
        <v>45877</v>
      </c>
      <c r="D389" t="inlineStr">
        <is>
          <t>DALARNAS LÄN</t>
        </is>
      </c>
      <c r="E389" t="inlineStr">
        <is>
          <t>RÄTTVIK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45776-2021</t>
        </is>
      </c>
      <c r="B390" s="1" t="n">
        <v>44441</v>
      </c>
      <c r="C390" s="1" t="n">
        <v>45877</v>
      </c>
      <c r="D390" t="inlineStr">
        <is>
          <t>DALARNAS LÄN</t>
        </is>
      </c>
      <c r="E390" t="inlineStr">
        <is>
          <t>RÄTTVIK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45983-2021</t>
        </is>
      </c>
      <c r="B391" s="1" t="n">
        <v>44441</v>
      </c>
      <c r="C391" s="1" t="n">
        <v>45877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48098-2021</t>
        </is>
      </c>
      <c r="B392" s="1" t="n">
        <v>44449</v>
      </c>
      <c r="C392" s="1" t="n">
        <v>45877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48383-2021</t>
        </is>
      </c>
      <c r="B393" s="1" t="n">
        <v>44451</v>
      </c>
      <c r="C393" s="1" t="n">
        <v>45877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48382-2021</t>
        </is>
      </c>
      <c r="B394" s="1" t="n">
        <v>44451</v>
      </c>
      <c r="C394" s="1" t="n">
        <v>45877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49232-2021</t>
        </is>
      </c>
      <c r="B395" s="1" t="n">
        <v>44454</v>
      </c>
      <c r="C395" s="1" t="n">
        <v>45877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50531-2021</t>
        </is>
      </c>
      <c r="B396" s="1" t="n">
        <v>44459</v>
      </c>
      <c r="C396" s="1" t="n">
        <v>45877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50591-2021</t>
        </is>
      </c>
      <c r="B397" s="1" t="n">
        <v>44459</v>
      </c>
      <c r="C397" s="1" t="n">
        <v>45877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50599-2021</t>
        </is>
      </c>
      <c r="B398" s="1" t="n">
        <v>44459</v>
      </c>
      <c r="C398" s="1" t="n">
        <v>45877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50565-2021</t>
        </is>
      </c>
      <c r="B399" s="1" t="n">
        <v>44459</v>
      </c>
      <c r="C399" s="1" t="n">
        <v>45877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50594-2021</t>
        </is>
      </c>
      <c r="B400" s="1" t="n">
        <v>44459</v>
      </c>
      <c r="C400" s="1" t="n">
        <v>45877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50610-2021</t>
        </is>
      </c>
      <c r="B401" s="1" t="n">
        <v>44459</v>
      </c>
      <c r="C401" s="1" t="n">
        <v>45877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50678-2021</t>
        </is>
      </c>
      <c r="B402" s="1" t="n">
        <v>44460</v>
      </c>
      <c r="C402" s="1" t="n">
        <v>45877</v>
      </c>
      <c r="D402" t="inlineStr">
        <is>
          <t>DALARNAS LÄN</t>
        </is>
      </c>
      <c r="E402" t="inlineStr">
        <is>
          <t>RÄTTVIK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50923-2021</t>
        </is>
      </c>
      <c r="B403" s="1" t="n">
        <v>44460</v>
      </c>
      <c r="C403" s="1" t="n">
        <v>45877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51041-2021</t>
        </is>
      </c>
      <c r="B404" s="1" t="n">
        <v>44461</v>
      </c>
      <c r="C404" s="1" t="n">
        <v>45877</v>
      </c>
      <c r="D404" t="inlineStr">
        <is>
          <t>DALARNAS LÄN</t>
        </is>
      </c>
      <c r="E404" t="inlineStr">
        <is>
          <t>RÄTTVIK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52296-2021</t>
        </is>
      </c>
      <c r="B405" s="1" t="n">
        <v>44463</v>
      </c>
      <c r="C405" s="1" t="n">
        <v>45877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52819-2021</t>
        </is>
      </c>
      <c r="B406" s="1" t="n">
        <v>44467</v>
      </c>
      <c r="C406" s="1" t="n">
        <v>45877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53544-2021</t>
        </is>
      </c>
      <c r="B407" s="1" t="n">
        <v>44469</v>
      </c>
      <c r="C407" s="1" t="n">
        <v>45877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53541-2021</t>
        </is>
      </c>
      <c r="B408" s="1" t="n">
        <v>44469</v>
      </c>
      <c r="C408" s="1" t="n">
        <v>45877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53547-2021</t>
        </is>
      </c>
      <c r="B409" s="1" t="n">
        <v>44469</v>
      </c>
      <c r="C409" s="1" t="n">
        <v>45877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53546-2021</t>
        </is>
      </c>
      <c r="B410" s="1" t="n">
        <v>44469</v>
      </c>
      <c r="C410" s="1" t="n">
        <v>45877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54021-2021</t>
        </is>
      </c>
      <c r="B411" s="1" t="n">
        <v>44470</v>
      </c>
      <c r="C411" s="1" t="n">
        <v>45877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54281-2021</t>
        </is>
      </c>
      <c r="B412" s="1" t="n">
        <v>44470</v>
      </c>
      <c r="C412" s="1" t="n">
        <v>45877</v>
      </c>
      <c r="D412" t="inlineStr">
        <is>
          <t>DALARNAS LÄN</t>
        </is>
      </c>
      <c r="E412" t="inlineStr">
        <is>
          <t>RÄTTVIK</t>
        </is>
      </c>
      <c r="G412" t="n">
        <v>14.8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54182-2021</t>
        </is>
      </c>
      <c r="B413" s="1" t="n">
        <v>44470</v>
      </c>
      <c r="C413" s="1" t="n">
        <v>45877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54572-2021</t>
        </is>
      </c>
      <c r="B414" s="1" t="n">
        <v>44473</v>
      </c>
      <c r="C414" s="1" t="n">
        <v>45877</v>
      </c>
      <c r="D414" t="inlineStr">
        <is>
          <t>DALARNAS LÄN</t>
        </is>
      </c>
      <c r="E414" t="inlineStr">
        <is>
          <t>RÄTTVIK</t>
        </is>
      </c>
      <c r="G414" t="n">
        <v>12.1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54983-2021</t>
        </is>
      </c>
      <c r="B415" s="1" t="n">
        <v>44474</v>
      </c>
      <c r="C415" s="1" t="n">
        <v>45877</v>
      </c>
      <c r="D415" t="inlineStr">
        <is>
          <t>DALARNAS LÄN</t>
        </is>
      </c>
      <c r="E415" t="inlineStr">
        <is>
          <t>RÄTTVIK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55203-2021</t>
        </is>
      </c>
      <c r="B416" s="1" t="n">
        <v>44475</v>
      </c>
      <c r="C416" s="1" t="n">
        <v>45877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55461-2021</t>
        </is>
      </c>
      <c r="B417" s="1" t="n">
        <v>44475</v>
      </c>
      <c r="C417" s="1" t="n">
        <v>45877</v>
      </c>
      <c r="D417" t="inlineStr">
        <is>
          <t>DALARNAS LÄN</t>
        </is>
      </c>
      <c r="E417" t="inlineStr">
        <is>
          <t>RÄTTVIK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56104-2021</t>
        </is>
      </c>
      <c r="B418" s="1" t="n">
        <v>44477</v>
      </c>
      <c r="C418" s="1" t="n">
        <v>45877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55969-2021</t>
        </is>
      </c>
      <c r="B419" s="1" t="n">
        <v>44477</v>
      </c>
      <c r="C419" s="1" t="n">
        <v>45877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55960-2021</t>
        </is>
      </c>
      <c r="B420" s="1" t="n">
        <v>44477</v>
      </c>
      <c r="C420" s="1" t="n">
        <v>45877</v>
      </c>
      <c r="D420" t="inlineStr">
        <is>
          <t>DALARNAS LÄN</t>
        </is>
      </c>
      <c r="E420" t="inlineStr">
        <is>
          <t>RÄTTVIK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56285-2021</t>
        </is>
      </c>
      <c r="B421" s="1" t="n">
        <v>44479</v>
      </c>
      <c r="C421" s="1" t="n">
        <v>45877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57827-2021</t>
        </is>
      </c>
      <c r="B422" s="1" t="n">
        <v>44484</v>
      </c>
      <c r="C422" s="1" t="n">
        <v>45877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57834-2021</t>
        </is>
      </c>
      <c r="B423" s="1" t="n">
        <v>44484</v>
      </c>
      <c r="C423" s="1" t="n">
        <v>45877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58314-2021</t>
        </is>
      </c>
      <c r="B424" s="1" t="n">
        <v>44488</v>
      </c>
      <c r="C424" s="1" t="n">
        <v>45877</v>
      </c>
      <c r="D424" t="inlineStr">
        <is>
          <t>DALARNAS LÄN</t>
        </is>
      </c>
      <c r="E424" t="inlineStr">
        <is>
          <t>RÄTTVIK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58829-2021</t>
        </is>
      </c>
      <c r="B425" s="1" t="n">
        <v>44489</v>
      </c>
      <c r="C425" s="1" t="n">
        <v>45877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60207-2021</t>
        </is>
      </c>
      <c r="B426" s="1" t="n">
        <v>44495</v>
      </c>
      <c r="C426" s="1" t="n">
        <v>45877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60219-2021</t>
        </is>
      </c>
      <c r="B427" s="1" t="n">
        <v>44495</v>
      </c>
      <c r="C427" s="1" t="n">
        <v>45877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60206-2021</t>
        </is>
      </c>
      <c r="B428" s="1" t="n">
        <v>44495</v>
      </c>
      <c r="C428" s="1" t="n">
        <v>45877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60210-2021</t>
        </is>
      </c>
      <c r="B429" s="1" t="n">
        <v>44495</v>
      </c>
      <c r="C429" s="1" t="n">
        <v>45877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60208-2021</t>
        </is>
      </c>
      <c r="B430" s="1" t="n">
        <v>44495</v>
      </c>
      <c r="C430" s="1" t="n">
        <v>45877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60212-2021</t>
        </is>
      </c>
      <c r="B431" s="1" t="n">
        <v>44495</v>
      </c>
      <c r="C431" s="1" t="n">
        <v>45877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60205-2021</t>
        </is>
      </c>
      <c r="B432" s="1" t="n">
        <v>44495</v>
      </c>
      <c r="C432" s="1" t="n">
        <v>45877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60494-2021</t>
        </is>
      </c>
      <c r="B433" s="1" t="n">
        <v>44496</v>
      </c>
      <c r="C433" s="1" t="n">
        <v>45877</v>
      </c>
      <c r="D433" t="inlineStr">
        <is>
          <t>DALARNAS LÄN</t>
        </is>
      </c>
      <c r="E433" t="inlineStr">
        <is>
          <t>RÄTTVIK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61083-2021</t>
        </is>
      </c>
      <c r="B434" s="1" t="n">
        <v>44498</v>
      </c>
      <c r="C434" s="1" t="n">
        <v>45877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63889-2021</t>
        </is>
      </c>
      <c r="B435" s="1" t="n">
        <v>44509</v>
      </c>
      <c r="C435" s="1" t="n">
        <v>45877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32.8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64315-2021</t>
        </is>
      </c>
      <c r="B436" s="1" t="n">
        <v>44511</v>
      </c>
      <c r="C436" s="1" t="n">
        <v>45877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64854-2021</t>
        </is>
      </c>
      <c r="B437" s="1" t="n">
        <v>44512</v>
      </c>
      <c r="C437" s="1" t="n">
        <v>45877</v>
      </c>
      <c r="D437" t="inlineStr">
        <is>
          <t>DALARNAS LÄN</t>
        </is>
      </c>
      <c r="E437" t="inlineStr">
        <is>
          <t>RÄTTVIK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65176-2021</t>
        </is>
      </c>
      <c r="B438" s="1" t="n">
        <v>44515</v>
      </c>
      <c r="C438" s="1" t="n">
        <v>45877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65967-2021</t>
        </is>
      </c>
      <c r="B439" s="1" t="n">
        <v>44517</v>
      </c>
      <c r="C439" s="1" t="n">
        <v>45877</v>
      </c>
      <c r="D439" t="inlineStr">
        <is>
          <t>DALARNAS LÄN</t>
        </is>
      </c>
      <c r="E439" t="inlineStr">
        <is>
          <t>RÄTTVIK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66670-2021</t>
        </is>
      </c>
      <c r="B440" s="1" t="n">
        <v>44519</v>
      </c>
      <c r="C440" s="1" t="n">
        <v>45877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66673-2021</t>
        </is>
      </c>
      <c r="B441" s="1" t="n">
        <v>44519</v>
      </c>
      <c r="C441" s="1" t="n">
        <v>45877</v>
      </c>
      <c r="D441" t="inlineStr">
        <is>
          <t>DALARNAS LÄN</t>
        </is>
      </c>
      <c r="E441" t="inlineStr">
        <is>
          <t>RÄTTVIK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67299-2021</t>
        </is>
      </c>
      <c r="B442" s="1" t="n">
        <v>44523</v>
      </c>
      <c r="C442" s="1" t="n">
        <v>45877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14.9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67498-2021</t>
        </is>
      </c>
      <c r="B443" s="1" t="n">
        <v>44524</v>
      </c>
      <c r="C443" s="1" t="n">
        <v>45877</v>
      </c>
      <c r="D443" t="inlineStr">
        <is>
          <t>DALARNAS LÄN</t>
        </is>
      </c>
      <c r="E443" t="inlineStr">
        <is>
          <t>RÄTTVIK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68708-2021</t>
        </is>
      </c>
      <c r="B444" s="1" t="n">
        <v>44529</v>
      </c>
      <c r="C444" s="1" t="n">
        <v>45877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69059-2021</t>
        </is>
      </c>
      <c r="B445" s="1" t="n">
        <v>44529</v>
      </c>
      <c r="C445" s="1" t="n">
        <v>45877</v>
      </c>
      <c r="D445" t="inlineStr">
        <is>
          <t>DALARNAS LÄN</t>
        </is>
      </c>
      <c r="E445" t="inlineStr">
        <is>
          <t>RÄTTVIK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68996-2021</t>
        </is>
      </c>
      <c r="B446" s="1" t="n">
        <v>44529</v>
      </c>
      <c r="C446" s="1" t="n">
        <v>45877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69061-2021</t>
        </is>
      </c>
      <c r="B447" s="1" t="n">
        <v>44529</v>
      </c>
      <c r="C447" s="1" t="n">
        <v>45877</v>
      </c>
      <c r="D447" t="inlineStr">
        <is>
          <t>DALARNAS LÄN</t>
        </is>
      </c>
      <c r="E447" t="inlineStr">
        <is>
          <t>RÄTTVIK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HYPERLINK("https://klasma.github.io/Logging_2031/knärot/A 69061-2021 karta knärot.png", "A 69061-2021")</f>
        <v/>
      </c>
      <c r="V447">
        <f>HYPERLINK("https://klasma.github.io/Logging_2031/klagomål/A 69061-2021 FSC-klagomål.docx", "A 69061-2021")</f>
        <v/>
      </c>
      <c r="W447">
        <f>HYPERLINK("https://klasma.github.io/Logging_2031/klagomålsmail/A 69061-2021 FSC-klagomål mail.docx", "A 69061-2021")</f>
        <v/>
      </c>
      <c r="X447">
        <f>HYPERLINK("https://klasma.github.io/Logging_2031/tillsyn/A 69061-2021 tillsynsbegäran.docx", "A 69061-2021")</f>
        <v/>
      </c>
      <c r="Y447">
        <f>HYPERLINK("https://klasma.github.io/Logging_2031/tillsynsmail/A 69061-2021 tillsynsbegäran mail.docx", "A 69061-2021")</f>
        <v/>
      </c>
    </row>
    <row r="448" ht="15" customHeight="1">
      <c r="A448" t="inlineStr">
        <is>
          <t>A 69058-2021</t>
        </is>
      </c>
      <c r="B448" s="1" t="n">
        <v>44529</v>
      </c>
      <c r="C448" s="1" t="n">
        <v>45877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70115-2021</t>
        </is>
      </c>
      <c r="B449" s="1" t="n">
        <v>44533</v>
      </c>
      <c r="C449" s="1" t="n">
        <v>45877</v>
      </c>
      <c r="D449" t="inlineStr">
        <is>
          <t>DALARNAS LÄN</t>
        </is>
      </c>
      <c r="E449" t="inlineStr">
        <is>
          <t>RÄTTVIK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70472-2021</t>
        </is>
      </c>
      <c r="B450" s="1" t="n">
        <v>44536</v>
      </c>
      <c r="C450" s="1" t="n">
        <v>45877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70544-2021</t>
        </is>
      </c>
      <c r="B451" s="1" t="n">
        <v>44537</v>
      </c>
      <c r="C451" s="1" t="n">
        <v>45877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70730-2021</t>
        </is>
      </c>
      <c r="B452" s="1" t="n">
        <v>44537</v>
      </c>
      <c r="C452" s="1" t="n">
        <v>45877</v>
      </c>
      <c r="D452" t="inlineStr">
        <is>
          <t>DALARNAS LÄN</t>
        </is>
      </c>
      <c r="E452" t="inlineStr">
        <is>
          <t>RÄTTVIK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70737-2021</t>
        </is>
      </c>
      <c r="B453" s="1" t="n">
        <v>44537</v>
      </c>
      <c r="C453" s="1" t="n">
        <v>45877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71593-2021</t>
        </is>
      </c>
      <c r="B454" s="1" t="n">
        <v>44541</v>
      </c>
      <c r="C454" s="1" t="n">
        <v>45877</v>
      </c>
      <c r="D454" t="inlineStr">
        <is>
          <t>DALARNAS LÄN</t>
        </is>
      </c>
      <c r="E454" t="inlineStr">
        <is>
          <t>RÄTTVIK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72010-2021</t>
        </is>
      </c>
      <c r="B455" s="1" t="n">
        <v>44544</v>
      </c>
      <c r="C455" s="1" t="n">
        <v>45877</v>
      </c>
      <c r="D455" t="inlineStr">
        <is>
          <t>DALARNAS LÄN</t>
        </is>
      </c>
      <c r="E455" t="inlineStr">
        <is>
          <t>RÄTTVIK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72178-2021</t>
        </is>
      </c>
      <c r="B456" s="1" t="n">
        <v>44544</v>
      </c>
      <c r="C456" s="1" t="n">
        <v>45877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72387-2021</t>
        </is>
      </c>
      <c r="B457" s="1" t="n">
        <v>44545</v>
      </c>
      <c r="C457" s="1" t="n">
        <v>45877</v>
      </c>
      <c r="D457" t="inlineStr">
        <is>
          <t>DALARNAS LÄN</t>
        </is>
      </c>
      <c r="E457" t="inlineStr">
        <is>
          <t>RÄTTVIK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73350-2021</t>
        </is>
      </c>
      <c r="B458" s="1" t="n">
        <v>44551</v>
      </c>
      <c r="C458" s="1" t="n">
        <v>45877</v>
      </c>
      <c r="D458" t="inlineStr">
        <is>
          <t>DALARNAS LÄN</t>
        </is>
      </c>
      <c r="E458" t="inlineStr">
        <is>
          <t>RÄTTVIK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73511-2021</t>
        </is>
      </c>
      <c r="B459" s="1" t="n">
        <v>44551</v>
      </c>
      <c r="C459" s="1" t="n">
        <v>45877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73899-2021</t>
        </is>
      </c>
      <c r="B460" s="1" t="n">
        <v>44552</v>
      </c>
      <c r="C460" s="1" t="n">
        <v>45877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73996-2021</t>
        </is>
      </c>
      <c r="B461" s="1" t="n">
        <v>44556</v>
      </c>
      <c r="C461" s="1" t="n">
        <v>45877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74333-2021</t>
        </is>
      </c>
      <c r="B462" s="1" t="n">
        <v>44559</v>
      </c>
      <c r="C462" s="1" t="n">
        <v>45877</v>
      </c>
      <c r="D462" t="inlineStr">
        <is>
          <t>DALARNAS LÄN</t>
        </is>
      </c>
      <c r="E462" t="inlineStr">
        <is>
          <t>RÄTTVIK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3-2022</t>
        </is>
      </c>
      <c r="B463" s="1" t="n">
        <v>44562</v>
      </c>
      <c r="C463" s="1" t="n">
        <v>45877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367-2022</t>
        </is>
      </c>
      <c r="B464" s="1" t="n">
        <v>44565</v>
      </c>
      <c r="C464" s="1" t="n">
        <v>45877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369-2022</t>
        </is>
      </c>
      <c r="B465" s="1" t="n">
        <v>44565</v>
      </c>
      <c r="C465" s="1" t="n">
        <v>45877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366-2022</t>
        </is>
      </c>
      <c r="B466" s="1" t="n">
        <v>44565</v>
      </c>
      <c r="C466" s="1" t="n">
        <v>45877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1042-2022</t>
        </is>
      </c>
      <c r="B467" s="1" t="n">
        <v>44571</v>
      </c>
      <c r="C467" s="1" t="n">
        <v>45877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1005-2022</t>
        </is>
      </c>
      <c r="B468" s="1" t="n">
        <v>44571</v>
      </c>
      <c r="C468" s="1" t="n">
        <v>45877</v>
      </c>
      <c r="D468" t="inlineStr">
        <is>
          <t>DALARNAS LÄN</t>
        </is>
      </c>
      <c r="E468" t="inlineStr">
        <is>
          <t>RÄTTVIK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1601-2022</t>
        </is>
      </c>
      <c r="B469" s="1" t="n">
        <v>44573</v>
      </c>
      <c r="C469" s="1" t="n">
        <v>45877</v>
      </c>
      <c r="D469" t="inlineStr">
        <is>
          <t>DALARNAS LÄN</t>
        </is>
      </c>
      <c r="E469" t="inlineStr">
        <is>
          <t>RÄTTVIK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2181-2022</t>
        </is>
      </c>
      <c r="B470" s="1" t="n">
        <v>44578</v>
      </c>
      <c r="C470" s="1" t="n">
        <v>45877</v>
      </c>
      <c r="D470" t="inlineStr">
        <is>
          <t>DALARNAS LÄN</t>
        </is>
      </c>
      <c r="E470" t="inlineStr">
        <is>
          <t>RÄTTVIK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2390-2022</t>
        </is>
      </c>
      <c r="B471" s="1" t="n">
        <v>44579</v>
      </c>
      <c r="C471" s="1" t="n">
        <v>45877</v>
      </c>
      <c r="D471" t="inlineStr">
        <is>
          <t>DALARNAS LÄN</t>
        </is>
      </c>
      <c r="E471" t="inlineStr">
        <is>
          <t>RÄTTVIK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6237-2022</t>
        </is>
      </c>
      <c r="B472" s="1" t="n">
        <v>44600</v>
      </c>
      <c r="C472" s="1" t="n">
        <v>45877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7021-2022</t>
        </is>
      </c>
      <c r="B473" s="1" t="n">
        <v>44602</v>
      </c>
      <c r="C473" s="1" t="n">
        <v>45877</v>
      </c>
      <c r="D473" t="inlineStr">
        <is>
          <t>DALARNAS LÄN</t>
        </is>
      </c>
      <c r="E473" t="inlineStr">
        <is>
          <t>RÄTTVIK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8376-2022</t>
        </is>
      </c>
      <c r="B474" s="1" t="n">
        <v>44610</v>
      </c>
      <c r="C474" s="1" t="n">
        <v>45877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9803-2022</t>
        </is>
      </c>
      <c r="B475" s="1" t="n">
        <v>44620</v>
      </c>
      <c r="C475" s="1" t="n">
        <v>45877</v>
      </c>
      <c r="D475" t="inlineStr">
        <is>
          <t>DALARNAS LÄN</t>
        </is>
      </c>
      <c r="E475" t="inlineStr">
        <is>
          <t>RÄTTVIK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9971-2022</t>
        </is>
      </c>
      <c r="B476" s="1" t="n">
        <v>44621</v>
      </c>
      <c r="C476" s="1" t="n">
        <v>45877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12334-2022</t>
        </is>
      </c>
      <c r="B477" s="1" t="n">
        <v>44637</v>
      </c>
      <c r="C477" s="1" t="n">
        <v>45877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12477-2022</t>
        </is>
      </c>
      <c r="B478" s="1" t="n">
        <v>44638</v>
      </c>
      <c r="C478" s="1" t="n">
        <v>45877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12504-2022</t>
        </is>
      </c>
      <c r="B479" s="1" t="n">
        <v>44638</v>
      </c>
      <c r="C479" s="1" t="n">
        <v>45877</v>
      </c>
      <c r="D479" t="inlineStr">
        <is>
          <t>DALARNAS LÄN</t>
        </is>
      </c>
      <c r="E479" t="inlineStr">
        <is>
          <t>RÄTTVIK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12464-2022</t>
        </is>
      </c>
      <c r="B480" s="1" t="n">
        <v>44638</v>
      </c>
      <c r="C480" s="1" t="n">
        <v>45877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12617-2022</t>
        </is>
      </c>
      <c r="B481" s="1" t="n">
        <v>44641</v>
      </c>
      <c r="C481" s="1" t="n">
        <v>45877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13171-2022</t>
        </is>
      </c>
      <c r="B482" s="1" t="n">
        <v>44644</v>
      </c>
      <c r="C482" s="1" t="n">
        <v>45877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14191-2022</t>
        </is>
      </c>
      <c r="B483" s="1" t="n">
        <v>44651</v>
      </c>
      <c r="C483" s="1" t="n">
        <v>45877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14193-2022</t>
        </is>
      </c>
      <c r="B484" s="1" t="n">
        <v>44651</v>
      </c>
      <c r="C484" s="1" t="n">
        <v>45877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14514-2022</t>
        </is>
      </c>
      <c r="B485" s="1" t="n">
        <v>44655</v>
      </c>
      <c r="C485" s="1" t="n">
        <v>45877</v>
      </c>
      <c r="D485" t="inlineStr">
        <is>
          <t>DALARNAS LÄN</t>
        </is>
      </c>
      <c r="E485" t="inlineStr">
        <is>
          <t>RÄTTVIK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17461-2022</t>
        </is>
      </c>
      <c r="B486" s="1" t="n">
        <v>44679</v>
      </c>
      <c r="C486" s="1" t="n">
        <v>45877</v>
      </c>
      <c r="D486" t="inlineStr">
        <is>
          <t>DALARNAS LÄN</t>
        </is>
      </c>
      <c r="E486" t="inlineStr">
        <is>
          <t>RÄTTVIK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17462-2022</t>
        </is>
      </c>
      <c r="B487" s="1" t="n">
        <v>44679</v>
      </c>
      <c r="C487" s="1" t="n">
        <v>45877</v>
      </c>
      <c r="D487" t="inlineStr">
        <is>
          <t>DALARNAS LÄN</t>
        </is>
      </c>
      <c r="E487" t="inlineStr">
        <is>
          <t>RÄTTVIK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17459-2022</t>
        </is>
      </c>
      <c r="B488" s="1" t="n">
        <v>44679</v>
      </c>
      <c r="C488" s="1" t="n">
        <v>45877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17657-2022</t>
        </is>
      </c>
      <c r="B489" s="1" t="n">
        <v>44680</v>
      </c>
      <c r="C489" s="1" t="n">
        <v>45877</v>
      </c>
      <c r="D489" t="inlineStr">
        <is>
          <t>DALARNAS LÄN</t>
        </is>
      </c>
      <c r="E489" t="inlineStr">
        <is>
          <t>RÄTTVIK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17974-2022</t>
        </is>
      </c>
      <c r="B490" s="1" t="n">
        <v>44683</v>
      </c>
      <c r="C490" s="1" t="n">
        <v>45877</v>
      </c>
      <c r="D490" t="inlineStr">
        <is>
          <t>DALARNAS LÄN</t>
        </is>
      </c>
      <c r="E490" t="inlineStr">
        <is>
          <t>RÄTTVIK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18064-2022</t>
        </is>
      </c>
      <c r="B491" s="1" t="n">
        <v>44684</v>
      </c>
      <c r="C491" s="1" t="n">
        <v>45877</v>
      </c>
      <c r="D491" t="inlineStr">
        <is>
          <t>DALARNAS LÄN</t>
        </is>
      </c>
      <c r="E491" t="inlineStr">
        <is>
          <t>RÄTTVIK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18386-2022</t>
        </is>
      </c>
      <c r="B492" s="1" t="n">
        <v>44686</v>
      </c>
      <c r="C492" s="1" t="n">
        <v>45877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19216-2022</t>
        </is>
      </c>
      <c r="B493" s="1" t="n">
        <v>44692</v>
      </c>
      <c r="C493" s="1" t="n">
        <v>45877</v>
      </c>
      <c r="D493" t="inlineStr">
        <is>
          <t>DALARNAS LÄN</t>
        </is>
      </c>
      <c r="E493" t="inlineStr">
        <is>
          <t>RÄTTVIK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20573-2022</t>
        </is>
      </c>
      <c r="B494" s="1" t="n">
        <v>44700</v>
      </c>
      <c r="C494" s="1" t="n">
        <v>45877</v>
      </c>
      <c r="D494" t="inlineStr">
        <is>
          <t>DALARNAS LÄN</t>
        </is>
      </c>
      <c r="E494" t="inlineStr">
        <is>
          <t>RÄTTVIK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20874-2022</t>
        </is>
      </c>
      <c r="B495" s="1" t="n">
        <v>44701</v>
      </c>
      <c r="C495" s="1" t="n">
        <v>45877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22812-2022</t>
        </is>
      </c>
      <c r="B496" s="1" t="n">
        <v>44715</v>
      </c>
      <c r="C496" s="1" t="n">
        <v>45877</v>
      </c>
      <c r="D496" t="inlineStr">
        <is>
          <t>DALARNAS LÄN</t>
        </is>
      </c>
      <c r="E496" t="inlineStr">
        <is>
          <t>RÄTTVIK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23041-2022</t>
        </is>
      </c>
      <c r="B497" s="1" t="n">
        <v>44719</v>
      </c>
      <c r="C497" s="1" t="n">
        <v>45877</v>
      </c>
      <c r="D497" t="inlineStr">
        <is>
          <t>DALARNAS LÄN</t>
        </is>
      </c>
      <c r="E497" t="inlineStr">
        <is>
          <t>RÄTTVIK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23742-2022</t>
        </is>
      </c>
      <c r="B498" s="1" t="n">
        <v>44722</v>
      </c>
      <c r="C498" s="1" t="n">
        <v>45877</v>
      </c>
      <c r="D498" t="inlineStr">
        <is>
          <t>DALARNAS LÄN</t>
        </is>
      </c>
      <c r="E498" t="inlineStr">
        <is>
          <t>RÄTTVIK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24595-2022</t>
        </is>
      </c>
      <c r="B499" s="1" t="n">
        <v>44727</v>
      </c>
      <c r="C499" s="1" t="n">
        <v>45877</v>
      </c>
      <c r="D499" t="inlineStr">
        <is>
          <t>DALARNAS LÄN</t>
        </is>
      </c>
      <c r="E499" t="inlineStr">
        <is>
          <t>RÄTTVIK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24597-2022</t>
        </is>
      </c>
      <c r="B500" s="1" t="n">
        <v>44727</v>
      </c>
      <c r="C500" s="1" t="n">
        <v>45877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24889-2022</t>
        </is>
      </c>
      <c r="B501" s="1" t="n">
        <v>44728</v>
      </c>
      <c r="C501" s="1" t="n">
        <v>45877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24893-2022</t>
        </is>
      </c>
      <c r="B502" s="1" t="n">
        <v>44728</v>
      </c>
      <c r="C502" s="1" t="n">
        <v>45877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25112-2022</t>
        </is>
      </c>
      <c r="B503" s="1" t="n">
        <v>44729</v>
      </c>
      <c r="C503" s="1" t="n">
        <v>45877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25697-2022</t>
        </is>
      </c>
      <c r="B504" s="1" t="n">
        <v>44732</v>
      </c>
      <c r="C504" s="1" t="n">
        <v>45877</v>
      </c>
      <c r="D504" t="inlineStr">
        <is>
          <t>DALARNAS LÄN</t>
        </is>
      </c>
      <c r="E504" t="inlineStr">
        <is>
          <t>RÄTTVIK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25797-2022</t>
        </is>
      </c>
      <c r="B505" s="1" t="n">
        <v>44733</v>
      </c>
      <c r="C505" s="1" t="n">
        <v>45877</v>
      </c>
      <c r="D505" t="inlineStr">
        <is>
          <t>DALARNAS LÄN</t>
        </is>
      </c>
      <c r="E505" t="inlineStr">
        <is>
          <t>RÄTTVIK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26427-2022</t>
        </is>
      </c>
      <c r="B506" s="1" t="n">
        <v>44736</v>
      </c>
      <c r="C506" s="1" t="n">
        <v>45877</v>
      </c>
      <c r="D506" t="inlineStr">
        <is>
          <t>DALARNAS LÄN</t>
        </is>
      </c>
      <c r="E506" t="inlineStr">
        <is>
          <t>RÄTTVIK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26879-2022</t>
        </is>
      </c>
      <c r="B507" s="1" t="n">
        <v>44740</v>
      </c>
      <c r="C507" s="1" t="n">
        <v>45877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27388-2022</t>
        </is>
      </c>
      <c r="B508" s="1" t="n">
        <v>44742</v>
      </c>
      <c r="C508" s="1" t="n">
        <v>45877</v>
      </c>
      <c r="D508" t="inlineStr">
        <is>
          <t>DALARNAS LÄN</t>
        </is>
      </c>
      <c r="E508" t="inlineStr">
        <is>
          <t>RÄTTVIK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27787-2022</t>
        </is>
      </c>
      <c r="B509" s="1" t="n">
        <v>44743</v>
      </c>
      <c r="C509" s="1" t="n">
        <v>45877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28014-2022</t>
        </is>
      </c>
      <c r="B510" s="1" t="n">
        <v>44746</v>
      </c>
      <c r="C510" s="1" t="n">
        <v>45877</v>
      </c>
      <c r="D510" t="inlineStr">
        <is>
          <t>DALARNAS LÄN</t>
        </is>
      </c>
      <c r="E510" t="inlineStr">
        <is>
          <t>RÄTTVIK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28013-2022</t>
        </is>
      </c>
      <c r="B511" s="1" t="n">
        <v>44746</v>
      </c>
      <c r="C511" s="1" t="n">
        <v>45877</v>
      </c>
      <c r="D511" t="inlineStr">
        <is>
          <t>DALARNAS LÄN</t>
        </is>
      </c>
      <c r="E511" t="inlineStr">
        <is>
          <t>RÄTTVIK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28366-2022</t>
        </is>
      </c>
      <c r="B512" s="1" t="n">
        <v>44747</v>
      </c>
      <c r="C512" s="1" t="n">
        <v>45877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28429-2022</t>
        </is>
      </c>
      <c r="B513" s="1" t="n">
        <v>44747</v>
      </c>
      <c r="C513" s="1" t="n">
        <v>45877</v>
      </c>
      <c r="D513" t="inlineStr">
        <is>
          <t>DALARNAS LÄN</t>
        </is>
      </c>
      <c r="E513" t="inlineStr">
        <is>
          <t>RÄTTVIK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28368-2022</t>
        </is>
      </c>
      <c r="B514" s="1" t="n">
        <v>44747</v>
      </c>
      <c r="C514" s="1" t="n">
        <v>45877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29010-2022</t>
        </is>
      </c>
      <c r="B515" s="1" t="n">
        <v>44747</v>
      </c>
      <c r="C515" s="1" t="n">
        <v>45877</v>
      </c>
      <c r="D515" t="inlineStr">
        <is>
          <t>DALARNAS LÄN</t>
        </is>
      </c>
      <c r="E515" t="inlineStr">
        <is>
          <t>RÄTTVIK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28567-2022</t>
        </is>
      </c>
      <c r="B516" s="1" t="n">
        <v>44748</v>
      </c>
      <c r="C516" s="1" t="n">
        <v>45877</v>
      </c>
      <c r="D516" t="inlineStr">
        <is>
          <t>DALARNAS LÄN</t>
        </is>
      </c>
      <c r="E516" t="inlineStr">
        <is>
          <t>RÄTTVIK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28898-2022</t>
        </is>
      </c>
      <c r="B517" s="1" t="n">
        <v>44749</v>
      </c>
      <c r="C517" s="1" t="n">
        <v>45877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28901-2022</t>
        </is>
      </c>
      <c r="B518" s="1" t="n">
        <v>44749</v>
      </c>
      <c r="C518" s="1" t="n">
        <v>45877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29087-2022</t>
        </is>
      </c>
      <c r="B519" s="1" t="n">
        <v>44749</v>
      </c>
      <c r="C519" s="1" t="n">
        <v>45877</v>
      </c>
      <c r="D519" t="inlineStr">
        <is>
          <t>DALARNAS LÄN</t>
        </is>
      </c>
      <c r="E519" t="inlineStr">
        <is>
          <t>RÄTTVIK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30578-2022</t>
        </is>
      </c>
      <c r="B520" s="1" t="n">
        <v>44762</v>
      </c>
      <c r="C520" s="1" t="n">
        <v>45877</v>
      </c>
      <c r="D520" t="inlineStr">
        <is>
          <t>DALARNAS LÄN</t>
        </is>
      </c>
      <c r="E520" t="inlineStr">
        <is>
          <t>RÄTTVIK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30583-2022</t>
        </is>
      </c>
      <c r="B521" s="1" t="n">
        <v>44762</v>
      </c>
      <c r="C521" s="1" t="n">
        <v>45877</v>
      </c>
      <c r="D521" t="inlineStr">
        <is>
          <t>DALARNAS LÄN</t>
        </is>
      </c>
      <c r="E521" t="inlineStr">
        <is>
          <t>RÄTTVIK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30574-2022</t>
        </is>
      </c>
      <c r="B522" s="1" t="n">
        <v>44762</v>
      </c>
      <c r="C522" s="1" t="n">
        <v>45877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30632-2022</t>
        </is>
      </c>
      <c r="B523" s="1" t="n">
        <v>44763</v>
      </c>
      <c r="C523" s="1" t="n">
        <v>45877</v>
      </c>
      <c r="D523" t="inlineStr">
        <is>
          <t>DALARNAS LÄN</t>
        </is>
      </c>
      <c r="E523" t="inlineStr">
        <is>
          <t>RÄTTVIK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30694-2022</t>
        </is>
      </c>
      <c r="B524" s="1" t="n">
        <v>44763</v>
      </c>
      <c r="C524" s="1" t="n">
        <v>45877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31407-2022</t>
        </is>
      </c>
      <c r="B525" s="1" t="n">
        <v>44774</v>
      </c>
      <c r="C525" s="1" t="n">
        <v>45877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31552-2022</t>
        </is>
      </c>
      <c r="B526" s="1" t="n">
        <v>44775</v>
      </c>
      <c r="C526" s="1" t="n">
        <v>45877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31555-2022</t>
        </is>
      </c>
      <c r="B527" s="1" t="n">
        <v>44775</v>
      </c>
      <c r="C527" s="1" t="n">
        <v>45877</v>
      </c>
      <c r="D527" t="inlineStr">
        <is>
          <t>DALARNAS LÄN</t>
        </is>
      </c>
      <c r="E527" t="inlineStr">
        <is>
          <t>RÄTTVIK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31556-2022</t>
        </is>
      </c>
      <c r="B528" s="1" t="n">
        <v>44775</v>
      </c>
      <c r="C528" s="1" t="n">
        <v>45877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32718-2022</t>
        </is>
      </c>
      <c r="B529" s="1" t="n">
        <v>44783</v>
      </c>
      <c r="C529" s="1" t="n">
        <v>45877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33184-2022</t>
        </is>
      </c>
      <c r="B530" s="1" t="n">
        <v>44785</v>
      </c>
      <c r="C530" s="1" t="n">
        <v>45877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33530-2022</t>
        </is>
      </c>
      <c r="B531" s="1" t="n">
        <v>44789</v>
      </c>
      <c r="C531" s="1" t="n">
        <v>45877</v>
      </c>
      <c r="D531" t="inlineStr">
        <is>
          <t>DALARNAS LÄN</t>
        </is>
      </c>
      <c r="E531" t="inlineStr">
        <is>
          <t>RÄTTVIK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33698-2022</t>
        </is>
      </c>
      <c r="B532" s="1" t="n">
        <v>44789</v>
      </c>
      <c r="C532" s="1" t="n">
        <v>45877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33768-2022</t>
        </is>
      </c>
      <c r="B533" s="1" t="n">
        <v>44790</v>
      </c>
      <c r="C533" s="1" t="n">
        <v>45877</v>
      </c>
      <c r="D533" t="inlineStr">
        <is>
          <t>DALARNAS LÄN</t>
        </is>
      </c>
      <c r="E533" t="inlineStr">
        <is>
          <t>RÄTTVIK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33771-2022</t>
        </is>
      </c>
      <c r="B534" s="1" t="n">
        <v>44790</v>
      </c>
      <c r="C534" s="1" t="n">
        <v>45877</v>
      </c>
      <c r="D534" t="inlineStr">
        <is>
          <t>DALARNAS LÄN</t>
        </is>
      </c>
      <c r="E534" t="inlineStr">
        <is>
          <t>RÄTTVIK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34137-2022</t>
        </is>
      </c>
      <c r="B535" s="1" t="n">
        <v>44791</v>
      </c>
      <c r="C535" s="1" t="n">
        <v>45877</v>
      </c>
      <c r="D535" t="inlineStr">
        <is>
          <t>DALARNAS LÄN</t>
        </is>
      </c>
      <c r="E535" t="inlineStr">
        <is>
          <t>RÄTTVIK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34136-2022</t>
        </is>
      </c>
      <c r="B536" s="1" t="n">
        <v>44791</v>
      </c>
      <c r="C536" s="1" t="n">
        <v>45877</v>
      </c>
      <c r="D536" t="inlineStr">
        <is>
          <t>DALARNAS LÄN</t>
        </is>
      </c>
      <c r="E536" t="inlineStr">
        <is>
          <t>RÄTTVIK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34396-2022</t>
        </is>
      </c>
      <c r="B537" s="1" t="n">
        <v>44792</v>
      </c>
      <c r="C537" s="1" t="n">
        <v>45877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34442-2022</t>
        </is>
      </c>
      <c r="B538" s="1" t="n">
        <v>44792</v>
      </c>
      <c r="C538" s="1" t="n">
        <v>45877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34448-2022</t>
        </is>
      </c>
      <c r="B539" s="1" t="n">
        <v>44792</v>
      </c>
      <c r="C539" s="1" t="n">
        <v>45877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34445-2022</t>
        </is>
      </c>
      <c r="B540" s="1" t="n">
        <v>44792</v>
      </c>
      <c r="C540" s="1" t="n">
        <v>45877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34454-2022</t>
        </is>
      </c>
      <c r="B541" s="1" t="n">
        <v>44792</v>
      </c>
      <c r="C541" s="1" t="n">
        <v>45877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34570-2022</t>
        </is>
      </c>
      <c r="B542" s="1" t="n">
        <v>44795</v>
      </c>
      <c r="C542" s="1" t="n">
        <v>45877</v>
      </c>
      <c r="D542" t="inlineStr">
        <is>
          <t>DALARNAS LÄN</t>
        </is>
      </c>
      <c r="E542" t="inlineStr">
        <is>
          <t>RÄTTVIK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34567-2022</t>
        </is>
      </c>
      <c r="B543" s="1" t="n">
        <v>44795</v>
      </c>
      <c r="C543" s="1" t="n">
        <v>45877</v>
      </c>
      <c r="D543" t="inlineStr">
        <is>
          <t>DALARNAS LÄN</t>
        </is>
      </c>
      <c r="E543" t="inlineStr">
        <is>
          <t>RÄTTVIK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34569-2022</t>
        </is>
      </c>
      <c r="B544" s="1" t="n">
        <v>44795</v>
      </c>
      <c r="C544" s="1" t="n">
        <v>45877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34813-2022</t>
        </is>
      </c>
      <c r="B545" s="1" t="n">
        <v>44796</v>
      </c>
      <c r="C545" s="1" t="n">
        <v>45877</v>
      </c>
      <c r="D545" t="inlineStr">
        <is>
          <t>DALARNAS LÄN</t>
        </is>
      </c>
      <c r="E545" t="inlineStr">
        <is>
          <t>RÄTTVIK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35123-2022</t>
        </is>
      </c>
      <c r="B546" s="1" t="n">
        <v>44797</v>
      </c>
      <c r="C546" s="1" t="n">
        <v>45877</v>
      </c>
      <c r="D546" t="inlineStr">
        <is>
          <t>DALARNAS LÄN</t>
        </is>
      </c>
      <c r="E546" t="inlineStr">
        <is>
          <t>RÄTTVIK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35244-2022</t>
        </is>
      </c>
      <c r="B547" s="1" t="n">
        <v>44798</v>
      </c>
      <c r="C547" s="1" t="n">
        <v>45877</v>
      </c>
      <c r="D547" t="inlineStr">
        <is>
          <t>DALARNAS LÄN</t>
        </is>
      </c>
      <c r="E547" t="inlineStr">
        <is>
          <t>RÄTTVIK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35403-2022</t>
        </is>
      </c>
      <c r="B548" s="1" t="n">
        <v>44798</v>
      </c>
      <c r="C548" s="1" t="n">
        <v>45877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35703-2022</t>
        </is>
      </c>
      <c r="B549" s="1" t="n">
        <v>44799</v>
      </c>
      <c r="C549" s="1" t="n">
        <v>45877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35702-2022</t>
        </is>
      </c>
      <c r="B550" s="1" t="n">
        <v>44799</v>
      </c>
      <c r="C550" s="1" t="n">
        <v>45877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35705-2022</t>
        </is>
      </c>
      <c r="B551" s="1" t="n">
        <v>44799</v>
      </c>
      <c r="C551" s="1" t="n">
        <v>45877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35706-2022</t>
        </is>
      </c>
      <c r="B552" s="1" t="n">
        <v>44799</v>
      </c>
      <c r="C552" s="1" t="n">
        <v>45877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36223-2022</t>
        </is>
      </c>
      <c r="B553" s="1" t="n">
        <v>44803</v>
      </c>
      <c r="C553" s="1" t="n">
        <v>45877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36333-2022</t>
        </is>
      </c>
      <c r="B554" s="1" t="n">
        <v>44803</v>
      </c>
      <c r="C554" s="1" t="n">
        <v>45877</v>
      </c>
      <c r="D554" t="inlineStr">
        <is>
          <t>DALARNAS LÄN</t>
        </is>
      </c>
      <c r="E554" t="inlineStr">
        <is>
          <t>RÄTTVIK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36524-2022</t>
        </is>
      </c>
      <c r="B555" s="1" t="n">
        <v>44804</v>
      </c>
      <c r="C555" s="1" t="n">
        <v>45877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36517-2022</t>
        </is>
      </c>
      <c r="B556" s="1" t="n">
        <v>44804</v>
      </c>
      <c r="C556" s="1" t="n">
        <v>45877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37018-2022</t>
        </is>
      </c>
      <c r="B557" s="1" t="n">
        <v>44806</v>
      </c>
      <c r="C557" s="1" t="n">
        <v>45877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HYPERLINK("https://klasma.github.io/Logging_2031/knärot/A 37018-2022 karta knärot.png", "A 37018-2022")</f>
        <v/>
      </c>
      <c r="V557">
        <f>HYPERLINK("https://klasma.github.io/Logging_2031/klagomål/A 37018-2022 FSC-klagomål.docx", "A 37018-2022")</f>
        <v/>
      </c>
      <c r="W557">
        <f>HYPERLINK("https://klasma.github.io/Logging_2031/klagomålsmail/A 37018-2022 FSC-klagomål mail.docx", "A 37018-2022")</f>
        <v/>
      </c>
      <c r="X557">
        <f>HYPERLINK("https://klasma.github.io/Logging_2031/tillsyn/A 37018-2022 tillsynsbegäran.docx", "A 37018-2022")</f>
        <v/>
      </c>
      <c r="Y557">
        <f>HYPERLINK("https://klasma.github.io/Logging_2031/tillsynsmail/A 37018-2022 tillsynsbegäran mail.docx", "A 37018-2022")</f>
        <v/>
      </c>
    </row>
    <row r="558" ht="15" customHeight="1">
      <c r="A558" t="inlineStr">
        <is>
          <t>A 36952-2022</t>
        </is>
      </c>
      <c r="B558" s="1" t="n">
        <v>44806</v>
      </c>
      <c r="C558" s="1" t="n">
        <v>45877</v>
      </c>
      <c r="D558" t="inlineStr">
        <is>
          <t>DALARNAS LÄN</t>
        </is>
      </c>
      <c r="E558" t="inlineStr">
        <is>
          <t>RÄTTVIK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37351-2022</t>
        </is>
      </c>
      <c r="B559" s="1" t="n">
        <v>44806</v>
      </c>
      <c r="C559" s="1" t="n">
        <v>45877</v>
      </c>
      <c r="D559" t="inlineStr">
        <is>
          <t>DALARNAS LÄN</t>
        </is>
      </c>
      <c r="E559" t="inlineStr">
        <is>
          <t>RÄTTVIK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37385-2022</t>
        </is>
      </c>
      <c r="B560" s="1" t="n">
        <v>44806</v>
      </c>
      <c r="C560" s="1" t="n">
        <v>45877</v>
      </c>
      <c r="D560" t="inlineStr">
        <is>
          <t>DALARNAS LÄN</t>
        </is>
      </c>
      <c r="E560" t="inlineStr">
        <is>
          <t>RÄTTVIK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37386-2022</t>
        </is>
      </c>
      <c r="B561" s="1" t="n">
        <v>44806</v>
      </c>
      <c r="C561" s="1" t="n">
        <v>45877</v>
      </c>
      <c r="D561" t="inlineStr">
        <is>
          <t>DALARNAS LÄN</t>
        </is>
      </c>
      <c r="E561" t="inlineStr">
        <is>
          <t>RÄTTVIK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37379-2022</t>
        </is>
      </c>
      <c r="B562" s="1" t="n">
        <v>44806</v>
      </c>
      <c r="C562" s="1" t="n">
        <v>45877</v>
      </c>
      <c r="D562" t="inlineStr">
        <is>
          <t>DALARNAS LÄN</t>
        </is>
      </c>
      <c r="E562" t="inlineStr">
        <is>
          <t>RÄTTVIK</t>
        </is>
      </c>
      <c r="G562" t="n">
        <v>14.3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37249-2022</t>
        </is>
      </c>
      <c r="B563" s="1" t="n">
        <v>44807</v>
      </c>
      <c r="C563" s="1" t="n">
        <v>45877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38633-2022</t>
        </is>
      </c>
      <c r="B564" s="1" t="n">
        <v>44813</v>
      </c>
      <c r="C564" s="1" t="n">
        <v>45877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39098-2022</t>
        </is>
      </c>
      <c r="B565" s="1" t="n">
        <v>44817</v>
      </c>
      <c r="C565" s="1" t="n">
        <v>45877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39097-2022</t>
        </is>
      </c>
      <c r="B566" s="1" t="n">
        <v>44817</v>
      </c>
      <c r="C566" s="1" t="n">
        <v>45877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40195-2022</t>
        </is>
      </c>
      <c r="B567" s="1" t="n">
        <v>44818</v>
      </c>
      <c r="C567" s="1" t="n">
        <v>45877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39983-2022</t>
        </is>
      </c>
      <c r="B568" s="1" t="n">
        <v>44818</v>
      </c>
      <c r="C568" s="1" t="n">
        <v>45877</v>
      </c>
      <c r="D568" t="inlineStr">
        <is>
          <t>DALARNAS LÄN</t>
        </is>
      </c>
      <c r="E568" t="inlineStr">
        <is>
          <t>RÄTTVIK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40177-2022</t>
        </is>
      </c>
      <c r="B569" s="1" t="n">
        <v>44818</v>
      </c>
      <c r="C569" s="1" t="n">
        <v>45877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40192-2022</t>
        </is>
      </c>
      <c r="B570" s="1" t="n">
        <v>44818</v>
      </c>
      <c r="C570" s="1" t="n">
        <v>45877</v>
      </c>
      <c r="D570" t="inlineStr">
        <is>
          <t>DALARNAS LÄN</t>
        </is>
      </c>
      <c r="E570" t="inlineStr">
        <is>
          <t>RÄTTVIK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40187-2022</t>
        </is>
      </c>
      <c r="B571" s="1" t="n">
        <v>44818</v>
      </c>
      <c r="C571" s="1" t="n">
        <v>45877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39770-2022</t>
        </is>
      </c>
      <c r="B572" s="1" t="n">
        <v>44819</v>
      </c>
      <c r="C572" s="1" t="n">
        <v>45877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39858-2022</t>
        </is>
      </c>
      <c r="B573" s="1" t="n">
        <v>44819</v>
      </c>
      <c r="C573" s="1" t="n">
        <v>45877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40542-2022</t>
        </is>
      </c>
      <c r="B574" s="1" t="n">
        <v>44819</v>
      </c>
      <c r="C574" s="1" t="n">
        <v>45877</v>
      </c>
      <c r="D574" t="inlineStr">
        <is>
          <t>DALARNAS LÄN</t>
        </is>
      </c>
      <c r="E574" t="inlineStr">
        <is>
          <t>RÄTTVIK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40020-2022</t>
        </is>
      </c>
      <c r="B575" s="1" t="n">
        <v>44820</v>
      </c>
      <c r="C575" s="1" t="n">
        <v>45877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40570-2022</t>
        </is>
      </c>
      <c r="B576" s="1" t="n">
        <v>44823</v>
      </c>
      <c r="C576" s="1" t="n">
        <v>45877</v>
      </c>
      <c r="D576" t="inlineStr">
        <is>
          <t>DALARNAS LÄN</t>
        </is>
      </c>
      <c r="E576" t="inlineStr">
        <is>
          <t>RÄTTVIK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40973-2022</t>
        </is>
      </c>
      <c r="B577" s="1" t="n">
        <v>44824</v>
      </c>
      <c r="C577" s="1" t="n">
        <v>45877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41212-2022</t>
        </is>
      </c>
      <c r="B578" s="1" t="n">
        <v>44826</v>
      </c>
      <c r="C578" s="1" t="n">
        <v>45877</v>
      </c>
      <c r="D578" t="inlineStr">
        <is>
          <t>DALARNAS LÄN</t>
        </is>
      </c>
      <c r="E578" t="inlineStr">
        <is>
          <t>RÄTTVIK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41601-2022</t>
        </is>
      </c>
      <c r="B579" s="1" t="n">
        <v>44827</v>
      </c>
      <c r="C579" s="1" t="n">
        <v>45877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42911-2022</t>
        </is>
      </c>
      <c r="B580" s="1" t="n">
        <v>44833</v>
      </c>
      <c r="C580" s="1" t="n">
        <v>45877</v>
      </c>
      <c r="D580" t="inlineStr">
        <is>
          <t>DALARNAS LÄN</t>
        </is>
      </c>
      <c r="E580" t="inlineStr">
        <is>
          <t>RÄTTVIK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43671-2022</t>
        </is>
      </c>
      <c r="B581" s="1" t="n">
        <v>44834</v>
      </c>
      <c r="C581" s="1" t="n">
        <v>45877</v>
      </c>
      <c r="D581" t="inlineStr">
        <is>
          <t>DALARNAS LÄN</t>
        </is>
      </c>
      <c r="E581" t="inlineStr">
        <is>
          <t>RÄTTVIK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43678-2022</t>
        </is>
      </c>
      <c r="B582" s="1" t="n">
        <v>44834</v>
      </c>
      <c r="C582" s="1" t="n">
        <v>45877</v>
      </c>
      <c r="D582" t="inlineStr">
        <is>
          <t>DALARNAS LÄN</t>
        </is>
      </c>
      <c r="E582" t="inlineStr">
        <is>
          <t>RÄTTVIK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43648-2022</t>
        </is>
      </c>
      <c r="B583" s="1" t="n">
        <v>44837</v>
      </c>
      <c r="C583" s="1" t="n">
        <v>45877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43804-2022</t>
        </is>
      </c>
      <c r="B584" s="1" t="n">
        <v>44838</v>
      </c>
      <c r="C584" s="1" t="n">
        <v>45877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44148-2022</t>
        </is>
      </c>
      <c r="B585" s="1" t="n">
        <v>44839</v>
      </c>
      <c r="C585" s="1" t="n">
        <v>45877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44308-2022</t>
        </is>
      </c>
      <c r="B586" s="1" t="n">
        <v>44839</v>
      </c>
      <c r="C586" s="1" t="n">
        <v>45877</v>
      </c>
      <c r="D586" t="inlineStr">
        <is>
          <t>DALARNAS LÄN</t>
        </is>
      </c>
      <c r="E586" t="inlineStr">
        <is>
          <t>RÄTTVIK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44142-2022</t>
        </is>
      </c>
      <c r="B587" s="1" t="n">
        <v>44839</v>
      </c>
      <c r="C587" s="1" t="n">
        <v>45877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44499-2022</t>
        </is>
      </c>
      <c r="B588" s="1" t="n">
        <v>44840</v>
      </c>
      <c r="C588" s="1" t="n">
        <v>45877</v>
      </c>
      <c r="D588" t="inlineStr">
        <is>
          <t>DALARNAS LÄN</t>
        </is>
      </c>
      <c r="E588" t="inlineStr">
        <is>
          <t>RÄTTVIK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44808-2022</t>
        </is>
      </c>
      <c r="B589" s="1" t="n">
        <v>44841</v>
      </c>
      <c r="C589" s="1" t="n">
        <v>45877</v>
      </c>
      <c r="D589" t="inlineStr">
        <is>
          <t>DALARNAS LÄN</t>
        </is>
      </c>
      <c r="E589" t="inlineStr">
        <is>
          <t>RÄTTVIK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44985-2022</t>
        </is>
      </c>
      <c r="B590" s="1" t="n">
        <v>44841</v>
      </c>
      <c r="C590" s="1" t="n">
        <v>45877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45504-2022</t>
        </is>
      </c>
      <c r="B591" s="1" t="n">
        <v>44841</v>
      </c>
      <c r="C591" s="1" t="n">
        <v>45877</v>
      </c>
      <c r="D591" t="inlineStr">
        <is>
          <t>DALARNAS LÄN</t>
        </is>
      </c>
      <c r="E591" t="inlineStr">
        <is>
          <t>RÄTTVIK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45472-2022</t>
        </is>
      </c>
      <c r="B592" s="1" t="n">
        <v>44841</v>
      </c>
      <c r="C592" s="1" t="n">
        <v>45877</v>
      </c>
      <c r="D592" t="inlineStr">
        <is>
          <t>DALARNAS LÄN</t>
        </is>
      </c>
      <c r="E592" t="inlineStr">
        <is>
          <t>RÄTTVIK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45623-2022</t>
        </is>
      </c>
      <c r="B593" s="1" t="n">
        <v>44845</v>
      </c>
      <c r="C593" s="1" t="n">
        <v>45877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45622-2022</t>
        </is>
      </c>
      <c r="B594" s="1" t="n">
        <v>44845</v>
      </c>
      <c r="C594" s="1" t="n">
        <v>45877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46060-2022</t>
        </is>
      </c>
      <c r="B595" s="1" t="n">
        <v>44847</v>
      </c>
      <c r="C595" s="1" t="n">
        <v>45877</v>
      </c>
      <c r="D595" t="inlineStr">
        <is>
          <t>DALARNAS LÄN</t>
        </is>
      </c>
      <c r="E595" t="inlineStr">
        <is>
          <t>RÄTTVIK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46802-2022</t>
        </is>
      </c>
      <c r="B596" s="1" t="n">
        <v>44851</v>
      </c>
      <c r="C596" s="1" t="n">
        <v>45877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46799-2022</t>
        </is>
      </c>
      <c r="B597" s="1" t="n">
        <v>44851</v>
      </c>
      <c r="C597" s="1" t="n">
        <v>45877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46804-2022</t>
        </is>
      </c>
      <c r="B598" s="1" t="n">
        <v>44851</v>
      </c>
      <c r="C598" s="1" t="n">
        <v>45877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46800-2022</t>
        </is>
      </c>
      <c r="B599" s="1" t="n">
        <v>44851</v>
      </c>
      <c r="C599" s="1" t="n">
        <v>45877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47964-2022</t>
        </is>
      </c>
      <c r="B600" s="1" t="n">
        <v>44855</v>
      </c>
      <c r="C600" s="1" t="n">
        <v>45877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49010-2022</t>
        </is>
      </c>
      <c r="B601" s="1" t="n">
        <v>44860</v>
      </c>
      <c r="C601" s="1" t="n">
        <v>45877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49711-2022</t>
        </is>
      </c>
      <c r="B602" s="1" t="n">
        <v>44862</v>
      </c>
      <c r="C602" s="1" t="n">
        <v>45877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49707-2022</t>
        </is>
      </c>
      <c r="B603" s="1" t="n">
        <v>44862</v>
      </c>
      <c r="C603" s="1" t="n">
        <v>45877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50418-2022</t>
        </is>
      </c>
      <c r="B604" s="1" t="n">
        <v>44866</v>
      </c>
      <c r="C604" s="1" t="n">
        <v>45877</v>
      </c>
      <c r="D604" t="inlineStr">
        <is>
          <t>DALARNAS LÄN</t>
        </is>
      </c>
      <c r="E604" t="inlineStr">
        <is>
          <t>RÄTTVIK</t>
        </is>
      </c>
      <c r="F604" t="inlineStr">
        <is>
          <t>Övriga statliga verk och myndigheter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50380-2022</t>
        </is>
      </c>
      <c r="B605" s="1" t="n">
        <v>44866</v>
      </c>
      <c r="C605" s="1" t="n">
        <v>45877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50429-2022</t>
        </is>
      </c>
      <c r="B606" s="1" t="n">
        <v>44866</v>
      </c>
      <c r="C606" s="1" t="n">
        <v>45877</v>
      </c>
      <c r="D606" t="inlineStr">
        <is>
          <t>DALARNAS LÄN</t>
        </is>
      </c>
      <c r="E606" t="inlineStr">
        <is>
          <t>RÄTTVIK</t>
        </is>
      </c>
      <c r="F606" t="inlineStr">
        <is>
          <t>Övriga statliga verk och myndigheter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51354-2022</t>
        </is>
      </c>
      <c r="B607" s="1" t="n">
        <v>44866</v>
      </c>
      <c r="C607" s="1" t="n">
        <v>45877</v>
      </c>
      <c r="D607" t="inlineStr">
        <is>
          <t>DALARNAS LÄN</t>
        </is>
      </c>
      <c r="E607" t="inlineStr">
        <is>
          <t>RÄTTVIK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51060-2022</t>
        </is>
      </c>
      <c r="B608" s="1" t="n">
        <v>44868</v>
      </c>
      <c r="C608" s="1" t="n">
        <v>45877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51973-2022</t>
        </is>
      </c>
      <c r="B609" s="1" t="n">
        <v>44872</v>
      </c>
      <c r="C609" s="1" t="n">
        <v>45877</v>
      </c>
      <c r="D609" t="inlineStr">
        <is>
          <t>DALARNAS LÄN</t>
        </is>
      </c>
      <c r="E609" t="inlineStr">
        <is>
          <t>RÄTTVIK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52114-2022</t>
        </is>
      </c>
      <c r="B610" s="1" t="n">
        <v>44873</v>
      </c>
      <c r="C610" s="1" t="n">
        <v>45877</v>
      </c>
      <c r="D610" t="inlineStr">
        <is>
          <t>DALARNAS LÄN</t>
        </is>
      </c>
      <c r="E610" t="inlineStr">
        <is>
          <t>RÄTTVIK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52256-2022</t>
        </is>
      </c>
      <c r="B611" s="1" t="n">
        <v>44873</v>
      </c>
      <c r="C611" s="1" t="n">
        <v>45877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52281-2022</t>
        </is>
      </c>
      <c r="B612" s="1" t="n">
        <v>44873</v>
      </c>
      <c r="C612" s="1" t="n">
        <v>45877</v>
      </c>
      <c r="D612" t="inlineStr">
        <is>
          <t>DALARNAS LÄN</t>
        </is>
      </c>
      <c r="E612" t="inlineStr">
        <is>
          <t>RÄTTVIK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52412-2022</t>
        </is>
      </c>
      <c r="B613" s="1" t="n">
        <v>44874</v>
      </c>
      <c r="C613" s="1" t="n">
        <v>45877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52660-2022</t>
        </is>
      </c>
      <c r="B614" s="1" t="n">
        <v>44874</v>
      </c>
      <c r="C614" s="1" t="n">
        <v>45877</v>
      </c>
      <c r="D614" t="inlineStr">
        <is>
          <t>DALARNAS LÄN</t>
        </is>
      </c>
      <c r="E614" t="inlineStr">
        <is>
          <t>RÄTTVIK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52875-2022</t>
        </is>
      </c>
      <c r="B615" s="1" t="n">
        <v>44875</v>
      </c>
      <c r="C615" s="1" t="n">
        <v>45877</v>
      </c>
      <c r="D615" t="inlineStr">
        <is>
          <t>DALARNAS LÄN</t>
        </is>
      </c>
      <c r="E615" t="inlineStr">
        <is>
          <t>RÄTTVIK</t>
        </is>
      </c>
      <c r="G615" t="n">
        <v>24.4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52939-2022</t>
        </is>
      </c>
      <c r="B616" s="1" t="n">
        <v>44875</v>
      </c>
      <c r="C616" s="1" t="n">
        <v>45877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53463-2022</t>
        </is>
      </c>
      <c r="B617" s="1" t="n">
        <v>44879</v>
      </c>
      <c r="C617" s="1" t="n">
        <v>45877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55379-2022</t>
        </is>
      </c>
      <c r="B618" s="1" t="n">
        <v>44882</v>
      </c>
      <c r="C618" s="1" t="n">
        <v>45877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54642-2022</t>
        </is>
      </c>
      <c r="B619" s="1" t="n">
        <v>44883</v>
      </c>
      <c r="C619" s="1" t="n">
        <v>45877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54644-2022</t>
        </is>
      </c>
      <c r="B620" s="1" t="n">
        <v>44883</v>
      </c>
      <c r="C620" s="1" t="n">
        <v>45877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55365-2022</t>
        </is>
      </c>
      <c r="B621" s="1" t="n">
        <v>44887</v>
      </c>
      <c r="C621" s="1" t="n">
        <v>45877</v>
      </c>
      <c r="D621" t="inlineStr">
        <is>
          <t>DALARNAS LÄN</t>
        </is>
      </c>
      <c r="E621" t="inlineStr">
        <is>
          <t>RÄTTVIK</t>
        </is>
      </c>
      <c r="G621" t="n">
        <v>17.4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55965-2022</t>
        </is>
      </c>
      <c r="B622" s="1" t="n">
        <v>44889</v>
      </c>
      <c r="C622" s="1" t="n">
        <v>45877</v>
      </c>
      <c r="D622" t="inlineStr">
        <is>
          <t>DALARNAS LÄN</t>
        </is>
      </c>
      <c r="E622" t="inlineStr">
        <is>
          <t>RÄTTVIK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57761-2022</t>
        </is>
      </c>
      <c r="B623" s="1" t="n">
        <v>44890</v>
      </c>
      <c r="C623" s="1" t="n">
        <v>45877</v>
      </c>
      <c r="D623" t="inlineStr">
        <is>
          <t>DALARNAS LÄN</t>
        </is>
      </c>
      <c r="E623" t="inlineStr">
        <is>
          <t>RÄTTVIK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56431-2022</t>
        </is>
      </c>
      <c r="B624" s="1" t="n">
        <v>44891</v>
      </c>
      <c r="C624" s="1" t="n">
        <v>45877</v>
      </c>
      <c r="D624" t="inlineStr">
        <is>
          <t>DALARNAS LÄN</t>
        </is>
      </c>
      <c r="E624" t="inlineStr">
        <is>
          <t>RÄTTVIK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56459-2022</t>
        </is>
      </c>
      <c r="B625" s="1" t="n">
        <v>44893</v>
      </c>
      <c r="C625" s="1" t="n">
        <v>45877</v>
      </c>
      <c r="D625" t="inlineStr">
        <is>
          <t>DALARNAS LÄN</t>
        </is>
      </c>
      <c r="E625" t="inlineStr">
        <is>
          <t>RÄTTVIK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59307-2022</t>
        </is>
      </c>
      <c r="B626" s="1" t="n">
        <v>44897</v>
      </c>
      <c r="C626" s="1" t="n">
        <v>45877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60303-2022</t>
        </is>
      </c>
      <c r="B627" s="1" t="n">
        <v>44903</v>
      </c>
      <c r="C627" s="1" t="n">
        <v>45877</v>
      </c>
      <c r="D627" t="inlineStr">
        <is>
          <t>DALARNAS LÄN</t>
        </is>
      </c>
      <c r="E627" t="inlineStr">
        <is>
          <t>RÄTTVIK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59518-2022</t>
        </is>
      </c>
      <c r="B628" s="1" t="n">
        <v>44907</v>
      </c>
      <c r="C628" s="1" t="n">
        <v>45877</v>
      </c>
      <c r="D628" t="inlineStr">
        <is>
          <t>DALARNAS LÄN</t>
        </is>
      </c>
      <c r="E628" t="inlineStr">
        <is>
          <t>RÄTTVIK</t>
        </is>
      </c>
      <c r="F628" t="inlineStr">
        <is>
          <t>Övriga statliga verk och myndigheter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60910-2022</t>
        </is>
      </c>
      <c r="B629" s="1" t="n">
        <v>44907</v>
      </c>
      <c r="C629" s="1" t="n">
        <v>45877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60129-2022</t>
        </is>
      </c>
      <c r="B630" s="1" t="n">
        <v>44909</v>
      </c>
      <c r="C630" s="1" t="n">
        <v>45877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60126-2022</t>
        </is>
      </c>
      <c r="B631" s="1" t="n">
        <v>44909</v>
      </c>
      <c r="C631" s="1" t="n">
        <v>45877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HYPERLINK("https://klasma.github.io/Logging_2031/knärot/A 60126-2022 karta knärot.png", "A 60126-2022")</f>
        <v/>
      </c>
      <c r="V631">
        <f>HYPERLINK("https://klasma.github.io/Logging_2031/klagomål/A 60126-2022 FSC-klagomål.docx", "A 60126-2022")</f>
        <v/>
      </c>
      <c r="W631">
        <f>HYPERLINK("https://klasma.github.io/Logging_2031/klagomålsmail/A 60126-2022 FSC-klagomål mail.docx", "A 60126-2022")</f>
        <v/>
      </c>
      <c r="X631">
        <f>HYPERLINK("https://klasma.github.io/Logging_2031/tillsyn/A 60126-2022 tillsynsbegäran.docx", "A 60126-2022")</f>
        <v/>
      </c>
      <c r="Y631">
        <f>HYPERLINK("https://klasma.github.io/Logging_2031/tillsynsmail/A 60126-2022 tillsynsbegäran mail.docx", "A 60126-2022")</f>
        <v/>
      </c>
    </row>
    <row r="632" ht="15" customHeight="1">
      <c r="A632" t="inlineStr">
        <is>
          <t>A 59991-2022</t>
        </is>
      </c>
      <c r="B632" s="1" t="n">
        <v>44909</v>
      </c>
      <c r="C632" s="1" t="n">
        <v>45877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59989-2022</t>
        </is>
      </c>
      <c r="B633" s="1" t="n">
        <v>44909</v>
      </c>
      <c r="C633" s="1" t="n">
        <v>45877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60186-2022</t>
        </is>
      </c>
      <c r="B634" s="1" t="n">
        <v>44910</v>
      </c>
      <c r="C634" s="1" t="n">
        <v>45877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60455-2022</t>
        </is>
      </c>
      <c r="B635" s="1" t="n">
        <v>44911</v>
      </c>
      <c r="C635" s="1" t="n">
        <v>45877</v>
      </c>
      <c r="D635" t="inlineStr">
        <is>
          <t>DALARNAS LÄN</t>
        </is>
      </c>
      <c r="E635" t="inlineStr">
        <is>
          <t>RÄTTVIK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60554-2022</t>
        </is>
      </c>
      <c r="B636" s="1" t="n">
        <v>44911</v>
      </c>
      <c r="C636" s="1" t="n">
        <v>45877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60619-2022</t>
        </is>
      </c>
      <c r="B637" s="1" t="n">
        <v>44911</v>
      </c>
      <c r="C637" s="1" t="n">
        <v>45877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60832-2022</t>
        </is>
      </c>
      <c r="B638" s="1" t="n">
        <v>44914</v>
      </c>
      <c r="C638" s="1" t="n">
        <v>45877</v>
      </c>
      <c r="D638" t="inlineStr">
        <is>
          <t>DALARNAS LÄN</t>
        </is>
      </c>
      <c r="E638" t="inlineStr">
        <is>
          <t>RÄTTVIK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60836-2022</t>
        </is>
      </c>
      <c r="B639" s="1" t="n">
        <v>44914</v>
      </c>
      <c r="C639" s="1" t="n">
        <v>45877</v>
      </c>
      <c r="D639" t="inlineStr">
        <is>
          <t>DALARNAS LÄN</t>
        </is>
      </c>
      <c r="E639" t="inlineStr">
        <is>
          <t>RÄTTVIK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61996-2022</t>
        </is>
      </c>
      <c r="B640" s="1" t="n">
        <v>44914</v>
      </c>
      <c r="C640" s="1" t="n">
        <v>45877</v>
      </c>
      <c r="D640" t="inlineStr">
        <is>
          <t>DALARNAS LÄN</t>
        </is>
      </c>
      <c r="E640" t="inlineStr">
        <is>
          <t>RÄTTVIK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62354-2022</t>
        </is>
      </c>
      <c r="B641" s="1" t="n">
        <v>44916</v>
      </c>
      <c r="C641" s="1" t="n">
        <v>45877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62350-2022</t>
        </is>
      </c>
      <c r="B642" s="1" t="n">
        <v>44916</v>
      </c>
      <c r="C642" s="1" t="n">
        <v>45877</v>
      </c>
      <c r="D642" t="inlineStr">
        <is>
          <t>DALARNAS LÄN</t>
        </is>
      </c>
      <c r="E642" t="inlineStr">
        <is>
          <t>RÄTTVIK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295-2023</t>
        </is>
      </c>
      <c r="B643" s="1" t="n">
        <v>44922</v>
      </c>
      <c r="C643" s="1" t="n">
        <v>45877</v>
      </c>
      <c r="D643" t="inlineStr">
        <is>
          <t>DALARNAS LÄN</t>
        </is>
      </c>
      <c r="E643" t="inlineStr">
        <is>
          <t>RÄTTVIK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60-2023</t>
        </is>
      </c>
      <c r="B644" s="1" t="n">
        <v>44928</v>
      </c>
      <c r="C644" s="1" t="n">
        <v>45877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329-2023</t>
        </is>
      </c>
      <c r="B645" s="1" t="n">
        <v>44929</v>
      </c>
      <c r="C645" s="1" t="n">
        <v>45877</v>
      </c>
      <c r="D645" t="inlineStr">
        <is>
          <t>DALARNAS LÄN</t>
        </is>
      </c>
      <c r="E645" t="inlineStr">
        <is>
          <t>RÄTTVIK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1074-2023</t>
        </is>
      </c>
      <c r="B646" s="1" t="n">
        <v>44929</v>
      </c>
      <c r="C646" s="1" t="n">
        <v>45877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492-2023</t>
        </is>
      </c>
      <c r="B647" s="1" t="n">
        <v>44930</v>
      </c>
      <c r="C647" s="1" t="n">
        <v>45877</v>
      </c>
      <c r="D647" t="inlineStr">
        <is>
          <t>DALARNAS LÄN</t>
        </is>
      </c>
      <c r="E647" t="inlineStr">
        <is>
          <t>RÄTTVIK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490-2023</t>
        </is>
      </c>
      <c r="B648" s="1" t="n">
        <v>44930</v>
      </c>
      <c r="C648" s="1" t="n">
        <v>45877</v>
      </c>
      <c r="D648" t="inlineStr">
        <is>
          <t>DALARNAS LÄN</t>
        </is>
      </c>
      <c r="E648" t="inlineStr">
        <is>
          <t>RÄTTVIK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493-2023</t>
        </is>
      </c>
      <c r="B649" s="1" t="n">
        <v>44930</v>
      </c>
      <c r="C649" s="1" t="n">
        <v>45877</v>
      </c>
      <c r="D649" t="inlineStr">
        <is>
          <t>DALARNAS LÄN</t>
        </is>
      </c>
      <c r="E649" t="inlineStr">
        <is>
          <t>RÄTTVIK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651-2023</t>
        </is>
      </c>
      <c r="B650" s="1" t="n">
        <v>44930</v>
      </c>
      <c r="C650" s="1" t="n">
        <v>45877</v>
      </c>
      <c r="D650" t="inlineStr">
        <is>
          <t>DALARNAS LÄN</t>
        </is>
      </c>
      <c r="E650" t="inlineStr">
        <is>
          <t>RÄTTVIK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824-2023</t>
        </is>
      </c>
      <c r="B651" s="1" t="n">
        <v>44931</v>
      </c>
      <c r="C651" s="1" t="n">
        <v>45877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1945-2023</t>
        </is>
      </c>
      <c r="B652" s="1" t="n">
        <v>44939</v>
      </c>
      <c r="C652" s="1" t="n">
        <v>45877</v>
      </c>
      <c r="D652" t="inlineStr">
        <is>
          <t>DALARNAS LÄN</t>
        </is>
      </c>
      <c r="E652" t="inlineStr">
        <is>
          <t>RÄTTVIK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2068-2023</t>
        </is>
      </c>
      <c r="B653" s="1" t="n">
        <v>44939</v>
      </c>
      <c r="C653" s="1" t="n">
        <v>45877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2685-2023</t>
        </is>
      </c>
      <c r="B654" s="1" t="n">
        <v>44944</v>
      </c>
      <c r="C654" s="1" t="n">
        <v>45877</v>
      </c>
      <c r="D654" t="inlineStr">
        <is>
          <t>DALARNAS LÄN</t>
        </is>
      </c>
      <c r="E654" t="inlineStr">
        <is>
          <t>RÄTTVIK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2775-2023</t>
        </is>
      </c>
      <c r="B655" s="1" t="n">
        <v>44944</v>
      </c>
      <c r="C655" s="1" t="n">
        <v>45877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3285-2023</t>
        </is>
      </c>
      <c r="B656" s="1" t="n">
        <v>44945</v>
      </c>
      <c r="C656" s="1" t="n">
        <v>45877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3314-2023</t>
        </is>
      </c>
      <c r="B657" s="1" t="n">
        <v>44949</v>
      </c>
      <c r="C657" s="1" t="n">
        <v>45877</v>
      </c>
      <c r="D657" t="inlineStr">
        <is>
          <t>DALARNAS LÄN</t>
        </is>
      </c>
      <c r="E657" t="inlineStr">
        <is>
          <t>RÄTTVIK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3658-2023</t>
        </is>
      </c>
      <c r="B658" s="1" t="n">
        <v>44950</v>
      </c>
      <c r="C658" s="1" t="n">
        <v>45877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3659-2023</t>
        </is>
      </c>
      <c r="B659" s="1" t="n">
        <v>44950</v>
      </c>
      <c r="C659" s="1" t="n">
        <v>45877</v>
      </c>
      <c r="D659" t="inlineStr">
        <is>
          <t>DALARNAS LÄN</t>
        </is>
      </c>
      <c r="E659" t="inlineStr">
        <is>
          <t>RÄTTVIK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4150-2023</t>
        </is>
      </c>
      <c r="B660" s="1" t="n">
        <v>44953</v>
      </c>
      <c r="C660" s="1" t="n">
        <v>45877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4408-2023</t>
        </is>
      </c>
      <c r="B661" s="1" t="n">
        <v>44956</v>
      </c>
      <c r="C661" s="1" t="n">
        <v>45877</v>
      </c>
      <c r="D661" t="inlineStr">
        <is>
          <t>DALARNAS LÄN</t>
        </is>
      </c>
      <c r="E661" t="inlineStr">
        <is>
          <t>RÄTTVIK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5622-2023</t>
        </is>
      </c>
      <c r="B662" s="1" t="n">
        <v>44960</v>
      </c>
      <c r="C662" s="1" t="n">
        <v>45877</v>
      </c>
      <c r="D662" t="inlineStr">
        <is>
          <t>DALARNAS LÄN</t>
        </is>
      </c>
      <c r="E662" t="inlineStr">
        <is>
          <t>RÄTTVIK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6086-2023</t>
        </is>
      </c>
      <c r="B663" s="1" t="n">
        <v>44964</v>
      </c>
      <c r="C663" s="1" t="n">
        <v>45877</v>
      </c>
      <c r="D663" t="inlineStr">
        <is>
          <t>DALARNAS LÄN</t>
        </is>
      </c>
      <c r="E663" t="inlineStr">
        <is>
          <t>RÄTTVIK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6195-2023</t>
        </is>
      </c>
      <c r="B664" s="1" t="n">
        <v>44964</v>
      </c>
      <c r="C664" s="1" t="n">
        <v>45877</v>
      </c>
      <c r="D664" t="inlineStr">
        <is>
          <t>DALARNAS LÄN</t>
        </is>
      </c>
      <c r="E664" t="inlineStr">
        <is>
          <t>RÄTTVIK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6184-2023</t>
        </is>
      </c>
      <c r="B665" s="1" t="n">
        <v>44964</v>
      </c>
      <c r="C665" s="1" t="n">
        <v>45877</v>
      </c>
      <c r="D665" t="inlineStr">
        <is>
          <t>DALARNAS LÄN</t>
        </is>
      </c>
      <c r="E665" t="inlineStr">
        <is>
          <t>RÄTTVIK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6189-2023</t>
        </is>
      </c>
      <c r="B666" s="1" t="n">
        <v>44964</v>
      </c>
      <c r="C666" s="1" t="n">
        <v>45877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6199-2023</t>
        </is>
      </c>
      <c r="B667" s="1" t="n">
        <v>44964</v>
      </c>
      <c r="C667" s="1" t="n">
        <v>45877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6192-2023</t>
        </is>
      </c>
      <c r="B668" s="1" t="n">
        <v>44964</v>
      </c>
      <c r="C668" s="1" t="n">
        <v>45877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6193-2023</t>
        </is>
      </c>
      <c r="B669" s="1" t="n">
        <v>44964</v>
      </c>
      <c r="C669" s="1" t="n">
        <v>45877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6560-2023</t>
        </is>
      </c>
      <c r="B670" s="1" t="n">
        <v>44966</v>
      </c>
      <c r="C670" s="1" t="n">
        <v>45877</v>
      </c>
      <c r="D670" t="inlineStr">
        <is>
          <t>DALARNAS LÄN</t>
        </is>
      </c>
      <c r="E670" t="inlineStr">
        <is>
          <t>RÄTTVIK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6931-2023</t>
        </is>
      </c>
      <c r="B671" s="1" t="n">
        <v>44967</v>
      </c>
      <c r="C671" s="1" t="n">
        <v>45877</v>
      </c>
      <c r="D671" t="inlineStr">
        <is>
          <t>DALARNAS LÄN</t>
        </is>
      </c>
      <c r="E671" t="inlineStr">
        <is>
          <t>RÄTTVIK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7587-2023</t>
        </is>
      </c>
      <c r="B672" s="1" t="n">
        <v>44967</v>
      </c>
      <c r="C672" s="1" t="n">
        <v>45877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7567-2023</t>
        </is>
      </c>
      <c r="B673" s="1" t="n">
        <v>44967</v>
      </c>
      <c r="C673" s="1" t="n">
        <v>45877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7552-2023</t>
        </is>
      </c>
      <c r="B674" s="1" t="n">
        <v>44967</v>
      </c>
      <c r="C674" s="1" t="n">
        <v>45877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7550-2023</t>
        </is>
      </c>
      <c r="B675" s="1" t="n">
        <v>44967</v>
      </c>
      <c r="C675" s="1" t="n">
        <v>45877</v>
      </c>
      <c r="D675" t="inlineStr">
        <is>
          <t>DALARNAS LÄN</t>
        </is>
      </c>
      <c r="E675" t="inlineStr">
        <is>
          <t>RÄTTVIK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7096-2023</t>
        </is>
      </c>
      <c r="B676" s="1" t="n">
        <v>44970</v>
      </c>
      <c r="C676" s="1" t="n">
        <v>45877</v>
      </c>
      <c r="D676" t="inlineStr">
        <is>
          <t>DALARNAS LÄN</t>
        </is>
      </c>
      <c r="E676" t="inlineStr">
        <is>
          <t>RÄTTVIK</t>
        </is>
      </c>
      <c r="G676" t="n">
        <v>11.7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7989-2023</t>
        </is>
      </c>
      <c r="B677" s="1" t="n">
        <v>44970</v>
      </c>
      <c r="C677" s="1" t="n">
        <v>45877</v>
      </c>
      <c r="D677" t="inlineStr">
        <is>
          <t>DALARNAS LÄN</t>
        </is>
      </c>
      <c r="E677" t="inlineStr">
        <is>
          <t>RÄTTVIK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7874-2023</t>
        </is>
      </c>
      <c r="B678" s="1" t="n">
        <v>44973</v>
      </c>
      <c r="C678" s="1" t="n">
        <v>45877</v>
      </c>
      <c r="D678" t="inlineStr">
        <is>
          <t>DALARNAS LÄN</t>
        </is>
      </c>
      <c r="E678" t="inlineStr">
        <is>
          <t>RÄTTVIK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8537-2023</t>
        </is>
      </c>
      <c r="B679" s="1" t="n">
        <v>44977</v>
      </c>
      <c r="C679" s="1" t="n">
        <v>45877</v>
      </c>
      <c r="D679" t="inlineStr">
        <is>
          <t>DALARNAS LÄN</t>
        </is>
      </c>
      <c r="E679" t="inlineStr">
        <is>
          <t>RÄTTVIK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8559-2023</t>
        </is>
      </c>
      <c r="B680" s="1" t="n">
        <v>44977</v>
      </c>
      <c r="C680" s="1" t="n">
        <v>45877</v>
      </c>
      <c r="D680" t="inlineStr">
        <is>
          <t>DALARNAS LÄN</t>
        </is>
      </c>
      <c r="E680" t="inlineStr">
        <is>
          <t>RÄTTVIK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9585-2023</t>
        </is>
      </c>
      <c r="B681" s="1" t="n">
        <v>44982</v>
      </c>
      <c r="C681" s="1" t="n">
        <v>45877</v>
      </c>
      <c r="D681" t="inlineStr">
        <is>
          <t>DALARNAS LÄN</t>
        </is>
      </c>
      <c r="E681" t="inlineStr">
        <is>
          <t>RÄTTVIK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10983-2023</t>
        </is>
      </c>
      <c r="B682" s="1" t="n">
        <v>44991</v>
      </c>
      <c r="C682" s="1" t="n">
        <v>45877</v>
      </c>
      <c r="D682" t="inlineStr">
        <is>
          <t>DALARNAS LÄN</t>
        </is>
      </c>
      <c r="E682" t="inlineStr">
        <is>
          <t>RÄTTVIK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12069-2023</t>
        </is>
      </c>
      <c r="B683" s="1" t="n">
        <v>44997</v>
      </c>
      <c r="C683" s="1" t="n">
        <v>45877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13090-2023</t>
        </is>
      </c>
      <c r="B684" s="1" t="n">
        <v>45002</v>
      </c>
      <c r="C684" s="1" t="n">
        <v>45877</v>
      </c>
      <c r="D684" t="inlineStr">
        <is>
          <t>DALARNAS LÄN</t>
        </is>
      </c>
      <c r="E684" t="inlineStr">
        <is>
          <t>RÄTTVIK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13032-2023</t>
        </is>
      </c>
      <c r="B685" s="1" t="n">
        <v>45002</v>
      </c>
      <c r="C685" s="1" t="n">
        <v>45877</v>
      </c>
      <c r="D685" t="inlineStr">
        <is>
          <t>DALARNAS LÄN</t>
        </is>
      </c>
      <c r="E685" t="inlineStr">
        <is>
          <t>RÄTTVIK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13023-2023</t>
        </is>
      </c>
      <c r="B686" s="1" t="n">
        <v>45002</v>
      </c>
      <c r="C686" s="1" t="n">
        <v>45877</v>
      </c>
      <c r="D686" t="inlineStr">
        <is>
          <t>DALARNAS LÄN</t>
        </is>
      </c>
      <c r="E686" t="inlineStr">
        <is>
          <t>RÄTTVIK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15326-2023</t>
        </is>
      </c>
      <c r="B687" s="1" t="n">
        <v>45019</v>
      </c>
      <c r="C687" s="1" t="n">
        <v>45877</v>
      </c>
      <c r="D687" t="inlineStr">
        <is>
          <t>DALARNAS LÄN</t>
        </is>
      </c>
      <c r="E687" t="inlineStr">
        <is>
          <t>RÄTTVIK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15661-2023</t>
        </is>
      </c>
      <c r="B688" s="1" t="n">
        <v>45019</v>
      </c>
      <c r="C688" s="1" t="n">
        <v>45877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15668-2023</t>
        </is>
      </c>
      <c r="B689" s="1" t="n">
        <v>45019</v>
      </c>
      <c r="C689" s="1" t="n">
        <v>45877</v>
      </c>
      <c r="D689" t="inlineStr">
        <is>
          <t>DALARNAS LÄN</t>
        </is>
      </c>
      <c r="E689" t="inlineStr">
        <is>
          <t>RÄTTVIK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15767-2023</t>
        </is>
      </c>
      <c r="B690" s="1" t="n">
        <v>45021</v>
      </c>
      <c r="C690" s="1" t="n">
        <v>45877</v>
      </c>
      <c r="D690" t="inlineStr">
        <is>
          <t>DALARNAS LÄN</t>
        </is>
      </c>
      <c r="E690" t="inlineStr">
        <is>
          <t>RÄTTVIK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16074-2023</t>
        </is>
      </c>
      <c r="B691" s="1" t="n">
        <v>45027</v>
      </c>
      <c r="C691" s="1" t="n">
        <v>45877</v>
      </c>
      <c r="D691" t="inlineStr">
        <is>
          <t>DALARNAS LÄN</t>
        </is>
      </c>
      <c r="E691" t="inlineStr">
        <is>
          <t>RÄTTVIK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16833-2023</t>
        </is>
      </c>
      <c r="B692" s="1" t="n">
        <v>45033</v>
      </c>
      <c r="C692" s="1" t="n">
        <v>45877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17961-2023</t>
        </is>
      </c>
      <c r="B693" s="1" t="n">
        <v>45040</v>
      </c>
      <c r="C693" s="1" t="n">
        <v>45877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18802-2023</t>
        </is>
      </c>
      <c r="B694" s="1" t="n">
        <v>45042</v>
      </c>
      <c r="C694" s="1" t="n">
        <v>45877</v>
      </c>
      <c r="D694" t="inlineStr">
        <is>
          <t>DALARNAS LÄN</t>
        </is>
      </c>
      <c r="E694" t="inlineStr">
        <is>
          <t>RÄTTVIK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21480-2023</t>
        </is>
      </c>
      <c r="B695" s="1" t="n">
        <v>45058</v>
      </c>
      <c r="C695" s="1" t="n">
        <v>45877</v>
      </c>
      <c r="D695" t="inlineStr">
        <is>
          <t>DALARNAS LÄN</t>
        </is>
      </c>
      <c r="E695" t="inlineStr">
        <is>
          <t>RÄTTVIK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21326-2023</t>
        </is>
      </c>
      <c r="B696" s="1" t="n">
        <v>45062</v>
      </c>
      <c r="C696" s="1" t="n">
        <v>45877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21436-2023</t>
        </is>
      </c>
      <c r="B697" s="1" t="n">
        <v>45063</v>
      </c>
      <c r="C697" s="1" t="n">
        <v>45877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22315-2023</t>
        </is>
      </c>
      <c r="B698" s="1" t="n">
        <v>45070</v>
      </c>
      <c r="C698" s="1" t="n">
        <v>45877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22508-2023</t>
        </is>
      </c>
      <c r="B699" s="1" t="n">
        <v>45071</v>
      </c>
      <c r="C699" s="1" t="n">
        <v>45877</v>
      </c>
      <c r="D699" t="inlineStr">
        <is>
          <t>DALARNAS LÄN</t>
        </is>
      </c>
      <c r="E699" t="inlineStr">
        <is>
          <t>RÄTTVIK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22677-2023</t>
        </is>
      </c>
      <c r="B700" s="1" t="n">
        <v>45071</v>
      </c>
      <c r="C700" s="1" t="n">
        <v>45877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23248-2023</t>
        </is>
      </c>
      <c r="B701" s="1" t="n">
        <v>45071</v>
      </c>
      <c r="C701" s="1" t="n">
        <v>45877</v>
      </c>
      <c r="D701" t="inlineStr">
        <is>
          <t>DALARNAS LÄN</t>
        </is>
      </c>
      <c r="E701" t="inlineStr">
        <is>
          <t>RÄTTVIK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23253-2023</t>
        </is>
      </c>
      <c r="B702" s="1" t="n">
        <v>45071</v>
      </c>
      <c r="C702" s="1" t="n">
        <v>45877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23247-2023</t>
        </is>
      </c>
      <c r="B703" s="1" t="n">
        <v>45071</v>
      </c>
      <c r="C703" s="1" t="n">
        <v>45877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23245-2023</t>
        </is>
      </c>
      <c r="B704" s="1" t="n">
        <v>45071</v>
      </c>
      <c r="C704" s="1" t="n">
        <v>45877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23481-2023</t>
        </is>
      </c>
      <c r="B705" s="1" t="n">
        <v>45072</v>
      </c>
      <c r="C705" s="1" t="n">
        <v>45877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23479-2023</t>
        </is>
      </c>
      <c r="B706" s="1" t="n">
        <v>45072</v>
      </c>
      <c r="C706" s="1" t="n">
        <v>45877</v>
      </c>
      <c r="D706" t="inlineStr">
        <is>
          <t>DALARNAS LÄN</t>
        </is>
      </c>
      <c r="E706" t="inlineStr">
        <is>
          <t>RÄTTVIK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23478-2023</t>
        </is>
      </c>
      <c r="B707" s="1" t="n">
        <v>45072</v>
      </c>
      <c r="C707" s="1" t="n">
        <v>45877</v>
      </c>
      <c r="D707" t="inlineStr">
        <is>
          <t>DALARNAS LÄN</t>
        </is>
      </c>
      <c r="E707" t="inlineStr">
        <is>
          <t>RÄTTVIK</t>
        </is>
      </c>
      <c r="F707" t="inlineStr">
        <is>
          <t>Övriga statliga verk och myndigheter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23163-2023</t>
        </is>
      </c>
      <c r="B708" s="1" t="n">
        <v>45075</v>
      </c>
      <c r="C708" s="1" t="n">
        <v>45877</v>
      </c>
      <c r="D708" t="inlineStr">
        <is>
          <t>DALARNAS LÄN</t>
        </is>
      </c>
      <c r="E708" t="inlineStr">
        <is>
          <t>RÄTTVIK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23165-2023</t>
        </is>
      </c>
      <c r="B709" s="1" t="n">
        <v>45075</v>
      </c>
      <c r="C709" s="1" t="n">
        <v>45877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23667-2023</t>
        </is>
      </c>
      <c r="B710" s="1" t="n">
        <v>45077</v>
      </c>
      <c r="C710" s="1" t="n">
        <v>45877</v>
      </c>
      <c r="D710" t="inlineStr">
        <is>
          <t>DALARNAS LÄN</t>
        </is>
      </c>
      <c r="E710" t="inlineStr">
        <is>
          <t>RÄTTVIK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24243-2023</t>
        </is>
      </c>
      <c r="B711" s="1" t="n">
        <v>45079</v>
      </c>
      <c r="C711" s="1" t="n">
        <v>45877</v>
      </c>
      <c r="D711" t="inlineStr">
        <is>
          <t>DALARNAS LÄN</t>
        </is>
      </c>
      <c r="E711" t="inlineStr">
        <is>
          <t>RÄTTVIK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24616-2023</t>
        </is>
      </c>
      <c r="B712" s="1" t="n">
        <v>45084</v>
      </c>
      <c r="C712" s="1" t="n">
        <v>45877</v>
      </c>
      <c r="D712" t="inlineStr">
        <is>
          <t>DALARNAS LÄN</t>
        </is>
      </c>
      <c r="E712" t="inlineStr">
        <is>
          <t>RÄTTVIK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24882-2023</t>
        </is>
      </c>
      <c r="B713" s="1" t="n">
        <v>45085</v>
      </c>
      <c r="C713" s="1" t="n">
        <v>45877</v>
      </c>
      <c r="D713" t="inlineStr">
        <is>
          <t>DALARNAS LÄN</t>
        </is>
      </c>
      <c r="E713" t="inlineStr">
        <is>
          <t>RÄTTVIK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25891-2023</t>
        </is>
      </c>
      <c r="B714" s="1" t="n">
        <v>45085</v>
      </c>
      <c r="C714" s="1" t="n">
        <v>45877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25783-2023</t>
        </is>
      </c>
      <c r="B715" s="1" t="n">
        <v>45090</v>
      </c>
      <c r="C715" s="1" t="n">
        <v>45877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25776-2023</t>
        </is>
      </c>
      <c r="B716" s="1" t="n">
        <v>45090</v>
      </c>
      <c r="C716" s="1" t="n">
        <v>45877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26771-2023</t>
        </is>
      </c>
      <c r="B717" s="1" t="n">
        <v>45090</v>
      </c>
      <c r="C717" s="1" t="n">
        <v>45877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26401-2023</t>
        </is>
      </c>
      <c r="B718" s="1" t="n">
        <v>45092</v>
      </c>
      <c r="C718" s="1" t="n">
        <v>45877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26555-2023</t>
        </is>
      </c>
      <c r="B719" s="1" t="n">
        <v>45092</v>
      </c>
      <c r="C719" s="1" t="n">
        <v>45877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26810-2023</t>
        </is>
      </c>
      <c r="B720" s="1" t="n">
        <v>45093</v>
      </c>
      <c r="C720" s="1" t="n">
        <v>45877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20.3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26717-2023</t>
        </is>
      </c>
      <c r="B721" s="1" t="n">
        <v>45093</v>
      </c>
      <c r="C721" s="1" t="n">
        <v>45877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27063-2023</t>
        </is>
      </c>
      <c r="B722" s="1" t="n">
        <v>45096</v>
      </c>
      <c r="C722" s="1" t="n">
        <v>45877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27216-2023</t>
        </is>
      </c>
      <c r="B723" s="1" t="n">
        <v>45096</v>
      </c>
      <c r="C723" s="1" t="n">
        <v>45877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27217-2023</t>
        </is>
      </c>
      <c r="B724" s="1" t="n">
        <v>45096</v>
      </c>
      <c r="C724" s="1" t="n">
        <v>45877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27418-2023</t>
        </is>
      </c>
      <c r="B725" s="1" t="n">
        <v>45097</v>
      </c>
      <c r="C725" s="1" t="n">
        <v>45877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27522-2023</t>
        </is>
      </c>
      <c r="B726" s="1" t="n">
        <v>45097</v>
      </c>
      <c r="C726" s="1" t="n">
        <v>45877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27535-2023</t>
        </is>
      </c>
      <c r="B727" s="1" t="n">
        <v>45097</v>
      </c>
      <c r="C727" s="1" t="n">
        <v>45877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27921-2023</t>
        </is>
      </c>
      <c r="B728" s="1" t="n">
        <v>45098</v>
      </c>
      <c r="C728" s="1" t="n">
        <v>45877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27926-2023</t>
        </is>
      </c>
      <c r="B729" s="1" t="n">
        <v>45098</v>
      </c>
      <c r="C729" s="1" t="n">
        <v>45877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28152-2023</t>
        </is>
      </c>
      <c r="B730" s="1" t="n">
        <v>45099</v>
      </c>
      <c r="C730" s="1" t="n">
        <v>45877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28513-2023</t>
        </is>
      </c>
      <c r="B731" s="1" t="n">
        <v>45103</v>
      </c>
      <c r="C731" s="1" t="n">
        <v>45877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28637-2023</t>
        </is>
      </c>
      <c r="B732" s="1" t="n">
        <v>45103</v>
      </c>
      <c r="C732" s="1" t="n">
        <v>45877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31424-2023</t>
        </is>
      </c>
      <c r="B733" s="1" t="n">
        <v>45104</v>
      </c>
      <c r="C733" s="1" t="n">
        <v>45877</v>
      </c>
      <c r="D733" t="inlineStr">
        <is>
          <t>DALARNAS LÄN</t>
        </is>
      </c>
      <c r="E733" t="inlineStr">
        <is>
          <t>RÄTTVIK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29141-2023</t>
        </is>
      </c>
      <c r="B734" s="1" t="n">
        <v>45105</v>
      </c>
      <c r="C734" s="1" t="n">
        <v>45877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29147-2023</t>
        </is>
      </c>
      <c r="B735" s="1" t="n">
        <v>45105</v>
      </c>
      <c r="C735" s="1" t="n">
        <v>45877</v>
      </c>
      <c r="D735" t="inlineStr">
        <is>
          <t>DALARNAS LÄN</t>
        </is>
      </c>
      <c r="E735" t="inlineStr">
        <is>
          <t>RÄTTVIK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29360-2023</t>
        </is>
      </c>
      <c r="B736" s="1" t="n">
        <v>45106</v>
      </c>
      <c r="C736" s="1" t="n">
        <v>45877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29707-2023</t>
        </is>
      </c>
      <c r="B737" s="1" t="n">
        <v>45107</v>
      </c>
      <c r="C737" s="1" t="n">
        <v>45877</v>
      </c>
      <c r="D737" t="inlineStr">
        <is>
          <t>DALARNAS LÄN</t>
        </is>
      </c>
      <c r="E737" t="inlineStr">
        <is>
          <t>RÄTTVIK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29744-2023</t>
        </is>
      </c>
      <c r="B738" s="1" t="n">
        <v>45107</v>
      </c>
      <c r="C738" s="1" t="n">
        <v>45877</v>
      </c>
      <c r="D738" t="inlineStr">
        <is>
          <t>DALARNAS LÄN</t>
        </is>
      </c>
      <c r="E738" t="inlineStr">
        <is>
          <t>RÄTTVIK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29758-2023</t>
        </is>
      </c>
      <c r="B739" s="1" t="n">
        <v>45107</v>
      </c>
      <c r="C739" s="1" t="n">
        <v>45877</v>
      </c>
      <c r="D739" t="inlineStr">
        <is>
          <t>DALARNAS LÄN</t>
        </is>
      </c>
      <c r="E739" t="inlineStr">
        <is>
          <t>RÄTTVIK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30505-2023</t>
        </is>
      </c>
      <c r="B740" s="1" t="n">
        <v>45111</v>
      </c>
      <c r="C740" s="1" t="n">
        <v>45877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30319-2023</t>
        </is>
      </c>
      <c r="B741" s="1" t="n">
        <v>45111</v>
      </c>
      <c r="C741" s="1" t="n">
        <v>45877</v>
      </c>
      <c r="D741" t="inlineStr">
        <is>
          <t>DALARNAS LÄN</t>
        </is>
      </c>
      <c r="E741" t="inlineStr">
        <is>
          <t>RÄTTVIK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30776-2023</t>
        </is>
      </c>
      <c r="B742" s="1" t="n">
        <v>45112</v>
      </c>
      <c r="C742" s="1" t="n">
        <v>45877</v>
      </c>
      <c r="D742" t="inlineStr">
        <is>
          <t>DALARNAS LÄN</t>
        </is>
      </c>
      <c r="E742" t="inlineStr">
        <is>
          <t>RÄTTVIK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32857-2023</t>
        </is>
      </c>
      <c r="B743" s="1" t="n">
        <v>45112</v>
      </c>
      <c r="C743" s="1" t="n">
        <v>45877</v>
      </c>
      <c r="D743" t="inlineStr">
        <is>
          <t>DALARNAS LÄN</t>
        </is>
      </c>
      <c r="E743" t="inlineStr">
        <is>
          <t>RÄTTVIK</t>
        </is>
      </c>
      <c r="F743" t="inlineStr">
        <is>
          <t>Allmännings- och besparingsskogar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32859-2023</t>
        </is>
      </c>
      <c r="B744" s="1" t="n">
        <v>45112</v>
      </c>
      <c r="C744" s="1" t="n">
        <v>45877</v>
      </c>
      <c r="D744" t="inlineStr">
        <is>
          <t>DALARNAS LÄN</t>
        </is>
      </c>
      <c r="E744" t="inlineStr">
        <is>
          <t>RÄTTVIK</t>
        </is>
      </c>
      <c r="F744" t="inlineStr">
        <is>
          <t>Allmännings- och besparingsskogar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32862-2023</t>
        </is>
      </c>
      <c r="B745" s="1" t="n">
        <v>45112</v>
      </c>
      <c r="C745" s="1" t="n">
        <v>45877</v>
      </c>
      <c r="D745" t="inlineStr">
        <is>
          <t>DALARNAS LÄN</t>
        </is>
      </c>
      <c r="E745" t="inlineStr">
        <is>
          <t>RÄTTVIK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33221-2023</t>
        </is>
      </c>
      <c r="B746" s="1" t="n">
        <v>45114</v>
      </c>
      <c r="C746" s="1" t="n">
        <v>45877</v>
      </c>
      <c r="D746" t="inlineStr">
        <is>
          <t>DALARNAS LÄN</t>
        </is>
      </c>
      <c r="E746" t="inlineStr">
        <is>
          <t>RÄTTVIK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33228-2023</t>
        </is>
      </c>
      <c r="B747" s="1" t="n">
        <v>45114</v>
      </c>
      <c r="C747" s="1" t="n">
        <v>45877</v>
      </c>
      <c r="D747" t="inlineStr">
        <is>
          <t>DALARNAS LÄN</t>
        </is>
      </c>
      <c r="E747" t="inlineStr">
        <is>
          <t>RÄTTVIK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32012-2023</t>
        </is>
      </c>
      <c r="B748" s="1" t="n">
        <v>45119</v>
      </c>
      <c r="C748" s="1" t="n">
        <v>45877</v>
      </c>
      <c r="D748" t="inlineStr">
        <is>
          <t>DALARNAS LÄN</t>
        </is>
      </c>
      <c r="E748" t="inlineStr">
        <is>
          <t>RÄTTVIK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32824-2023</t>
        </is>
      </c>
      <c r="B749" s="1" t="n">
        <v>45124</v>
      </c>
      <c r="C749" s="1" t="n">
        <v>45877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32894-2023</t>
        </is>
      </c>
      <c r="B750" s="1" t="n">
        <v>45124</v>
      </c>
      <c r="C750" s="1" t="n">
        <v>45877</v>
      </c>
      <c r="D750" t="inlineStr">
        <is>
          <t>DALARNAS LÄN</t>
        </is>
      </c>
      <c r="E750" t="inlineStr">
        <is>
          <t>RÄTTVIK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33512-2023</t>
        </is>
      </c>
      <c r="B751" s="1" t="n">
        <v>45131</v>
      </c>
      <c r="C751" s="1" t="n">
        <v>45877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33580-2023</t>
        </is>
      </c>
      <c r="B752" s="1" t="n">
        <v>45131</v>
      </c>
      <c r="C752" s="1" t="n">
        <v>45877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33619-2023</t>
        </is>
      </c>
      <c r="B753" s="1" t="n">
        <v>45132</v>
      </c>
      <c r="C753" s="1" t="n">
        <v>45877</v>
      </c>
      <c r="D753" t="inlineStr">
        <is>
          <t>DALARNAS LÄN</t>
        </is>
      </c>
      <c r="E753" t="inlineStr">
        <is>
          <t>RÄTTVIK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33643-2023</t>
        </is>
      </c>
      <c r="B754" s="1" t="n">
        <v>45132</v>
      </c>
      <c r="C754" s="1" t="n">
        <v>45877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34221-2023</t>
        </is>
      </c>
      <c r="B755" s="1" t="n">
        <v>45138</v>
      </c>
      <c r="C755" s="1" t="n">
        <v>45877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46.6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34203-2023</t>
        </is>
      </c>
      <c r="B756" s="1" t="n">
        <v>45138</v>
      </c>
      <c r="C756" s="1" t="n">
        <v>45877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34342-2023</t>
        </is>
      </c>
      <c r="B757" s="1" t="n">
        <v>45139</v>
      </c>
      <c r="C757" s="1" t="n">
        <v>45877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34630-2023</t>
        </is>
      </c>
      <c r="B758" s="1" t="n">
        <v>45139</v>
      </c>
      <c r="C758" s="1" t="n">
        <v>45877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34609-2023</t>
        </is>
      </c>
      <c r="B759" s="1" t="n">
        <v>45140</v>
      </c>
      <c r="C759" s="1" t="n">
        <v>45877</v>
      </c>
      <c r="D759" t="inlineStr">
        <is>
          <t>DALARNAS LÄN</t>
        </is>
      </c>
      <c r="E759" t="inlineStr">
        <is>
          <t>RÄTTVIK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35121-2023</t>
        </is>
      </c>
      <c r="B760" s="1" t="n">
        <v>45145</v>
      </c>
      <c r="C760" s="1" t="n">
        <v>45877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36040-2023</t>
        </is>
      </c>
      <c r="B761" s="1" t="n">
        <v>45148</v>
      </c>
      <c r="C761" s="1" t="n">
        <v>45877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36273-2023</t>
        </is>
      </c>
      <c r="B762" s="1" t="n">
        <v>45152</v>
      </c>
      <c r="C762" s="1" t="n">
        <v>45877</v>
      </c>
      <c r="D762" t="inlineStr">
        <is>
          <t>DALARNAS LÄN</t>
        </is>
      </c>
      <c r="E762" t="inlineStr">
        <is>
          <t>RÄTTVIK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36449-2023</t>
        </is>
      </c>
      <c r="B763" s="1" t="n">
        <v>45152</v>
      </c>
      <c r="C763" s="1" t="n">
        <v>45877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36451-2023</t>
        </is>
      </c>
      <c r="B764" s="1" t="n">
        <v>45152</v>
      </c>
      <c r="C764" s="1" t="n">
        <v>45877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36887-2023</t>
        </is>
      </c>
      <c r="B765" s="1" t="n">
        <v>45154</v>
      </c>
      <c r="C765" s="1" t="n">
        <v>45877</v>
      </c>
      <c r="D765" t="inlineStr">
        <is>
          <t>DALARNAS LÄN</t>
        </is>
      </c>
      <c r="E765" t="inlineStr">
        <is>
          <t>RÄTTVIK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37328-2023</t>
        </is>
      </c>
      <c r="B766" s="1" t="n">
        <v>45155</v>
      </c>
      <c r="C766" s="1" t="n">
        <v>45877</v>
      </c>
      <c r="D766" t="inlineStr">
        <is>
          <t>DALARNAS LÄN</t>
        </is>
      </c>
      <c r="E766" t="inlineStr">
        <is>
          <t>RÄTTVIK</t>
        </is>
      </c>
      <c r="G766" t="n">
        <v>10.4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37659-2023</t>
        </is>
      </c>
      <c r="B767" s="1" t="n">
        <v>45159</v>
      </c>
      <c r="C767" s="1" t="n">
        <v>45877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38065-2023</t>
        </is>
      </c>
      <c r="B768" s="1" t="n">
        <v>45159</v>
      </c>
      <c r="C768" s="1" t="n">
        <v>45877</v>
      </c>
      <c r="D768" t="inlineStr">
        <is>
          <t>DALARNAS LÄN</t>
        </is>
      </c>
      <c r="E768" t="inlineStr">
        <is>
          <t>RÄTTVIK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37839-2023</t>
        </is>
      </c>
      <c r="B769" s="1" t="n">
        <v>45160</v>
      </c>
      <c r="C769" s="1" t="n">
        <v>45877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37851-2023</t>
        </is>
      </c>
      <c r="B770" s="1" t="n">
        <v>45160</v>
      </c>
      <c r="C770" s="1" t="n">
        <v>45877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38143-2023</t>
        </is>
      </c>
      <c r="B771" s="1" t="n">
        <v>45161</v>
      </c>
      <c r="C771" s="1" t="n">
        <v>45877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38737-2023</t>
        </is>
      </c>
      <c r="B772" s="1" t="n">
        <v>45161</v>
      </c>
      <c r="C772" s="1" t="n">
        <v>45877</v>
      </c>
      <c r="D772" t="inlineStr">
        <is>
          <t>DALARNAS LÄN</t>
        </is>
      </c>
      <c r="E772" t="inlineStr">
        <is>
          <t>RÄTTVIK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39249-2023</t>
        </is>
      </c>
      <c r="B773" s="1" t="n">
        <v>45166</v>
      </c>
      <c r="C773" s="1" t="n">
        <v>45877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40021-2023</t>
        </is>
      </c>
      <c r="B774" s="1" t="n">
        <v>45167</v>
      </c>
      <c r="C774" s="1" t="n">
        <v>45877</v>
      </c>
      <c r="D774" t="inlineStr">
        <is>
          <t>DALARNAS LÄN</t>
        </is>
      </c>
      <c r="E774" t="inlineStr">
        <is>
          <t>RÄTTVIK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40344-2023</t>
        </is>
      </c>
      <c r="B775" s="1" t="n">
        <v>45168</v>
      </c>
      <c r="C775" s="1" t="n">
        <v>45877</v>
      </c>
      <c r="D775" t="inlineStr">
        <is>
          <t>DALARNAS LÄN</t>
        </is>
      </c>
      <c r="E775" t="inlineStr">
        <is>
          <t>RÄTTVIK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40337-2023</t>
        </is>
      </c>
      <c r="B776" s="1" t="n">
        <v>45168</v>
      </c>
      <c r="C776" s="1" t="n">
        <v>45877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40313-2023</t>
        </is>
      </c>
      <c r="B777" s="1" t="n">
        <v>45168</v>
      </c>
      <c r="C777" s="1" t="n">
        <v>45877</v>
      </c>
      <c r="D777" t="inlineStr">
        <is>
          <t>DALARNAS LÄN</t>
        </is>
      </c>
      <c r="E777" t="inlineStr">
        <is>
          <t>RÄTTVIK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41052-2023</t>
        </is>
      </c>
      <c r="B778" s="1" t="n">
        <v>45173</v>
      </c>
      <c r="C778" s="1" t="n">
        <v>45877</v>
      </c>
      <c r="D778" t="inlineStr">
        <is>
          <t>DALARNAS LÄN</t>
        </is>
      </c>
      <c r="E778" t="inlineStr">
        <is>
          <t>RÄTTVIK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41584-2023</t>
        </is>
      </c>
      <c r="B779" s="1" t="n">
        <v>45173</v>
      </c>
      <c r="C779" s="1" t="n">
        <v>45877</v>
      </c>
      <c r="D779" t="inlineStr">
        <is>
          <t>DALARNAS LÄN</t>
        </is>
      </c>
      <c r="E779" t="inlineStr">
        <is>
          <t>RÄTTVIK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41046-2023</t>
        </is>
      </c>
      <c r="B780" s="1" t="n">
        <v>45173</v>
      </c>
      <c r="C780" s="1" t="n">
        <v>45877</v>
      </c>
      <c r="D780" t="inlineStr">
        <is>
          <t>DALARNAS LÄN</t>
        </is>
      </c>
      <c r="E780" t="inlineStr">
        <is>
          <t>RÄTTVIK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41295-2023</t>
        </is>
      </c>
      <c r="B781" s="1" t="n">
        <v>45174</v>
      </c>
      <c r="C781" s="1" t="n">
        <v>45877</v>
      </c>
      <c r="D781" t="inlineStr">
        <is>
          <t>DALARNAS LÄN</t>
        </is>
      </c>
      <c r="E781" t="inlineStr">
        <is>
          <t>RÄTTVIK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41624-2023</t>
        </is>
      </c>
      <c r="B782" s="1" t="n">
        <v>45175</v>
      </c>
      <c r="C782" s="1" t="n">
        <v>45877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41542-2023</t>
        </is>
      </c>
      <c r="B783" s="1" t="n">
        <v>45175</v>
      </c>
      <c r="C783" s="1" t="n">
        <v>45877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41682-2023</t>
        </is>
      </c>
      <c r="B784" s="1" t="n">
        <v>45176</v>
      </c>
      <c r="C784" s="1" t="n">
        <v>45877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41676-2023</t>
        </is>
      </c>
      <c r="B785" s="1" t="n">
        <v>45176</v>
      </c>
      <c r="C785" s="1" t="n">
        <v>45877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41731-2023</t>
        </is>
      </c>
      <c r="B786" s="1" t="n">
        <v>45176</v>
      </c>
      <c r="C786" s="1" t="n">
        <v>45877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41734-2023</t>
        </is>
      </c>
      <c r="B787" s="1" t="n">
        <v>45176</v>
      </c>
      <c r="C787" s="1" t="n">
        <v>45877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41869-2023</t>
        </is>
      </c>
      <c r="B788" s="1" t="n">
        <v>45176</v>
      </c>
      <c r="C788" s="1" t="n">
        <v>45877</v>
      </c>
      <c r="D788" t="inlineStr">
        <is>
          <t>DALARNAS LÄN</t>
        </is>
      </c>
      <c r="E788" t="inlineStr">
        <is>
          <t>RÄTTVIK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42530-2023</t>
        </is>
      </c>
      <c r="B789" s="1" t="n">
        <v>45176</v>
      </c>
      <c r="C789" s="1" t="n">
        <v>45877</v>
      </c>
      <c r="D789" t="inlineStr">
        <is>
          <t>DALARNAS LÄN</t>
        </is>
      </c>
      <c r="E789" t="inlineStr">
        <is>
          <t>RÄTTVIK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42674-2023</t>
        </is>
      </c>
      <c r="B790" s="1" t="n">
        <v>45176</v>
      </c>
      <c r="C790" s="1" t="n">
        <v>45877</v>
      </c>
      <c r="D790" t="inlineStr">
        <is>
          <t>DALARNAS LÄN</t>
        </is>
      </c>
      <c r="E790" t="inlineStr">
        <is>
          <t>RÄTTVIK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42478-2023</t>
        </is>
      </c>
      <c r="B791" s="1" t="n">
        <v>45180</v>
      </c>
      <c r="C791" s="1" t="n">
        <v>45877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42412-2023</t>
        </is>
      </c>
      <c r="B792" s="1" t="n">
        <v>45180</v>
      </c>
      <c r="C792" s="1" t="n">
        <v>45877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43548-2023</t>
        </is>
      </c>
      <c r="B793" s="1" t="n">
        <v>45181</v>
      </c>
      <c r="C793" s="1" t="n">
        <v>45877</v>
      </c>
      <c r="D793" t="inlineStr">
        <is>
          <t>DALARNAS LÄN</t>
        </is>
      </c>
      <c r="E793" t="inlineStr">
        <is>
          <t>RÄTTVIK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43569-2023</t>
        </is>
      </c>
      <c r="B794" s="1" t="n">
        <v>45181</v>
      </c>
      <c r="C794" s="1" t="n">
        <v>45877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43592-2023</t>
        </is>
      </c>
      <c r="B795" s="1" t="n">
        <v>45181</v>
      </c>
      <c r="C795" s="1" t="n">
        <v>45877</v>
      </c>
      <c r="D795" t="inlineStr">
        <is>
          <t>DALARNAS LÄN</t>
        </is>
      </c>
      <c r="E795" t="inlineStr">
        <is>
          <t>RÄTTVIK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42616-2023</t>
        </is>
      </c>
      <c r="B796" s="1" t="n">
        <v>45181</v>
      </c>
      <c r="C796" s="1" t="n">
        <v>45877</v>
      </c>
      <c r="D796" t="inlineStr">
        <is>
          <t>DALARNAS LÄN</t>
        </is>
      </c>
      <c r="E796" t="inlineStr">
        <is>
          <t>RÄTTVIK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44017-2023</t>
        </is>
      </c>
      <c r="B797" s="1" t="n">
        <v>45182</v>
      </c>
      <c r="C797" s="1" t="n">
        <v>45877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44015-2023</t>
        </is>
      </c>
      <c r="B798" s="1" t="n">
        <v>45182</v>
      </c>
      <c r="C798" s="1" t="n">
        <v>45877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44021-2023</t>
        </is>
      </c>
      <c r="B799" s="1" t="n">
        <v>45182</v>
      </c>
      <c r="C799" s="1" t="n">
        <v>45877</v>
      </c>
      <c r="D799" t="inlineStr">
        <is>
          <t>DALARNAS LÄN</t>
        </is>
      </c>
      <c r="E799" t="inlineStr">
        <is>
          <t>RÄTTVIK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43313-2023</t>
        </is>
      </c>
      <c r="B800" s="1" t="n">
        <v>45183</v>
      </c>
      <c r="C800" s="1" t="n">
        <v>45877</v>
      </c>
      <c r="D800" t="inlineStr">
        <is>
          <t>DALARNAS LÄN</t>
        </is>
      </c>
      <c r="E800" t="inlineStr">
        <is>
          <t>RÄTTVIK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44493-2023</t>
        </is>
      </c>
      <c r="B801" s="1" t="n">
        <v>45183</v>
      </c>
      <c r="C801" s="1" t="n">
        <v>45877</v>
      </c>
      <c r="D801" t="inlineStr">
        <is>
          <t>DALARNAS LÄN</t>
        </is>
      </c>
      <c r="E801" t="inlineStr">
        <is>
          <t>RÄTTVIK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44501-2023</t>
        </is>
      </c>
      <c r="B802" s="1" t="n">
        <v>45183</v>
      </c>
      <c r="C802" s="1" t="n">
        <v>45877</v>
      </c>
      <c r="D802" t="inlineStr">
        <is>
          <t>DALARNAS LÄN</t>
        </is>
      </c>
      <c r="E802" t="inlineStr">
        <is>
          <t>RÄTTVIK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43729-2023</t>
        </is>
      </c>
      <c r="B803" s="1" t="n">
        <v>45187</v>
      </c>
      <c r="C803" s="1" t="n">
        <v>45877</v>
      </c>
      <c r="D803" t="inlineStr">
        <is>
          <t>DALARNAS LÄN</t>
        </is>
      </c>
      <c r="E803" t="inlineStr">
        <is>
          <t>RÄTTVIK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43830-2023</t>
        </is>
      </c>
      <c r="B804" s="1" t="n">
        <v>45187</v>
      </c>
      <c r="C804" s="1" t="n">
        <v>45877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44244-2023</t>
        </is>
      </c>
      <c r="B805" s="1" t="n">
        <v>45188</v>
      </c>
      <c r="C805" s="1" t="n">
        <v>45877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44248-2023</t>
        </is>
      </c>
      <c r="B806" s="1" t="n">
        <v>45188</v>
      </c>
      <c r="C806" s="1" t="n">
        <v>45877</v>
      </c>
      <c r="D806" t="inlineStr">
        <is>
          <t>DALARNAS LÄN</t>
        </is>
      </c>
      <c r="E806" t="inlineStr">
        <is>
          <t>RÄTTVIK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45554-2023</t>
        </is>
      </c>
      <c r="B807" s="1" t="n">
        <v>45188</v>
      </c>
      <c r="C807" s="1" t="n">
        <v>45877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45621-2023</t>
        </is>
      </c>
      <c r="B808" s="1" t="n">
        <v>45188</v>
      </c>
      <c r="C808" s="1" t="n">
        <v>45877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44733-2023</t>
        </is>
      </c>
      <c r="B809" s="1" t="n">
        <v>45190</v>
      </c>
      <c r="C809" s="1" t="n">
        <v>45877</v>
      </c>
      <c r="D809" t="inlineStr">
        <is>
          <t>DALARNAS LÄN</t>
        </is>
      </c>
      <c r="E809" t="inlineStr">
        <is>
          <t>RÄTTVIK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44731-2023</t>
        </is>
      </c>
      <c r="B810" s="1" t="n">
        <v>45190</v>
      </c>
      <c r="C810" s="1" t="n">
        <v>45877</v>
      </c>
      <c r="D810" t="inlineStr">
        <is>
          <t>DALARNAS LÄN</t>
        </is>
      </c>
      <c r="E810" t="inlineStr">
        <is>
          <t>RÄTTVIK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45422-2023</t>
        </is>
      </c>
      <c r="B811" s="1" t="n">
        <v>45194</v>
      </c>
      <c r="C811" s="1" t="n">
        <v>45877</v>
      </c>
      <c r="D811" t="inlineStr">
        <is>
          <t>DALARNAS LÄN</t>
        </is>
      </c>
      <c r="E811" t="inlineStr">
        <is>
          <t>RÄTTVIK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45493-2023</t>
        </is>
      </c>
      <c r="B812" s="1" t="n">
        <v>45194</v>
      </c>
      <c r="C812" s="1" t="n">
        <v>45877</v>
      </c>
      <c r="D812" t="inlineStr">
        <is>
          <t>DALARNAS LÄN</t>
        </is>
      </c>
      <c r="E812" t="inlineStr">
        <is>
          <t>RÄTTVIK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45505-2023</t>
        </is>
      </c>
      <c r="B813" s="1" t="n">
        <v>45194</v>
      </c>
      <c r="C813" s="1" t="n">
        <v>45877</v>
      </c>
      <c r="D813" t="inlineStr">
        <is>
          <t>DALARNAS LÄN</t>
        </is>
      </c>
      <c r="E813" t="inlineStr">
        <is>
          <t>RÄTTVIK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45534-2023</t>
        </is>
      </c>
      <c r="B814" s="1" t="n">
        <v>45194</v>
      </c>
      <c r="C814" s="1" t="n">
        <v>45877</v>
      </c>
      <c r="D814" t="inlineStr">
        <is>
          <t>DALARNAS LÄN</t>
        </is>
      </c>
      <c r="E814" t="inlineStr">
        <is>
          <t>RÄTTVIK</t>
        </is>
      </c>
      <c r="G814" t="n">
        <v>19.6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45425-2023</t>
        </is>
      </c>
      <c r="B815" s="1" t="n">
        <v>45194</v>
      </c>
      <c r="C815" s="1" t="n">
        <v>45877</v>
      </c>
      <c r="D815" t="inlineStr">
        <is>
          <t>DALARNAS LÄN</t>
        </is>
      </c>
      <c r="E815" t="inlineStr">
        <is>
          <t>RÄTTVIK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45500-2023</t>
        </is>
      </c>
      <c r="B816" s="1" t="n">
        <v>45194</v>
      </c>
      <c r="C816" s="1" t="n">
        <v>45877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46701-2023</t>
        </is>
      </c>
      <c r="B817" s="1" t="n">
        <v>45194</v>
      </c>
      <c r="C817" s="1" t="n">
        <v>45877</v>
      </c>
      <c r="D817" t="inlineStr">
        <is>
          <t>DALARNAS LÄN</t>
        </is>
      </c>
      <c r="E817" t="inlineStr">
        <is>
          <t>RÄTTVIK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46672-2023</t>
        </is>
      </c>
      <c r="B818" s="1" t="n">
        <v>45194</v>
      </c>
      <c r="C818" s="1" t="n">
        <v>45877</v>
      </c>
      <c r="D818" t="inlineStr">
        <is>
          <t>DALARNAS LÄN</t>
        </is>
      </c>
      <c r="E818" t="inlineStr">
        <is>
          <t>RÄTTVIK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46707-2023</t>
        </is>
      </c>
      <c r="B819" s="1" t="n">
        <v>45194</v>
      </c>
      <c r="C819" s="1" t="n">
        <v>45877</v>
      </c>
      <c r="D819" t="inlineStr">
        <is>
          <t>DALARNAS LÄN</t>
        </is>
      </c>
      <c r="E819" t="inlineStr">
        <is>
          <t>RÄTTVIK</t>
        </is>
      </c>
      <c r="F819" t="inlineStr">
        <is>
          <t>Allmännings- och besparingsskogar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46703-2023</t>
        </is>
      </c>
      <c r="B820" s="1" t="n">
        <v>45194</v>
      </c>
      <c r="C820" s="1" t="n">
        <v>45877</v>
      </c>
      <c r="D820" t="inlineStr">
        <is>
          <t>DALARNAS LÄN</t>
        </is>
      </c>
      <c r="E820" t="inlineStr">
        <is>
          <t>RÄTTVIK</t>
        </is>
      </c>
      <c r="F820" t="inlineStr">
        <is>
          <t>Allmännings- och besparingsskogar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45798-2023</t>
        </is>
      </c>
      <c r="B821" s="1" t="n">
        <v>45195</v>
      </c>
      <c r="C821" s="1" t="n">
        <v>45877</v>
      </c>
      <c r="D821" t="inlineStr">
        <is>
          <t>DALARNAS LÄN</t>
        </is>
      </c>
      <c r="E821" t="inlineStr">
        <is>
          <t>RÄTTVIK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46721-2023</t>
        </is>
      </c>
      <c r="B822" s="1" t="n">
        <v>45198</v>
      </c>
      <c r="C822" s="1" t="n">
        <v>45877</v>
      </c>
      <c r="D822" t="inlineStr">
        <is>
          <t>DALARNAS LÄN</t>
        </is>
      </c>
      <c r="E822" t="inlineStr">
        <is>
          <t>RÄTTVIK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46751-2023</t>
        </is>
      </c>
      <c r="B823" s="1" t="n">
        <v>45198</v>
      </c>
      <c r="C823" s="1" t="n">
        <v>45877</v>
      </c>
      <c r="D823" t="inlineStr">
        <is>
          <t>DALARNAS LÄN</t>
        </is>
      </c>
      <c r="E823" t="inlineStr">
        <is>
          <t>RÄTTVIK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46905-2023</t>
        </is>
      </c>
      <c r="B824" s="1" t="n">
        <v>45201</v>
      </c>
      <c r="C824" s="1" t="n">
        <v>45877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46948-2023</t>
        </is>
      </c>
      <c r="B825" s="1" t="n">
        <v>45201</v>
      </c>
      <c r="C825" s="1" t="n">
        <v>45877</v>
      </c>
      <c r="D825" t="inlineStr">
        <is>
          <t>DALARNAS LÄN</t>
        </is>
      </c>
      <c r="E825" t="inlineStr">
        <is>
          <t>RÄTTVIK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46940-2023</t>
        </is>
      </c>
      <c r="B826" s="1" t="n">
        <v>45201</v>
      </c>
      <c r="C826" s="1" t="n">
        <v>45877</v>
      </c>
      <c r="D826" t="inlineStr">
        <is>
          <t>DALARNAS LÄN</t>
        </is>
      </c>
      <c r="E826" t="inlineStr">
        <is>
          <t>RÄTTVIK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46943-2023</t>
        </is>
      </c>
      <c r="B827" s="1" t="n">
        <v>45201</v>
      </c>
      <c r="C827" s="1" t="n">
        <v>45877</v>
      </c>
      <c r="D827" t="inlineStr">
        <is>
          <t>DALARNAS LÄN</t>
        </is>
      </c>
      <c r="E827" t="inlineStr">
        <is>
          <t>RÄTTVIK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48634-2023</t>
        </is>
      </c>
      <c r="B828" s="1" t="n">
        <v>45202</v>
      </c>
      <c r="C828" s="1" t="n">
        <v>45877</v>
      </c>
      <c r="D828" t="inlineStr">
        <is>
          <t>DALARNAS LÄN</t>
        </is>
      </c>
      <c r="E828" t="inlineStr">
        <is>
          <t>RÄTTVIK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47645-2023</t>
        </is>
      </c>
      <c r="B829" s="1" t="n">
        <v>45203</v>
      </c>
      <c r="C829" s="1" t="n">
        <v>45877</v>
      </c>
      <c r="D829" t="inlineStr">
        <is>
          <t>DALARNAS LÄN</t>
        </is>
      </c>
      <c r="E829" t="inlineStr">
        <is>
          <t>RÄTTVIK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47721-2023</t>
        </is>
      </c>
      <c r="B830" s="1" t="n">
        <v>45203</v>
      </c>
      <c r="C830" s="1" t="n">
        <v>45877</v>
      </c>
      <c r="D830" t="inlineStr">
        <is>
          <t>DALARNAS LÄN</t>
        </is>
      </c>
      <c r="E830" t="inlineStr">
        <is>
          <t>RÄTTVIK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47821-2023</t>
        </is>
      </c>
      <c r="B831" s="1" t="n">
        <v>45204</v>
      </c>
      <c r="C831" s="1" t="n">
        <v>45877</v>
      </c>
      <c r="D831" t="inlineStr">
        <is>
          <t>DALARNAS LÄN</t>
        </is>
      </c>
      <c r="E831" t="inlineStr">
        <is>
          <t>RÄTTVIK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47825-2023</t>
        </is>
      </c>
      <c r="B832" s="1" t="n">
        <v>45204</v>
      </c>
      <c r="C832" s="1" t="n">
        <v>45877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47830-2023</t>
        </is>
      </c>
      <c r="B833" s="1" t="n">
        <v>45204</v>
      </c>
      <c r="C833" s="1" t="n">
        <v>45877</v>
      </c>
      <c r="D833" t="inlineStr">
        <is>
          <t>DALARNAS LÄN</t>
        </is>
      </c>
      <c r="E833" t="inlineStr">
        <is>
          <t>RÄTTVIK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47819-2023</t>
        </is>
      </c>
      <c r="B834" s="1" t="n">
        <v>45204</v>
      </c>
      <c r="C834" s="1" t="n">
        <v>45877</v>
      </c>
      <c r="D834" t="inlineStr">
        <is>
          <t>DALARNAS LÄN</t>
        </is>
      </c>
      <c r="E834" t="inlineStr">
        <is>
          <t>RÄTTVIK</t>
        </is>
      </c>
      <c r="F834" t="inlineStr">
        <is>
          <t>Övriga statliga verk och myndigheter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47817-2023</t>
        </is>
      </c>
      <c r="B835" s="1" t="n">
        <v>45204</v>
      </c>
      <c r="C835" s="1" t="n">
        <v>45877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48290-2023</t>
        </is>
      </c>
      <c r="B836" s="1" t="n">
        <v>45205</v>
      </c>
      <c r="C836" s="1" t="n">
        <v>45877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48545-2023</t>
        </is>
      </c>
      <c r="B837" s="1" t="n">
        <v>45208</v>
      </c>
      <c r="C837" s="1" t="n">
        <v>45877</v>
      </c>
      <c r="D837" t="inlineStr">
        <is>
          <t>DALARNAS LÄN</t>
        </is>
      </c>
      <c r="E837" t="inlineStr">
        <is>
          <t>RÄTTVIK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48947-2023</t>
        </is>
      </c>
      <c r="B838" s="1" t="n">
        <v>45209</v>
      </c>
      <c r="C838" s="1" t="n">
        <v>45877</v>
      </c>
      <c r="D838" t="inlineStr">
        <is>
          <t>DALARNAS LÄN</t>
        </is>
      </c>
      <c r="E838" t="inlineStr">
        <is>
          <t>RÄTTVIK</t>
        </is>
      </c>
      <c r="F838" t="inlineStr">
        <is>
          <t>Sveaskog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48953-2023</t>
        </is>
      </c>
      <c r="B839" s="1" t="n">
        <v>45209</v>
      </c>
      <c r="C839" s="1" t="n">
        <v>45877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49195-2023</t>
        </is>
      </c>
      <c r="B840" s="1" t="n">
        <v>45210</v>
      </c>
      <c r="C840" s="1" t="n">
        <v>45877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49240-2023</t>
        </is>
      </c>
      <c r="B841" s="1" t="n">
        <v>45210</v>
      </c>
      <c r="C841" s="1" t="n">
        <v>45877</v>
      </c>
      <c r="D841" t="inlineStr">
        <is>
          <t>DALARNAS LÄN</t>
        </is>
      </c>
      <c r="E841" t="inlineStr">
        <is>
          <t>RÄTTVIK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49221-2023</t>
        </is>
      </c>
      <c r="B842" s="1" t="n">
        <v>45210</v>
      </c>
      <c r="C842" s="1" t="n">
        <v>45877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49365-2023</t>
        </is>
      </c>
      <c r="B843" s="1" t="n">
        <v>45211</v>
      </c>
      <c r="C843" s="1" t="n">
        <v>45877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49593-2023</t>
        </is>
      </c>
      <c r="B844" s="1" t="n">
        <v>45211</v>
      </c>
      <c r="C844" s="1" t="n">
        <v>45877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22.1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49970-2023</t>
        </is>
      </c>
      <c r="B845" s="1" t="n">
        <v>45215</v>
      </c>
      <c r="C845" s="1" t="n">
        <v>45877</v>
      </c>
      <c r="D845" t="inlineStr">
        <is>
          <t>DALARNAS LÄN</t>
        </is>
      </c>
      <c r="E845" t="inlineStr">
        <is>
          <t>RÄTTVIK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49944-2023</t>
        </is>
      </c>
      <c r="B846" s="1" t="n">
        <v>45215</v>
      </c>
      <c r="C846" s="1" t="n">
        <v>45877</v>
      </c>
      <c r="D846" t="inlineStr">
        <is>
          <t>DALARNAS LÄN</t>
        </is>
      </c>
      <c r="E846" t="inlineStr">
        <is>
          <t>RÄTTVIK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50315-2023</t>
        </is>
      </c>
      <c r="B847" s="1" t="n">
        <v>45216</v>
      </c>
      <c r="C847" s="1" t="n">
        <v>45877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50528-2023</t>
        </is>
      </c>
      <c r="B848" s="1" t="n">
        <v>45217</v>
      </c>
      <c r="C848" s="1" t="n">
        <v>45877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50532-2023</t>
        </is>
      </c>
      <c r="B849" s="1" t="n">
        <v>45217</v>
      </c>
      <c r="C849" s="1" t="n">
        <v>45877</v>
      </c>
      <c r="D849" t="inlineStr">
        <is>
          <t>DALARNAS LÄN</t>
        </is>
      </c>
      <c r="E849" t="inlineStr">
        <is>
          <t>RÄTTVIK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50525-2023</t>
        </is>
      </c>
      <c r="B850" s="1" t="n">
        <v>45217</v>
      </c>
      <c r="C850" s="1" t="n">
        <v>45877</v>
      </c>
      <c r="D850" t="inlineStr">
        <is>
          <t>DALARNAS LÄN</t>
        </is>
      </c>
      <c r="E850" t="inlineStr">
        <is>
          <t>RÄTTVIK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50695-2023</t>
        </is>
      </c>
      <c r="B851" s="1" t="n">
        <v>45217</v>
      </c>
      <c r="C851" s="1" t="n">
        <v>45877</v>
      </c>
      <c r="D851" t="inlineStr">
        <is>
          <t>DALARNAS LÄN</t>
        </is>
      </c>
      <c r="E851" t="inlineStr">
        <is>
          <t>RÄTTVIK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51641-2023</t>
        </is>
      </c>
      <c r="B852" s="1" t="n">
        <v>45222</v>
      </c>
      <c r="C852" s="1" t="n">
        <v>45877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53261-2023</t>
        </is>
      </c>
      <c r="B853" s="1" t="n">
        <v>45222</v>
      </c>
      <c r="C853" s="1" t="n">
        <v>45877</v>
      </c>
      <c r="D853" t="inlineStr">
        <is>
          <t>DALARNAS LÄN</t>
        </is>
      </c>
      <c r="E853" t="inlineStr">
        <is>
          <t>RÄTTVIK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51925-2023</t>
        </is>
      </c>
      <c r="B854" s="1" t="n">
        <v>45223</v>
      </c>
      <c r="C854" s="1" t="n">
        <v>45877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51872-2023</t>
        </is>
      </c>
      <c r="B855" s="1" t="n">
        <v>45223</v>
      </c>
      <c r="C855" s="1" t="n">
        <v>45877</v>
      </c>
      <c r="D855" t="inlineStr">
        <is>
          <t>DALARNAS LÄN</t>
        </is>
      </c>
      <c r="E855" t="inlineStr">
        <is>
          <t>RÄTTVIK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52437-2023</t>
        </is>
      </c>
      <c r="B856" s="1" t="n">
        <v>45225</v>
      </c>
      <c r="C856" s="1" t="n">
        <v>45877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52464-2023</t>
        </is>
      </c>
      <c r="B857" s="1" t="n">
        <v>45225</v>
      </c>
      <c r="C857" s="1" t="n">
        <v>45877</v>
      </c>
      <c r="D857" t="inlineStr">
        <is>
          <t>DALARNAS LÄN</t>
        </is>
      </c>
      <c r="E857" t="inlineStr">
        <is>
          <t>RÄTTVIK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52593-2023</t>
        </is>
      </c>
      <c r="B858" s="1" t="n">
        <v>45225</v>
      </c>
      <c r="C858" s="1" t="n">
        <v>45877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52675-2023</t>
        </is>
      </c>
      <c r="B859" s="1" t="n">
        <v>45225</v>
      </c>
      <c r="C859" s="1" t="n">
        <v>45877</v>
      </c>
      <c r="D859" t="inlineStr">
        <is>
          <t>DALARNAS LÄN</t>
        </is>
      </c>
      <c r="E859" t="inlineStr">
        <is>
          <t>RÄTTVIK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52677-2023</t>
        </is>
      </c>
      <c r="B860" s="1" t="n">
        <v>45225</v>
      </c>
      <c r="C860" s="1" t="n">
        <v>45877</v>
      </c>
      <c r="D860" t="inlineStr">
        <is>
          <t>DALARNAS LÄN</t>
        </is>
      </c>
      <c r="E860" t="inlineStr">
        <is>
          <t>RÄTTVIK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54212-2023</t>
        </is>
      </c>
      <c r="B861" s="1" t="n">
        <v>45225</v>
      </c>
      <c r="C861" s="1" t="n">
        <v>45877</v>
      </c>
      <c r="D861" t="inlineStr">
        <is>
          <t>DALARNAS LÄN</t>
        </is>
      </c>
      <c r="E861" t="inlineStr">
        <is>
          <t>RÄTTVIK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54214-2023</t>
        </is>
      </c>
      <c r="B862" s="1" t="n">
        <v>45225</v>
      </c>
      <c r="C862" s="1" t="n">
        <v>45877</v>
      </c>
      <c r="D862" t="inlineStr">
        <is>
          <t>DALARNAS LÄN</t>
        </is>
      </c>
      <c r="E862" t="inlineStr">
        <is>
          <t>RÄTTVIK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54206-2023</t>
        </is>
      </c>
      <c r="B863" s="1" t="n">
        <v>45225</v>
      </c>
      <c r="C863" s="1" t="n">
        <v>45877</v>
      </c>
      <c r="D863" t="inlineStr">
        <is>
          <t>DALARNAS LÄN</t>
        </is>
      </c>
      <c r="E863" t="inlineStr">
        <is>
          <t>RÄTTVIK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54199-2023</t>
        </is>
      </c>
      <c r="B864" s="1" t="n">
        <v>45225</v>
      </c>
      <c r="C864" s="1" t="n">
        <v>45877</v>
      </c>
      <c r="D864" t="inlineStr">
        <is>
          <t>DALARNAS LÄN</t>
        </is>
      </c>
      <c r="E864" t="inlineStr">
        <is>
          <t>RÄTTVIK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52936-2023</t>
        </is>
      </c>
      <c r="B865" s="1" t="n">
        <v>45226</v>
      </c>
      <c r="C865" s="1" t="n">
        <v>45877</v>
      </c>
      <c r="D865" t="inlineStr">
        <is>
          <t>DALARNAS LÄN</t>
        </is>
      </c>
      <c r="E865" t="inlineStr">
        <is>
          <t>RÄTTVIK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53266-2023</t>
        </is>
      </c>
      <c r="B866" s="1" t="n">
        <v>45229</v>
      </c>
      <c r="C866" s="1" t="n">
        <v>45877</v>
      </c>
      <c r="D866" t="inlineStr">
        <is>
          <t>DALARNAS LÄN</t>
        </is>
      </c>
      <c r="E866" t="inlineStr">
        <is>
          <t>RÄTTVIK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53304-2023</t>
        </is>
      </c>
      <c r="B867" s="1" t="n">
        <v>45229</v>
      </c>
      <c r="C867" s="1" t="n">
        <v>45877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53230-2023</t>
        </is>
      </c>
      <c r="B868" s="1" t="n">
        <v>45229</v>
      </c>
      <c r="C868" s="1" t="n">
        <v>45877</v>
      </c>
      <c r="D868" t="inlineStr">
        <is>
          <t>DALARNAS LÄN</t>
        </is>
      </c>
      <c r="E868" t="inlineStr">
        <is>
          <t>RÄTTVIK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54936-2023</t>
        </is>
      </c>
      <c r="B869" s="1" t="n">
        <v>45229</v>
      </c>
      <c r="C869" s="1" t="n">
        <v>45877</v>
      </c>
      <c r="D869" t="inlineStr">
        <is>
          <t>DALARNAS LÄN</t>
        </is>
      </c>
      <c r="E869" t="inlineStr">
        <is>
          <t>RÄTTVIK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54944-2023</t>
        </is>
      </c>
      <c r="B870" s="1" t="n">
        <v>45229</v>
      </c>
      <c r="C870" s="1" t="n">
        <v>45877</v>
      </c>
      <c r="D870" t="inlineStr">
        <is>
          <t>DALARNAS LÄN</t>
        </is>
      </c>
      <c r="E870" t="inlineStr">
        <is>
          <t>RÄTTVIK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53471-2023</t>
        </is>
      </c>
      <c r="B871" s="1" t="n">
        <v>45230</v>
      </c>
      <c r="C871" s="1" t="n">
        <v>45877</v>
      </c>
      <c r="D871" t="inlineStr">
        <is>
          <t>DALARNAS LÄN</t>
        </is>
      </c>
      <c r="E871" t="inlineStr">
        <is>
          <t>RÄTTVIK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53583-2023</t>
        </is>
      </c>
      <c r="B872" s="1" t="n">
        <v>45230</v>
      </c>
      <c r="C872" s="1" t="n">
        <v>45877</v>
      </c>
      <c r="D872" t="inlineStr">
        <is>
          <t>DALARNAS LÄN</t>
        </is>
      </c>
      <c r="E872" t="inlineStr">
        <is>
          <t>RÄTTVIK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53580-2023</t>
        </is>
      </c>
      <c r="B873" s="1" t="n">
        <v>45230</v>
      </c>
      <c r="C873" s="1" t="n">
        <v>45877</v>
      </c>
      <c r="D873" t="inlineStr">
        <is>
          <t>DALARNAS LÄN</t>
        </is>
      </c>
      <c r="E873" t="inlineStr">
        <is>
          <t>RÄTTVIK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53708-2023</t>
        </is>
      </c>
      <c r="B874" s="1" t="n">
        <v>45230</v>
      </c>
      <c r="C874" s="1" t="n">
        <v>45877</v>
      </c>
      <c r="D874" t="inlineStr">
        <is>
          <t>DALARNAS LÄN</t>
        </is>
      </c>
      <c r="E874" t="inlineStr">
        <is>
          <t>RÄTTVIK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53468-2023</t>
        </is>
      </c>
      <c r="B875" s="1" t="n">
        <v>45230</v>
      </c>
      <c r="C875" s="1" t="n">
        <v>45877</v>
      </c>
      <c r="D875" t="inlineStr">
        <is>
          <t>DALARNAS LÄN</t>
        </is>
      </c>
      <c r="E875" t="inlineStr">
        <is>
          <t>RÄTTVIK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53876-2023</t>
        </is>
      </c>
      <c r="B876" s="1" t="n">
        <v>45231</v>
      </c>
      <c r="C876" s="1" t="n">
        <v>45877</v>
      </c>
      <c r="D876" t="inlineStr">
        <is>
          <t>DALARNAS LÄN</t>
        </is>
      </c>
      <c r="E876" t="inlineStr">
        <is>
          <t>RÄTTVIK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53944-2023</t>
        </is>
      </c>
      <c r="B877" s="1" t="n">
        <v>45231</v>
      </c>
      <c r="C877" s="1" t="n">
        <v>45877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53874-2023</t>
        </is>
      </c>
      <c r="B878" s="1" t="n">
        <v>45231</v>
      </c>
      <c r="C878" s="1" t="n">
        <v>45877</v>
      </c>
      <c r="D878" t="inlineStr">
        <is>
          <t>DALARNAS LÄN</t>
        </is>
      </c>
      <c r="E878" t="inlineStr">
        <is>
          <t>RÄTTVIK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55263-2023</t>
        </is>
      </c>
      <c r="B879" s="1" t="n">
        <v>45231</v>
      </c>
      <c r="C879" s="1" t="n">
        <v>45877</v>
      </c>
      <c r="D879" t="inlineStr">
        <is>
          <t>DALARNAS LÄN</t>
        </is>
      </c>
      <c r="E879" t="inlineStr">
        <is>
          <t>RÄTTVIK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53941-2023</t>
        </is>
      </c>
      <c r="B880" s="1" t="n">
        <v>45231</v>
      </c>
      <c r="C880" s="1" t="n">
        <v>45877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55258-2023</t>
        </is>
      </c>
      <c r="B881" s="1" t="n">
        <v>45231</v>
      </c>
      <c r="C881" s="1" t="n">
        <v>45877</v>
      </c>
      <c r="D881" t="inlineStr">
        <is>
          <t>DALARNAS LÄN</t>
        </is>
      </c>
      <c r="E881" t="inlineStr">
        <is>
          <t>RÄTTVIK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55270-2023</t>
        </is>
      </c>
      <c r="B882" s="1" t="n">
        <v>45231</v>
      </c>
      <c r="C882" s="1" t="n">
        <v>45877</v>
      </c>
      <c r="D882" t="inlineStr">
        <is>
          <t>DALARNAS LÄN</t>
        </is>
      </c>
      <c r="E882" t="inlineStr">
        <is>
          <t>RÄTTVIK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54180-2023</t>
        </is>
      </c>
      <c r="B883" s="1" t="n">
        <v>45232</v>
      </c>
      <c r="C883" s="1" t="n">
        <v>45877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55696-2023</t>
        </is>
      </c>
      <c r="B884" s="1" t="n">
        <v>45232</v>
      </c>
      <c r="C884" s="1" t="n">
        <v>45877</v>
      </c>
      <c r="D884" t="inlineStr">
        <is>
          <t>DALARNAS LÄN</t>
        </is>
      </c>
      <c r="E884" t="inlineStr">
        <is>
          <t>RÄTTVIK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55713-2023</t>
        </is>
      </c>
      <c r="B885" s="1" t="n">
        <v>45232</v>
      </c>
      <c r="C885" s="1" t="n">
        <v>45877</v>
      </c>
      <c r="D885" t="inlineStr">
        <is>
          <t>DALARNAS LÄN</t>
        </is>
      </c>
      <c r="E885" t="inlineStr">
        <is>
          <t>RÄTTVIK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55707-2023</t>
        </is>
      </c>
      <c r="B886" s="1" t="n">
        <v>45232</v>
      </c>
      <c r="C886" s="1" t="n">
        <v>45877</v>
      </c>
      <c r="D886" t="inlineStr">
        <is>
          <t>DALARNAS LÄN</t>
        </is>
      </c>
      <c r="E886" t="inlineStr">
        <is>
          <t>RÄTTVIK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54453-2023</t>
        </is>
      </c>
      <c r="B887" s="1" t="n">
        <v>45233</v>
      </c>
      <c r="C887" s="1" t="n">
        <v>45877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23.5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54695-2023</t>
        </is>
      </c>
      <c r="B888" s="1" t="n">
        <v>45236</v>
      </c>
      <c r="C888" s="1" t="n">
        <v>45877</v>
      </c>
      <c r="D888" t="inlineStr">
        <is>
          <t>DALARNAS LÄN</t>
        </is>
      </c>
      <c r="E888" t="inlineStr">
        <is>
          <t>RÄTTVIK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54696-2023</t>
        </is>
      </c>
      <c r="B889" s="1" t="n">
        <v>45236</v>
      </c>
      <c r="C889" s="1" t="n">
        <v>45877</v>
      </c>
      <c r="D889" t="inlineStr">
        <is>
          <t>DALARNAS LÄN</t>
        </is>
      </c>
      <c r="E889" t="inlineStr">
        <is>
          <t>RÄTTVIK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54697-2023</t>
        </is>
      </c>
      <c r="B890" s="1" t="n">
        <v>45236</v>
      </c>
      <c r="C890" s="1" t="n">
        <v>45877</v>
      </c>
      <c r="D890" t="inlineStr">
        <is>
          <t>DALARNAS LÄN</t>
        </is>
      </c>
      <c r="E890" t="inlineStr">
        <is>
          <t>RÄTTVIK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55178-2023</t>
        </is>
      </c>
      <c r="B891" s="1" t="n">
        <v>45237</v>
      </c>
      <c r="C891" s="1" t="n">
        <v>45877</v>
      </c>
      <c r="D891" t="inlineStr">
        <is>
          <t>DALARNAS LÄN</t>
        </is>
      </c>
      <c r="E891" t="inlineStr">
        <is>
          <t>RÄTTVIK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56451-2023</t>
        </is>
      </c>
      <c r="B892" s="1" t="n">
        <v>45237</v>
      </c>
      <c r="C892" s="1" t="n">
        <v>45877</v>
      </c>
      <c r="D892" t="inlineStr">
        <is>
          <t>DALARNAS LÄN</t>
        </is>
      </c>
      <c r="E892" t="inlineStr">
        <is>
          <t>RÄTTVIK</t>
        </is>
      </c>
      <c r="F892" t="inlineStr">
        <is>
          <t>Övriga statliga verk och myndigheter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55821-2023</t>
        </is>
      </c>
      <c r="B893" s="1" t="n">
        <v>45239</v>
      </c>
      <c r="C893" s="1" t="n">
        <v>45877</v>
      </c>
      <c r="D893" t="inlineStr">
        <is>
          <t>DALARNAS LÄN</t>
        </is>
      </c>
      <c r="E893" t="inlineStr">
        <is>
          <t>RÄTTVIK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55828-2023</t>
        </is>
      </c>
      <c r="B894" s="1" t="n">
        <v>45239</v>
      </c>
      <c r="C894" s="1" t="n">
        <v>45877</v>
      </c>
      <c r="D894" t="inlineStr">
        <is>
          <t>DALARNAS LÄN</t>
        </is>
      </c>
      <c r="E894" t="inlineStr">
        <is>
          <t>RÄTTVIK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56058-2023</t>
        </is>
      </c>
      <c r="B895" s="1" t="n">
        <v>45240</v>
      </c>
      <c r="C895" s="1" t="n">
        <v>45877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56438-2023</t>
        </is>
      </c>
      <c r="B896" s="1" t="n">
        <v>45243</v>
      </c>
      <c r="C896" s="1" t="n">
        <v>45877</v>
      </c>
      <c r="D896" t="inlineStr">
        <is>
          <t>DALARNAS LÄN</t>
        </is>
      </c>
      <c r="E896" t="inlineStr">
        <is>
          <t>RÄTTVIK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56340-2023</t>
        </is>
      </c>
      <c r="B897" s="1" t="n">
        <v>45243</v>
      </c>
      <c r="C897" s="1" t="n">
        <v>45877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56544-2023</t>
        </is>
      </c>
      <c r="B898" s="1" t="n">
        <v>45243</v>
      </c>
      <c r="C898" s="1" t="n">
        <v>45877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56553-2023</t>
        </is>
      </c>
      <c r="B899" s="1" t="n">
        <v>45243</v>
      </c>
      <c r="C899" s="1" t="n">
        <v>45877</v>
      </c>
      <c r="D899" t="inlineStr">
        <is>
          <t>DALARNAS LÄN</t>
        </is>
      </c>
      <c r="E899" t="inlineStr">
        <is>
          <t>RÄTTVIK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57740-2023</t>
        </is>
      </c>
      <c r="B900" s="1" t="n">
        <v>45243</v>
      </c>
      <c r="C900" s="1" t="n">
        <v>45877</v>
      </c>
      <c r="D900" t="inlineStr">
        <is>
          <t>DALARNAS LÄN</t>
        </is>
      </c>
      <c r="E900" t="inlineStr">
        <is>
          <t>RÄTTVIK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57734-2023</t>
        </is>
      </c>
      <c r="B901" s="1" t="n">
        <v>45243</v>
      </c>
      <c r="C901" s="1" t="n">
        <v>45877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56726-2023</t>
        </is>
      </c>
      <c r="B902" s="1" t="n">
        <v>45244</v>
      </c>
      <c r="C902" s="1" t="n">
        <v>45877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56844-2023</t>
        </is>
      </c>
      <c r="B903" s="1" t="n">
        <v>45244</v>
      </c>
      <c r="C903" s="1" t="n">
        <v>45877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56848-2023</t>
        </is>
      </c>
      <c r="B904" s="1" t="n">
        <v>45244</v>
      </c>
      <c r="C904" s="1" t="n">
        <v>45877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56929-2023</t>
        </is>
      </c>
      <c r="B905" s="1" t="n">
        <v>45244</v>
      </c>
      <c r="C905" s="1" t="n">
        <v>45877</v>
      </c>
      <c r="D905" t="inlineStr">
        <is>
          <t>DALARNAS LÄN</t>
        </is>
      </c>
      <c r="E905" t="inlineStr">
        <is>
          <t>RÄTTVIK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56994-2023</t>
        </is>
      </c>
      <c r="B906" s="1" t="n">
        <v>45244</v>
      </c>
      <c r="C906" s="1" t="n">
        <v>45877</v>
      </c>
      <c r="D906" t="inlineStr">
        <is>
          <t>DALARNAS LÄN</t>
        </is>
      </c>
      <c r="E906" t="inlineStr">
        <is>
          <t>RÄTTVIK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56851-2023</t>
        </is>
      </c>
      <c r="B907" s="1" t="n">
        <v>45244</v>
      </c>
      <c r="C907" s="1" t="n">
        <v>45877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56974-2023</t>
        </is>
      </c>
      <c r="B908" s="1" t="n">
        <v>45244</v>
      </c>
      <c r="C908" s="1" t="n">
        <v>45877</v>
      </c>
      <c r="D908" t="inlineStr">
        <is>
          <t>DALARNAS LÄN</t>
        </is>
      </c>
      <c r="E908" t="inlineStr">
        <is>
          <t>RÄTTVIK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57185-2023</t>
        </is>
      </c>
      <c r="B909" s="1" t="n">
        <v>45245</v>
      </c>
      <c r="C909" s="1" t="n">
        <v>45877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57205-2023</t>
        </is>
      </c>
      <c r="B910" s="1" t="n">
        <v>45245</v>
      </c>
      <c r="C910" s="1" t="n">
        <v>45877</v>
      </c>
      <c r="D910" t="inlineStr">
        <is>
          <t>DALARNAS LÄN</t>
        </is>
      </c>
      <c r="E910" t="inlineStr">
        <is>
          <t>RÄTTVIK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57210-2023</t>
        </is>
      </c>
      <c r="B911" s="1" t="n">
        <v>45245</v>
      </c>
      <c r="C911" s="1" t="n">
        <v>45877</v>
      </c>
      <c r="D911" t="inlineStr">
        <is>
          <t>DALARNAS LÄN</t>
        </is>
      </c>
      <c r="E911" t="inlineStr">
        <is>
          <t>RÄTTVIK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58219-2023</t>
        </is>
      </c>
      <c r="B912" s="1" t="n">
        <v>45245</v>
      </c>
      <c r="C912" s="1" t="n">
        <v>45877</v>
      </c>
      <c r="D912" t="inlineStr">
        <is>
          <t>DALARNAS LÄN</t>
        </is>
      </c>
      <c r="E912" t="inlineStr">
        <is>
          <t>RÄTTVIK</t>
        </is>
      </c>
      <c r="G912" t="n">
        <v>12.1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57094-2023</t>
        </is>
      </c>
      <c r="B913" s="1" t="n">
        <v>45245</v>
      </c>
      <c r="C913" s="1" t="n">
        <v>45877</v>
      </c>
      <c r="D913" t="inlineStr">
        <is>
          <t>DALARNAS LÄN</t>
        </is>
      </c>
      <c r="E913" t="inlineStr">
        <is>
          <t>RÄTTVIK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57208-2023</t>
        </is>
      </c>
      <c r="B914" s="1" t="n">
        <v>45245</v>
      </c>
      <c r="C914" s="1" t="n">
        <v>45877</v>
      </c>
      <c r="D914" t="inlineStr">
        <is>
          <t>DALARNAS LÄN</t>
        </is>
      </c>
      <c r="E914" t="inlineStr">
        <is>
          <t>RÄTTVIK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57197-2023</t>
        </is>
      </c>
      <c r="B915" s="1" t="n">
        <v>45245</v>
      </c>
      <c r="C915" s="1" t="n">
        <v>45877</v>
      </c>
      <c r="D915" t="inlineStr">
        <is>
          <t>DALARNAS LÄN</t>
        </is>
      </c>
      <c r="E915" t="inlineStr">
        <is>
          <t>RÄTTVIK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57876-2023</t>
        </is>
      </c>
      <c r="B916" s="1" t="n">
        <v>45247</v>
      </c>
      <c r="C916" s="1" t="n">
        <v>45877</v>
      </c>
      <c r="D916" t="inlineStr">
        <is>
          <t>DALARNAS LÄN</t>
        </is>
      </c>
      <c r="E916" t="inlineStr">
        <is>
          <t>RÄTTVIK</t>
        </is>
      </c>
      <c r="G916" t="n">
        <v>11.3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58038-2023</t>
        </is>
      </c>
      <c r="B917" s="1" t="n">
        <v>45247</v>
      </c>
      <c r="C917" s="1" t="n">
        <v>45877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58088-2023</t>
        </is>
      </c>
      <c r="B918" s="1" t="n">
        <v>45248</v>
      </c>
      <c r="C918" s="1" t="n">
        <v>45877</v>
      </c>
      <c r="D918" t="inlineStr">
        <is>
          <t>DALARNAS LÄN</t>
        </is>
      </c>
      <c r="E918" t="inlineStr">
        <is>
          <t>RÄTTVIK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58193-2023</t>
        </is>
      </c>
      <c r="B919" s="1" t="n">
        <v>45250</v>
      </c>
      <c r="C919" s="1" t="n">
        <v>45877</v>
      </c>
      <c r="D919" t="inlineStr">
        <is>
          <t>DALARNAS LÄN</t>
        </is>
      </c>
      <c r="E919" t="inlineStr">
        <is>
          <t>RÄTTVIK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58444-2023</t>
        </is>
      </c>
      <c r="B920" s="1" t="n">
        <v>45250</v>
      </c>
      <c r="C920" s="1" t="n">
        <v>45877</v>
      </c>
      <c r="D920" t="inlineStr">
        <is>
          <t>DALARNAS LÄN</t>
        </is>
      </c>
      <c r="E920" t="inlineStr">
        <is>
          <t>RÄTTVIK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58479-2023</t>
        </is>
      </c>
      <c r="B921" s="1" t="n">
        <v>45251</v>
      </c>
      <c r="C921" s="1" t="n">
        <v>45877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58484-2023</t>
        </is>
      </c>
      <c r="B922" s="1" t="n">
        <v>45251</v>
      </c>
      <c r="C922" s="1" t="n">
        <v>45877</v>
      </c>
      <c r="D922" t="inlineStr">
        <is>
          <t>DALARNAS LÄN</t>
        </is>
      </c>
      <c r="E922" t="inlineStr">
        <is>
          <t>RÄTTVIK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58485-2023</t>
        </is>
      </c>
      <c r="B923" s="1" t="n">
        <v>45251</v>
      </c>
      <c r="C923" s="1" t="n">
        <v>45877</v>
      </c>
      <c r="D923" t="inlineStr">
        <is>
          <t>DALARNAS LÄN</t>
        </is>
      </c>
      <c r="E923" t="inlineStr">
        <is>
          <t>RÄTTVIK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59281-2023</t>
        </is>
      </c>
      <c r="B924" s="1" t="n">
        <v>45252</v>
      </c>
      <c r="C924" s="1" t="n">
        <v>45877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59260-2023</t>
        </is>
      </c>
      <c r="B925" s="1" t="n">
        <v>45253</v>
      </c>
      <c r="C925" s="1" t="n">
        <v>45877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59238-2023</t>
        </is>
      </c>
      <c r="B926" s="1" t="n">
        <v>45253</v>
      </c>
      <c r="C926" s="1" t="n">
        <v>45877</v>
      </c>
      <c r="D926" t="inlineStr">
        <is>
          <t>DALARNAS LÄN</t>
        </is>
      </c>
      <c r="E926" t="inlineStr">
        <is>
          <t>RÄTTVIK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59258-2023</t>
        </is>
      </c>
      <c r="B927" s="1" t="n">
        <v>45253</v>
      </c>
      <c r="C927" s="1" t="n">
        <v>45877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59345-2023</t>
        </is>
      </c>
      <c r="B928" s="1" t="n">
        <v>45253</v>
      </c>
      <c r="C928" s="1" t="n">
        <v>45877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59248-2023</t>
        </is>
      </c>
      <c r="B929" s="1" t="n">
        <v>45253</v>
      </c>
      <c r="C929" s="1" t="n">
        <v>45877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59268-2023</t>
        </is>
      </c>
      <c r="B930" s="1" t="n">
        <v>45253</v>
      </c>
      <c r="C930" s="1" t="n">
        <v>45877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59307-2023</t>
        </is>
      </c>
      <c r="B931" s="1" t="n">
        <v>45253</v>
      </c>
      <c r="C931" s="1" t="n">
        <v>45877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60298-2023</t>
        </is>
      </c>
      <c r="B932" s="1" t="n">
        <v>45257</v>
      </c>
      <c r="C932" s="1" t="n">
        <v>45877</v>
      </c>
      <c r="D932" t="inlineStr">
        <is>
          <t>DALARNAS LÄN</t>
        </is>
      </c>
      <c r="E932" t="inlineStr">
        <is>
          <t>RÄTTVIK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60165-2023</t>
        </is>
      </c>
      <c r="B933" s="1" t="n">
        <v>45258</v>
      </c>
      <c r="C933" s="1" t="n">
        <v>45877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60483-2023</t>
        </is>
      </c>
      <c r="B934" s="1" t="n">
        <v>45259</v>
      </c>
      <c r="C934" s="1" t="n">
        <v>45877</v>
      </c>
      <c r="D934" t="inlineStr">
        <is>
          <t>DALARNAS LÄN</t>
        </is>
      </c>
      <c r="E934" t="inlineStr">
        <is>
          <t>RÄTTVIK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60984-2023</t>
        </is>
      </c>
      <c r="B935" s="1" t="n">
        <v>45259</v>
      </c>
      <c r="C935" s="1" t="n">
        <v>45877</v>
      </c>
      <c r="D935" t="inlineStr">
        <is>
          <t>DALARNAS LÄN</t>
        </is>
      </c>
      <c r="E935" t="inlineStr">
        <is>
          <t>RÄTTVIK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60958-2023</t>
        </is>
      </c>
      <c r="B936" s="1" t="n">
        <v>45259</v>
      </c>
      <c r="C936" s="1" t="n">
        <v>45877</v>
      </c>
      <c r="D936" t="inlineStr">
        <is>
          <t>DALARNAS LÄN</t>
        </is>
      </c>
      <c r="E936" t="inlineStr">
        <is>
          <t>RÄTTVIK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61284-2023</t>
        </is>
      </c>
      <c r="B937" s="1" t="n">
        <v>45260</v>
      </c>
      <c r="C937" s="1" t="n">
        <v>45877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61618-2023</t>
        </is>
      </c>
      <c r="B938" s="1" t="n">
        <v>45261</v>
      </c>
      <c r="C938" s="1" t="n">
        <v>45877</v>
      </c>
      <c r="D938" t="inlineStr">
        <is>
          <t>DALARNAS LÄN</t>
        </is>
      </c>
      <c r="E938" t="inlineStr">
        <is>
          <t>RÄTTVIK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61338-2023</t>
        </is>
      </c>
      <c r="B939" s="1" t="n">
        <v>45264</v>
      </c>
      <c r="C939" s="1" t="n">
        <v>45877</v>
      </c>
      <c r="D939" t="inlineStr">
        <is>
          <t>DALARNAS LÄN</t>
        </is>
      </c>
      <c r="E939" t="inlineStr">
        <is>
          <t>RÄTTVIK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61347-2023</t>
        </is>
      </c>
      <c r="B940" s="1" t="n">
        <v>45264</v>
      </c>
      <c r="C940" s="1" t="n">
        <v>45877</v>
      </c>
      <c r="D940" t="inlineStr">
        <is>
          <t>DALARNAS LÄN</t>
        </is>
      </c>
      <c r="E940" t="inlineStr">
        <is>
          <t>RÄTTVIK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61357-2023</t>
        </is>
      </c>
      <c r="B941" s="1" t="n">
        <v>45264</v>
      </c>
      <c r="C941" s="1" t="n">
        <v>45877</v>
      </c>
      <c r="D941" t="inlineStr">
        <is>
          <t>DALARNAS LÄN</t>
        </is>
      </c>
      <c r="E941" t="inlineStr">
        <is>
          <t>RÄTTVIK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61905-2023</t>
        </is>
      </c>
      <c r="B942" s="1" t="n">
        <v>45264</v>
      </c>
      <c r="C942" s="1" t="n">
        <v>45877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61803-2023</t>
        </is>
      </c>
      <c r="B943" s="1" t="n">
        <v>45264</v>
      </c>
      <c r="C943" s="1" t="n">
        <v>45877</v>
      </c>
      <c r="D943" t="inlineStr">
        <is>
          <t>DALARNAS LÄN</t>
        </is>
      </c>
      <c r="E943" t="inlineStr">
        <is>
          <t>RÄTTVIK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61763-2023</t>
        </is>
      </c>
      <c r="B944" s="1" t="n">
        <v>45265</v>
      </c>
      <c r="C944" s="1" t="n">
        <v>45877</v>
      </c>
      <c r="D944" t="inlineStr">
        <is>
          <t>DALARNAS LÄN</t>
        </is>
      </c>
      <c r="E944" t="inlineStr">
        <is>
          <t>RÄTTVIK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62043-2023</t>
        </is>
      </c>
      <c r="B945" s="1" t="n">
        <v>45265</v>
      </c>
      <c r="C945" s="1" t="n">
        <v>45877</v>
      </c>
      <c r="D945" t="inlineStr">
        <is>
          <t>DALARNAS LÄN</t>
        </is>
      </c>
      <c r="E945" t="inlineStr">
        <is>
          <t>RÄTTVIK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62035-2023</t>
        </is>
      </c>
      <c r="B946" s="1" t="n">
        <v>45265</v>
      </c>
      <c r="C946" s="1" t="n">
        <v>45877</v>
      </c>
      <c r="D946" t="inlineStr">
        <is>
          <t>DALARNAS LÄN</t>
        </is>
      </c>
      <c r="E946" t="inlineStr">
        <is>
          <t>RÄTTVIK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61814-2023</t>
        </is>
      </c>
      <c r="B947" s="1" t="n">
        <v>45266</v>
      </c>
      <c r="C947" s="1" t="n">
        <v>45877</v>
      </c>
      <c r="D947" t="inlineStr">
        <is>
          <t>DALARNAS LÄN</t>
        </is>
      </c>
      <c r="E947" t="inlineStr">
        <is>
          <t>RÄTTVIK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61937-2023</t>
        </is>
      </c>
      <c r="B948" s="1" t="n">
        <v>45266</v>
      </c>
      <c r="C948" s="1" t="n">
        <v>45877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61970-2023</t>
        </is>
      </c>
      <c r="B949" s="1" t="n">
        <v>45266</v>
      </c>
      <c r="C949" s="1" t="n">
        <v>45877</v>
      </c>
      <c r="D949" t="inlineStr">
        <is>
          <t>DALARNAS LÄN</t>
        </is>
      </c>
      <c r="E949" t="inlineStr">
        <is>
          <t>RÄTTVIK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61920-2023</t>
        </is>
      </c>
      <c r="B950" s="1" t="n">
        <v>45266</v>
      </c>
      <c r="C950" s="1" t="n">
        <v>45877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62207-2023</t>
        </is>
      </c>
      <c r="B951" s="1" t="n">
        <v>45267</v>
      </c>
      <c r="C951" s="1" t="n">
        <v>45877</v>
      </c>
      <c r="D951" t="inlineStr">
        <is>
          <t>DALARNAS LÄN</t>
        </is>
      </c>
      <c r="E951" t="inlineStr">
        <is>
          <t>RÄTTVIK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62193-2023</t>
        </is>
      </c>
      <c r="B952" s="1" t="n">
        <v>45267</v>
      </c>
      <c r="C952" s="1" t="n">
        <v>45877</v>
      </c>
      <c r="D952" t="inlineStr">
        <is>
          <t>DALARNAS LÄN</t>
        </is>
      </c>
      <c r="E952" t="inlineStr">
        <is>
          <t>RÄTTVIK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62201-2023</t>
        </is>
      </c>
      <c r="B953" s="1" t="n">
        <v>45267</v>
      </c>
      <c r="C953" s="1" t="n">
        <v>45877</v>
      </c>
      <c r="D953" t="inlineStr">
        <is>
          <t>DALARNAS LÄN</t>
        </is>
      </c>
      <c r="E953" t="inlineStr">
        <is>
          <t>RÄTTVIK</t>
        </is>
      </c>
      <c r="G953" t="n">
        <v>14.5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62499-2023</t>
        </is>
      </c>
      <c r="B954" s="1" t="n">
        <v>45267</v>
      </c>
      <c r="C954" s="1" t="n">
        <v>45877</v>
      </c>
      <c r="D954" t="inlineStr">
        <is>
          <t>DALARNAS LÄN</t>
        </is>
      </c>
      <c r="E954" t="inlineStr">
        <is>
          <t>RÄTTVIK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62505-2023</t>
        </is>
      </c>
      <c r="B955" s="1" t="n">
        <v>45267</v>
      </c>
      <c r="C955" s="1" t="n">
        <v>45877</v>
      </c>
      <c r="D955" t="inlineStr">
        <is>
          <t>DALARNAS LÄN</t>
        </is>
      </c>
      <c r="E955" t="inlineStr">
        <is>
          <t>RÄTTVIK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62373-2023</t>
        </is>
      </c>
      <c r="B956" s="1" t="n">
        <v>45268</v>
      </c>
      <c r="C956" s="1" t="n">
        <v>45877</v>
      </c>
      <c r="D956" t="inlineStr">
        <is>
          <t>DALARNAS LÄN</t>
        </is>
      </c>
      <c r="E956" t="inlineStr">
        <is>
          <t>RÄTTVIK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62637-2023</t>
        </is>
      </c>
      <c r="B957" s="1" t="n">
        <v>45271</v>
      </c>
      <c r="C957" s="1" t="n">
        <v>45877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63232-2023</t>
        </is>
      </c>
      <c r="B958" s="1" t="n">
        <v>45273</v>
      </c>
      <c r="C958" s="1" t="n">
        <v>45877</v>
      </c>
      <c r="D958" t="inlineStr">
        <is>
          <t>DALARNAS LÄN</t>
        </is>
      </c>
      <c r="E958" t="inlineStr">
        <is>
          <t>RÄTTVIK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63239-2023</t>
        </is>
      </c>
      <c r="B959" s="1" t="n">
        <v>45273</v>
      </c>
      <c r="C959" s="1" t="n">
        <v>45877</v>
      </c>
      <c r="D959" t="inlineStr">
        <is>
          <t>DALARNAS LÄN</t>
        </is>
      </c>
      <c r="E959" t="inlineStr">
        <is>
          <t>RÄTTVIK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63540-2023</t>
        </is>
      </c>
      <c r="B960" s="1" t="n">
        <v>45275</v>
      </c>
      <c r="C960" s="1" t="n">
        <v>45877</v>
      </c>
      <c r="D960" t="inlineStr">
        <is>
          <t>DALARNAS LÄN</t>
        </is>
      </c>
      <c r="E960" t="inlineStr">
        <is>
          <t>RÄTTVIK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64097-2023</t>
        </is>
      </c>
      <c r="B961" s="1" t="n">
        <v>45279</v>
      </c>
      <c r="C961" s="1" t="n">
        <v>45877</v>
      </c>
      <c r="D961" t="inlineStr">
        <is>
          <t>DALARNAS LÄN</t>
        </is>
      </c>
      <c r="E961" t="inlineStr">
        <is>
          <t>RÄTTVIK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64094-2023</t>
        </is>
      </c>
      <c r="B962" s="1" t="n">
        <v>45279</v>
      </c>
      <c r="C962" s="1" t="n">
        <v>45877</v>
      </c>
      <c r="D962" t="inlineStr">
        <is>
          <t>DALARNAS LÄN</t>
        </is>
      </c>
      <c r="E962" t="inlineStr">
        <is>
          <t>RÄTTVIK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64299-2023</t>
        </is>
      </c>
      <c r="B963" s="1" t="n">
        <v>45279</v>
      </c>
      <c r="C963" s="1" t="n">
        <v>45877</v>
      </c>
      <c r="D963" t="inlineStr">
        <is>
          <t>DALARNAS LÄN</t>
        </is>
      </c>
      <c r="E963" t="inlineStr">
        <is>
          <t>RÄTTVIK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64526-2023</t>
        </is>
      </c>
      <c r="B964" s="1" t="n">
        <v>45281</v>
      </c>
      <c r="C964" s="1" t="n">
        <v>45877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64517-2023</t>
        </is>
      </c>
      <c r="B965" s="1" t="n">
        <v>45281</v>
      </c>
      <c r="C965" s="1" t="n">
        <v>45877</v>
      </c>
      <c r="D965" t="inlineStr">
        <is>
          <t>DALARNAS LÄN</t>
        </is>
      </c>
      <c r="E965" t="inlineStr">
        <is>
          <t>RÄTTVIK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64804-2023</t>
        </is>
      </c>
      <c r="B966" s="1" t="n">
        <v>45282</v>
      </c>
      <c r="C966" s="1" t="n">
        <v>45877</v>
      </c>
      <c r="D966" t="inlineStr">
        <is>
          <t>DALARNAS LÄN</t>
        </is>
      </c>
      <c r="E966" t="inlineStr">
        <is>
          <t>RÄTTVIK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65034-2023</t>
        </is>
      </c>
      <c r="B967" s="1" t="n">
        <v>45287</v>
      </c>
      <c r="C967" s="1" t="n">
        <v>45877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463-2024</t>
        </is>
      </c>
      <c r="B968" s="1" t="n">
        <v>45297</v>
      </c>
      <c r="C968" s="1" t="n">
        <v>45877</v>
      </c>
      <c r="D968" t="inlineStr">
        <is>
          <t>DALARNAS LÄN</t>
        </is>
      </c>
      <c r="E968" t="inlineStr">
        <is>
          <t>RÄTTVIK</t>
        </is>
      </c>
      <c r="F968" t="inlineStr">
        <is>
          <t>Övriga statliga verk och myndigheter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562-2024</t>
        </is>
      </c>
      <c r="B969" s="1" t="n">
        <v>45299</v>
      </c>
      <c r="C969" s="1" t="n">
        <v>45877</v>
      </c>
      <c r="D969" t="inlineStr">
        <is>
          <t>DALARNAS LÄN</t>
        </is>
      </c>
      <c r="E969" t="inlineStr">
        <is>
          <t>RÄTTVIK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688-2024</t>
        </is>
      </c>
      <c r="B970" s="1" t="n">
        <v>45300</v>
      </c>
      <c r="C970" s="1" t="n">
        <v>45877</v>
      </c>
      <c r="D970" t="inlineStr">
        <is>
          <t>DALARNAS LÄN</t>
        </is>
      </c>
      <c r="E970" t="inlineStr">
        <is>
          <t>RÄTTVIK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702-2024</t>
        </is>
      </c>
      <c r="B971" s="1" t="n">
        <v>45300</v>
      </c>
      <c r="C971" s="1" t="n">
        <v>45877</v>
      </c>
      <c r="D971" t="inlineStr">
        <is>
          <t>DALARNAS LÄN</t>
        </is>
      </c>
      <c r="E971" t="inlineStr">
        <is>
          <t>RÄTTVIK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1070-2024</t>
        </is>
      </c>
      <c r="B972" s="1" t="n">
        <v>45302</v>
      </c>
      <c r="C972" s="1" t="n">
        <v>45877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1069-2024</t>
        </is>
      </c>
      <c r="B973" s="1" t="n">
        <v>45302</v>
      </c>
      <c r="C973" s="1" t="n">
        <v>45877</v>
      </c>
      <c r="D973" t="inlineStr">
        <is>
          <t>DALARNAS LÄN</t>
        </is>
      </c>
      <c r="E973" t="inlineStr">
        <is>
          <t>RÄTTVIK</t>
        </is>
      </c>
      <c r="G973" t="n">
        <v>14.3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1306-2024</t>
        </is>
      </c>
      <c r="B974" s="1" t="n">
        <v>45303</v>
      </c>
      <c r="C974" s="1" t="n">
        <v>45877</v>
      </c>
      <c r="D974" t="inlineStr">
        <is>
          <t>DALARNAS LÄN</t>
        </is>
      </c>
      <c r="E974" t="inlineStr">
        <is>
          <t>RÄTTVIK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1578-2024</t>
        </is>
      </c>
      <c r="B975" s="1" t="n">
        <v>45306</v>
      </c>
      <c r="C975" s="1" t="n">
        <v>45877</v>
      </c>
      <c r="D975" t="inlineStr">
        <is>
          <t>DALARNAS LÄN</t>
        </is>
      </c>
      <c r="E975" t="inlineStr">
        <is>
          <t>RÄTTVIK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1590-2024</t>
        </is>
      </c>
      <c r="B976" s="1" t="n">
        <v>45306</v>
      </c>
      <c r="C976" s="1" t="n">
        <v>45877</v>
      </c>
      <c r="D976" t="inlineStr">
        <is>
          <t>DALARNAS LÄN</t>
        </is>
      </c>
      <c r="E976" t="inlineStr">
        <is>
          <t>RÄTTVIK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1724-2024</t>
        </is>
      </c>
      <c r="B977" s="1" t="n">
        <v>45307</v>
      </c>
      <c r="C977" s="1" t="n">
        <v>45877</v>
      </c>
      <c r="D977" t="inlineStr">
        <is>
          <t>DALARNAS LÄN</t>
        </is>
      </c>
      <c r="E977" t="inlineStr">
        <is>
          <t>RÄTTVIK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1722-2024</t>
        </is>
      </c>
      <c r="B978" s="1" t="n">
        <v>45307</v>
      </c>
      <c r="C978" s="1" t="n">
        <v>45877</v>
      </c>
      <c r="D978" t="inlineStr">
        <is>
          <t>DALARNAS LÄN</t>
        </is>
      </c>
      <c r="E978" t="inlineStr">
        <is>
          <t>RÄTTVIK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1774-2024</t>
        </is>
      </c>
      <c r="B979" s="1" t="n">
        <v>45307</v>
      </c>
      <c r="C979" s="1" t="n">
        <v>45877</v>
      </c>
      <c r="D979" t="inlineStr">
        <is>
          <t>DALARNAS LÄN</t>
        </is>
      </c>
      <c r="E979" t="inlineStr">
        <is>
          <t>RÄTTVIK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1686-2024</t>
        </is>
      </c>
      <c r="B980" s="1" t="n">
        <v>45307</v>
      </c>
      <c r="C980" s="1" t="n">
        <v>45877</v>
      </c>
      <c r="D980" t="inlineStr">
        <is>
          <t>DALARNAS LÄN</t>
        </is>
      </c>
      <c r="E980" t="inlineStr">
        <is>
          <t>RÄTTVIK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1797-2024</t>
        </is>
      </c>
      <c r="B981" s="1" t="n">
        <v>45307</v>
      </c>
      <c r="C981" s="1" t="n">
        <v>45877</v>
      </c>
      <c r="D981" t="inlineStr">
        <is>
          <t>DALARNAS LÄN</t>
        </is>
      </c>
      <c r="E981" t="inlineStr">
        <is>
          <t>RÄTTVIK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2258-2024</t>
        </is>
      </c>
      <c r="B982" s="1" t="n">
        <v>45310</v>
      </c>
      <c r="C982" s="1" t="n">
        <v>45877</v>
      </c>
      <c r="D982" t="inlineStr">
        <is>
          <t>DALARNAS LÄN</t>
        </is>
      </c>
      <c r="E982" t="inlineStr">
        <is>
          <t>RÄTTVIK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2262-2024</t>
        </is>
      </c>
      <c r="B983" s="1" t="n">
        <v>45310</v>
      </c>
      <c r="C983" s="1" t="n">
        <v>45877</v>
      </c>
      <c r="D983" t="inlineStr">
        <is>
          <t>DALARNAS LÄN</t>
        </is>
      </c>
      <c r="E983" t="inlineStr">
        <is>
          <t>RÄTTVIK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2270-2024</t>
        </is>
      </c>
      <c r="B984" s="1" t="n">
        <v>45310</v>
      </c>
      <c r="C984" s="1" t="n">
        <v>45877</v>
      </c>
      <c r="D984" t="inlineStr">
        <is>
          <t>DALARNAS LÄN</t>
        </is>
      </c>
      <c r="E984" t="inlineStr">
        <is>
          <t>RÄTTVIK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2252-2024</t>
        </is>
      </c>
      <c r="B985" s="1" t="n">
        <v>45310</v>
      </c>
      <c r="C985" s="1" t="n">
        <v>45877</v>
      </c>
      <c r="D985" t="inlineStr">
        <is>
          <t>DALARNAS LÄN</t>
        </is>
      </c>
      <c r="E985" t="inlineStr">
        <is>
          <t>RÄTTVIK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2260-2024</t>
        </is>
      </c>
      <c r="B986" s="1" t="n">
        <v>45310</v>
      </c>
      <c r="C986" s="1" t="n">
        <v>45877</v>
      </c>
      <c r="D986" t="inlineStr">
        <is>
          <t>DALARNAS LÄN</t>
        </is>
      </c>
      <c r="E986" t="inlineStr">
        <is>
          <t>RÄTTVIK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2264-2024</t>
        </is>
      </c>
      <c r="B987" s="1" t="n">
        <v>45310</v>
      </c>
      <c r="C987" s="1" t="n">
        <v>45877</v>
      </c>
      <c r="D987" t="inlineStr">
        <is>
          <t>DALARNAS LÄN</t>
        </is>
      </c>
      <c r="E987" t="inlineStr">
        <is>
          <t>RÄTTVIK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2268-2024</t>
        </is>
      </c>
      <c r="B988" s="1" t="n">
        <v>45310</v>
      </c>
      <c r="C988" s="1" t="n">
        <v>45877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2272-2024</t>
        </is>
      </c>
      <c r="B989" s="1" t="n">
        <v>45310</v>
      </c>
      <c r="C989" s="1" t="n">
        <v>45877</v>
      </c>
      <c r="D989" t="inlineStr">
        <is>
          <t>DALARNAS LÄN</t>
        </is>
      </c>
      <c r="E989" t="inlineStr">
        <is>
          <t>RÄTTVIK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2259-2024</t>
        </is>
      </c>
      <c r="B990" s="1" t="n">
        <v>45310</v>
      </c>
      <c r="C990" s="1" t="n">
        <v>45877</v>
      </c>
      <c r="D990" t="inlineStr">
        <is>
          <t>DALARNAS LÄN</t>
        </is>
      </c>
      <c r="E990" t="inlineStr">
        <is>
          <t>RÄTTVIK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2508-2024</t>
        </is>
      </c>
      <c r="B991" s="1" t="n">
        <v>45313</v>
      </c>
      <c r="C991" s="1" t="n">
        <v>45877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2711-2024</t>
        </is>
      </c>
      <c r="B992" s="1" t="n">
        <v>45314</v>
      </c>
      <c r="C992" s="1" t="n">
        <v>45877</v>
      </c>
      <c r="D992" t="inlineStr">
        <is>
          <t>DALARNAS LÄN</t>
        </is>
      </c>
      <c r="E992" t="inlineStr">
        <is>
          <t>RÄTTVIK</t>
        </is>
      </c>
      <c r="G992" t="n">
        <v>32.5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2722-2024</t>
        </is>
      </c>
      <c r="B993" s="1" t="n">
        <v>45314</v>
      </c>
      <c r="C993" s="1" t="n">
        <v>45877</v>
      </c>
      <c r="D993" t="inlineStr">
        <is>
          <t>DALARNAS LÄN</t>
        </is>
      </c>
      <c r="E993" t="inlineStr">
        <is>
          <t>RÄTTVIK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2716-2024</t>
        </is>
      </c>
      <c r="B994" s="1" t="n">
        <v>45314</v>
      </c>
      <c r="C994" s="1" t="n">
        <v>45877</v>
      </c>
      <c r="D994" t="inlineStr">
        <is>
          <t>DALARNAS LÄN</t>
        </is>
      </c>
      <c r="E994" t="inlineStr">
        <is>
          <t>RÄTTVIK</t>
        </is>
      </c>
      <c r="G994" t="n">
        <v>15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3039-2024</t>
        </is>
      </c>
      <c r="B995" s="1" t="n">
        <v>45316</v>
      </c>
      <c r="C995" s="1" t="n">
        <v>45877</v>
      </c>
      <c r="D995" t="inlineStr">
        <is>
          <t>DALARNAS LÄN</t>
        </is>
      </c>
      <c r="E995" t="inlineStr">
        <is>
          <t>RÄTTVIK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3342-2024</t>
        </is>
      </c>
      <c r="B996" s="1" t="n">
        <v>45317</v>
      </c>
      <c r="C996" s="1" t="n">
        <v>45877</v>
      </c>
      <c r="D996" t="inlineStr">
        <is>
          <t>DALARNAS LÄN</t>
        </is>
      </c>
      <c r="E996" t="inlineStr">
        <is>
          <t>RÄTTVIK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3686-2024</t>
        </is>
      </c>
      <c r="B997" s="1" t="n">
        <v>45321</v>
      </c>
      <c r="C997" s="1" t="n">
        <v>45877</v>
      </c>
      <c r="D997" t="inlineStr">
        <is>
          <t>DALARNAS LÄN</t>
        </is>
      </c>
      <c r="E997" t="inlineStr">
        <is>
          <t>RÄTTVIK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3643-2024</t>
        </is>
      </c>
      <c r="B998" s="1" t="n">
        <v>45321</v>
      </c>
      <c r="C998" s="1" t="n">
        <v>45877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3741-2024</t>
        </is>
      </c>
      <c r="B999" s="1" t="n">
        <v>45321</v>
      </c>
      <c r="C999" s="1" t="n">
        <v>45877</v>
      </c>
      <c r="D999" t="inlineStr">
        <is>
          <t>DALARNAS LÄN</t>
        </is>
      </c>
      <c r="E999" t="inlineStr">
        <is>
          <t>RÄTTVIK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3640-2024</t>
        </is>
      </c>
      <c r="B1000" s="1" t="n">
        <v>45321</v>
      </c>
      <c r="C1000" s="1" t="n">
        <v>45877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3644-2024</t>
        </is>
      </c>
      <c r="B1001" s="1" t="n">
        <v>45321</v>
      </c>
      <c r="C1001" s="1" t="n">
        <v>45877</v>
      </c>
      <c r="D1001" t="inlineStr">
        <is>
          <t>DALARNAS LÄN</t>
        </is>
      </c>
      <c r="E1001" t="inlineStr">
        <is>
          <t>RÄTTVIK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3638-2024</t>
        </is>
      </c>
      <c r="B1002" s="1" t="n">
        <v>45321</v>
      </c>
      <c r="C1002" s="1" t="n">
        <v>45877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3651-2024</t>
        </is>
      </c>
      <c r="B1003" s="1" t="n">
        <v>45321</v>
      </c>
      <c r="C1003" s="1" t="n">
        <v>45877</v>
      </c>
      <c r="D1003" t="inlineStr">
        <is>
          <t>DALARNAS LÄN</t>
        </is>
      </c>
      <c r="E1003" t="inlineStr">
        <is>
          <t>RÄTTVIK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3655-2024</t>
        </is>
      </c>
      <c r="B1004" s="1" t="n">
        <v>45321</v>
      </c>
      <c r="C1004" s="1" t="n">
        <v>45877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3725-2024</t>
        </is>
      </c>
      <c r="B1005" s="1" t="n">
        <v>45321</v>
      </c>
      <c r="C1005" s="1" t="n">
        <v>45877</v>
      </c>
      <c r="D1005" t="inlineStr">
        <is>
          <t>DALARNAS LÄN</t>
        </is>
      </c>
      <c r="E1005" t="inlineStr">
        <is>
          <t>RÄTTVIK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3738-2024</t>
        </is>
      </c>
      <c r="B1006" s="1" t="n">
        <v>45321</v>
      </c>
      <c r="C1006" s="1" t="n">
        <v>45877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3742-2024</t>
        </is>
      </c>
      <c r="B1007" s="1" t="n">
        <v>45321</v>
      </c>
      <c r="C1007" s="1" t="n">
        <v>45877</v>
      </c>
      <c r="D1007" t="inlineStr">
        <is>
          <t>DALARNAS LÄN</t>
        </is>
      </c>
      <c r="E1007" t="inlineStr">
        <is>
          <t>RÄTTVIK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3722-2024</t>
        </is>
      </c>
      <c r="B1008" s="1" t="n">
        <v>45321</v>
      </c>
      <c r="C1008" s="1" t="n">
        <v>45877</v>
      </c>
      <c r="D1008" t="inlineStr">
        <is>
          <t>DALARNAS LÄN</t>
        </is>
      </c>
      <c r="E1008" t="inlineStr">
        <is>
          <t>RÄTTVIK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3919-2024</t>
        </is>
      </c>
      <c r="B1009" s="1" t="n">
        <v>45322</v>
      </c>
      <c r="C1009" s="1" t="n">
        <v>45877</v>
      </c>
      <c r="D1009" t="inlineStr">
        <is>
          <t>DALARNAS LÄN</t>
        </is>
      </c>
      <c r="E1009" t="inlineStr">
        <is>
          <t>RÄTTVIK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4197-2024</t>
        </is>
      </c>
      <c r="B1010" s="1" t="n">
        <v>45324</v>
      </c>
      <c r="C1010" s="1" t="n">
        <v>45877</v>
      </c>
      <c r="D1010" t="inlineStr">
        <is>
          <t>DALARNAS LÄN</t>
        </is>
      </c>
      <c r="E1010" t="inlineStr">
        <is>
          <t>RÄTTVIK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4833-2024</t>
        </is>
      </c>
      <c r="B1011" s="1" t="n">
        <v>45329</v>
      </c>
      <c r="C1011" s="1" t="n">
        <v>45877</v>
      </c>
      <c r="D1011" t="inlineStr">
        <is>
          <t>DALARNAS LÄN</t>
        </is>
      </c>
      <c r="E1011" t="inlineStr">
        <is>
          <t>RÄTTVIK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4841-2024</t>
        </is>
      </c>
      <c r="B1012" s="1" t="n">
        <v>45329</v>
      </c>
      <c r="C1012" s="1" t="n">
        <v>45877</v>
      </c>
      <c r="D1012" t="inlineStr">
        <is>
          <t>DALARNAS LÄN</t>
        </is>
      </c>
      <c r="E1012" t="inlineStr">
        <is>
          <t>RÄTTVIK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5156-2024</t>
        </is>
      </c>
      <c r="B1013" s="1" t="n">
        <v>45330</v>
      </c>
      <c r="C1013" s="1" t="n">
        <v>45877</v>
      </c>
      <c r="D1013" t="inlineStr">
        <is>
          <t>DALARNAS LÄN</t>
        </is>
      </c>
      <c r="E1013" t="inlineStr">
        <is>
          <t>RÄTTVIK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5124-2024</t>
        </is>
      </c>
      <c r="B1014" s="1" t="n">
        <v>45330</v>
      </c>
      <c r="C1014" s="1" t="n">
        <v>45877</v>
      </c>
      <c r="D1014" t="inlineStr">
        <is>
          <t>DALARNAS LÄN</t>
        </is>
      </c>
      <c r="E1014" t="inlineStr">
        <is>
          <t>RÄTTVIK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5174-2024</t>
        </is>
      </c>
      <c r="B1015" s="1" t="n">
        <v>45330</v>
      </c>
      <c r="C1015" s="1" t="n">
        <v>45877</v>
      </c>
      <c r="D1015" t="inlineStr">
        <is>
          <t>DALARNAS LÄN</t>
        </is>
      </c>
      <c r="E1015" t="inlineStr">
        <is>
          <t>RÄTTVIK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5110-2024</t>
        </is>
      </c>
      <c r="B1016" s="1" t="n">
        <v>45330</v>
      </c>
      <c r="C1016" s="1" t="n">
        <v>45877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5122-2024</t>
        </is>
      </c>
      <c r="B1017" s="1" t="n">
        <v>45330</v>
      </c>
      <c r="C1017" s="1" t="n">
        <v>45877</v>
      </c>
      <c r="D1017" t="inlineStr">
        <is>
          <t>DALARNAS LÄN</t>
        </is>
      </c>
      <c r="E1017" t="inlineStr">
        <is>
          <t>RÄTTVIK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5189-2024</t>
        </is>
      </c>
      <c r="B1018" s="1" t="n">
        <v>45330</v>
      </c>
      <c r="C1018" s="1" t="n">
        <v>45877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5329-2024</t>
        </is>
      </c>
      <c r="B1019" s="1" t="n">
        <v>45331</v>
      </c>
      <c r="C1019" s="1" t="n">
        <v>45877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5356-2024</t>
        </is>
      </c>
      <c r="B1020" s="1" t="n">
        <v>45331</v>
      </c>
      <c r="C1020" s="1" t="n">
        <v>45877</v>
      </c>
      <c r="D1020" t="inlineStr">
        <is>
          <t>DALARNAS LÄN</t>
        </is>
      </c>
      <c r="E1020" t="inlineStr">
        <is>
          <t>RÄTTVIK</t>
        </is>
      </c>
      <c r="G1020" t="n">
        <v>11.7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5518-2024</t>
        </is>
      </c>
      <c r="B1021" s="1" t="n">
        <v>45334</v>
      </c>
      <c r="C1021" s="1" t="n">
        <v>45877</v>
      </c>
      <c r="D1021" t="inlineStr">
        <is>
          <t>DALARNAS LÄN</t>
        </is>
      </c>
      <c r="E1021" t="inlineStr">
        <is>
          <t>RÄTTVIK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5520-2024</t>
        </is>
      </c>
      <c r="B1022" s="1" t="n">
        <v>45334</v>
      </c>
      <c r="C1022" s="1" t="n">
        <v>45877</v>
      </c>
      <c r="D1022" t="inlineStr">
        <is>
          <t>DALARNAS LÄN</t>
        </is>
      </c>
      <c r="E1022" t="inlineStr">
        <is>
          <t>RÄTTVIK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6187-2024</t>
        </is>
      </c>
      <c r="B1023" s="1" t="n">
        <v>45337</v>
      </c>
      <c r="C1023" s="1" t="n">
        <v>45877</v>
      </c>
      <c r="D1023" t="inlineStr">
        <is>
          <t>DALARNAS LÄN</t>
        </is>
      </c>
      <c r="E1023" t="inlineStr">
        <is>
          <t>RÄTTVIK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6213-2024</t>
        </is>
      </c>
      <c r="B1024" s="1" t="n">
        <v>45337</v>
      </c>
      <c r="C1024" s="1" t="n">
        <v>45877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6169-2024</t>
        </is>
      </c>
      <c r="B1025" s="1" t="n">
        <v>45337</v>
      </c>
      <c r="C1025" s="1" t="n">
        <v>45877</v>
      </c>
      <c r="D1025" t="inlineStr">
        <is>
          <t>DALARNAS LÄN</t>
        </is>
      </c>
      <c r="E1025" t="inlineStr">
        <is>
          <t>RÄTTVIK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7035-2024</t>
        </is>
      </c>
      <c r="B1026" s="1" t="n">
        <v>45343</v>
      </c>
      <c r="C1026" s="1" t="n">
        <v>45877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7146-2024</t>
        </is>
      </c>
      <c r="B1027" s="1" t="n">
        <v>45344</v>
      </c>
      <c r="C1027" s="1" t="n">
        <v>45877</v>
      </c>
      <c r="D1027" t="inlineStr">
        <is>
          <t>DALARNAS LÄN</t>
        </is>
      </c>
      <c r="E1027" t="inlineStr">
        <is>
          <t>RÄTTVIK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7140-2024</t>
        </is>
      </c>
      <c r="B1028" s="1" t="n">
        <v>45344</v>
      </c>
      <c r="C1028" s="1" t="n">
        <v>45877</v>
      </c>
      <c r="D1028" t="inlineStr">
        <is>
          <t>DALARNAS LÄN</t>
        </is>
      </c>
      <c r="E1028" t="inlineStr">
        <is>
          <t>RÄTTVIK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7752-2024</t>
        </is>
      </c>
      <c r="B1029" s="1" t="n">
        <v>45349</v>
      </c>
      <c r="C1029" s="1" t="n">
        <v>45877</v>
      </c>
      <c r="D1029" t="inlineStr">
        <is>
          <t>DALARNAS LÄN</t>
        </is>
      </c>
      <c r="E1029" t="inlineStr">
        <is>
          <t>RÄTTVIK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8127-2024</t>
        </is>
      </c>
      <c r="B1030" s="1" t="n">
        <v>45351</v>
      </c>
      <c r="C1030" s="1" t="n">
        <v>45877</v>
      </c>
      <c r="D1030" t="inlineStr">
        <is>
          <t>DALARNAS LÄN</t>
        </is>
      </c>
      <c r="E1030" t="inlineStr">
        <is>
          <t>RÄTTVIK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8126-2024</t>
        </is>
      </c>
      <c r="B1031" s="1" t="n">
        <v>45351</v>
      </c>
      <c r="C1031" s="1" t="n">
        <v>45877</v>
      </c>
      <c r="D1031" t="inlineStr">
        <is>
          <t>DALARNAS LÄN</t>
        </is>
      </c>
      <c r="E1031" t="inlineStr">
        <is>
          <t>RÄTTVIK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8381-2024</t>
        </is>
      </c>
      <c r="B1032" s="1" t="n">
        <v>45352</v>
      </c>
      <c r="C1032" s="1" t="n">
        <v>45877</v>
      </c>
      <c r="D1032" t="inlineStr">
        <is>
          <t>DALARNAS LÄN</t>
        </is>
      </c>
      <c r="E1032" t="inlineStr">
        <is>
          <t>RÄTTVIK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9211-2024</t>
        </is>
      </c>
      <c r="B1033" s="1" t="n">
        <v>45358</v>
      </c>
      <c r="C1033" s="1" t="n">
        <v>45877</v>
      </c>
      <c r="D1033" t="inlineStr">
        <is>
          <t>DALARNAS LÄN</t>
        </is>
      </c>
      <c r="E1033" t="inlineStr">
        <is>
          <t>RÄTTVIK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9477-2024</t>
        </is>
      </c>
      <c r="B1034" s="1" t="n">
        <v>45359</v>
      </c>
      <c r="C1034" s="1" t="n">
        <v>45877</v>
      </c>
      <c r="D1034" t="inlineStr">
        <is>
          <t>DALARNAS LÄN</t>
        </is>
      </c>
      <c r="E1034" t="inlineStr">
        <is>
          <t>RÄTTVIK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9481-2024</t>
        </is>
      </c>
      <c r="B1035" s="1" t="n">
        <v>45359</v>
      </c>
      <c r="C1035" s="1" t="n">
        <v>45877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9672-2024</t>
        </is>
      </c>
      <c r="B1036" s="1" t="n">
        <v>45362</v>
      </c>
      <c r="C1036" s="1" t="n">
        <v>45877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9928-2024</t>
        </is>
      </c>
      <c r="B1037" s="1" t="n">
        <v>45363</v>
      </c>
      <c r="C1037" s="1" t="n">
        <v>45877</v>
      </c>
      <c r="D1037" t="inlineStr">
        <is>
          <t>DALARNAS LÄN</t>
        </is>
      </c>
      <c r="E1037" t="inlineStr">
        <is>
          <t>RÄTTVIK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9937-2024</t>
        </is>
      </c>
      <c r="B1038" s="1" t="n">
        <v>45363</v>
      </c>
      <c r="C1038" s="1" t="n">
        <v>45877</v>
      </c>
      <c r="D1038" t="inlineStr">
        <is>
          <t>DALARNAS LÄN</t>
        </is>
      </c>
      <c r="E1038" t="inlineStr">
        <is>
          <t>RÄTTVIK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10317-2024</t>
        </is>
      </c>
      <c r="B1039" s="1" t="n">
        <v>45365</v>
      </c>
      <c r="C1039" s="1" t="n">
        <v>45877</v>
      </c>
      <c r="D1039" t="inlineStr">
        <is>
          <t>DALARNAS LÄN</t>
        </is>
      </c>
      <c r="E1039" t="inlineStr">
        <is>
          <t>RÄTTVIK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11290-2024</t>
        </is>
      </c>
      <c r="B1040" s="1" t="n">
        <v>45371</v>
      </c>
      <c r="C1040" s="1" t="n">
        <v>45877</v>
      </c>
      <c r="D1040" t="inlineStr">
        <is>
          <t>DALARNAS LÄN</t>
        </is>
      </c>
      <c r="E1040" t="inlineStr">
        <is>
          <t>RÄTTVIK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11577-2024</t>
        </is>
      </c>
      <c r="B1041" s="1" t="n">
        <v>45373</v>
      </c>
      <c r="C1041" s="1" t="n">
        <v>45877</v>
      </c>
      <c r="D1041" t="inlineStr">
        <is>
          <t>DALARNAS LÄN</t>
        </is>
      </c>
      <c r="E1041" t="inlineStr">
        <is>
          <t>RÄTTVIK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11630-2024</t>
        </is>
      </c>
      <c r="B1042" s="1" t="n">
        <v>45373</v>
      </c>
      <c r="C1042" s="1" t="n">
        <v>45877</v>
      </c>
      <c r="D1042" t="inlineStr">
        <is>
          <t>DALARNAS LÄN</t>
        </is>
      </c>
      <c r="E1042" t="inlineStr">
        <is>
          <t>RÄTTVIK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11578-2024</t>
        </is>
      </c>
      <c r="B1043" s="1" t="n">
        <v>45373</v>
      </c>
      <c r="C1043" s="1" t="n">
        <v>45877</v>
      </c>
      <c r="D1043" t="inlineStr">
        <is>
          <t>DALARNAS LÄN</t>
        </is>
      </c>
      <c r="E1043" t="inlineStr">
        <is>
          <t>RÄTTVIK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12029-2024</t>
        </is>
      </c>
      <c r="B1044" s="1" t="n">
        <v>45377</v>
      </c>
      <c r="C1044" s="1" t="n">
        <v>45877</v>
      </c>
      <c r="D1044" t="inlineStr">
        <is>
          <t>DALARNAS LÄN</t>
        </is>
      </c>
      <c r="E1044" t="inlineStr">
        <is>
          <t>RÄTTVIK</t>
        </is>
      </c>
      <c r="F1044" t="inlineStr">
        <is>
          <t>Övriga statliga verk och myndigheter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12034-2024</t>
        </is>
      </c>
      <c r="B1045" s="1" t="n">
        <v>45377</v>
      </c>
      <c r="C1045" s="1" t="n">
        <v>45877</v>
      </c>
      <c r="D1045" t="inlineStr">
        <is>
          <t>DALARNAS LÄN</t>
        </is>
      </c>
      <c r="E1045" t="inlineStr">
        <is>
          <t>RÄTTVIK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12495-2024</t>
        </is>
      </c>
      <c r="B1046" s="1" t="n">
        <v>45379</v>
      </c>
      <c r="C1046" s="1" t="n">
        <v>45877</v>
      </c>
      <c r="D1046" t="inlineStr">
        <is>
          <t>DALARNAS LÄN</t>
        </is>
      </c>
      <c r="E1046" t="inlineStr">
        <is>
          <t>RÄTTVIK</t>
        </is>
      </c>
      <c r="G1046" t="n">
        <v>19.4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12496-2024</t>
        </is>
      </c>
      <c r="B1047" s="1" t="n">
        <v>45379</v>
      </c>
      <c r="C1047" s="1" t="n">
        <v>45877</v>
      </c>
      <c r="D1047" t="inlineStr">
        <is>
          <t>DALARNAS LÄN</t>
        </is>
      </c>
      <c r="E1047" t="inlineStr">
        <is>
          <t>RÄTTVIK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12833-2024</t>
        </is>
      </c>
      <c r="B1048" s="1" t="n">
        <v>45384</v>
      </c>
      <c r="C1048" s="1" t="n">
        <v>45877</v>
      </c>
      <c r="D1048" t="inlineStr">
        <is>
          <t>DALARNAS LÄN</t>
        </is>
      </c>
      <c r="E1048" t="inlineStr">
        <is>
          <t>RÄTTVIK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13501-2024</t>
        </is>
      </c>
      <c r="B1049" s="1" t="n">
        <v>45387</v>
      </c>
      <c r="C1049" s="1" t="n">
        <v>45877</v>
      </c>
      <c r="D1049" t="inlineStr">
        <is>
          <t>DALARNAS LÄN</t>
        </is>
      </c>
      <c r="E1049" t="inlineStr">
        <is>
          <t>RÄTTVIK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13749-2024</t>
        </is>
      </c>
      <c r="B1050" s="1" t="n">
        <v>45390</v>
      </c>
      <c r="C1050" s="1" t="n">
        <v>45877</v>
      </c>
      <c r="D1050" t="inlineStr">
        <is>
          <t>DALARNAS LÄN</t>
        </is>
      </c>
      <c r="E1050" t="inlineStr">
        <is>
          <t>RÄTTVIK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13614-2024</t>
        </is>
      </c>
      <c r="B1051" s="1" t="n">
        <v>45390</v>
      </c>
      <c r="C1051" s="1" t="n">
        <v>45877</v>
      </c>
      <c r="D1051" t="inlineStr">
        <is>
          <t>DALARNAS LÄN</t>
        </is>
      </c>
      <c r="E1051" t="inlineStr">
        <is>
          <t>RÄTTVIK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13774-2024</t>
        </is>
      </c>
      <c r="B1052" s="1" t="n">
        <v>45390</v>
      </c>
      <c r="C1052" s="1" t="n">
        <v>45877</v>
      </c>
      <c r="D1052" t="inlineStr">
        <is>
          <t>DALARNAS LÄN</t>
        </is>
      </c>
      <c r="E1052" t="inlineStr">
        <is>
          <t>RÄTTVIK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13994-2024</t>
        </is>
      </c>
      <c r="B1053" s="1" t="n">
        <v>45392</v>
      </c>
      <c r="C1053" s="1" t="n">
        <v>45877</v>
      </c>
      <c r="D1053" t="inlineStr">
        <is>
          <t>DALARNAS LÄN</t>
        </is>
      </c>
      <c r="E1053" t="inlineStr">
        <is>
          <t>RÄTTVIK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14174-2024</t>
        </is>
      </c>
      <c r="B1054" s="1" t="n">
        <v>45393</v>
      </c>
      <c r="C1054" s="1" t="n">
        <v>45877</v>
      </c>
      <c r="D1054" t="inlineStr">
        <is>
          <t>DALARNAS LÄN</t>
        </is>
      </c>
      <c r="E1054" t="inlineStr">
        <is>
          <t>RÄTTVIK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14178-2024</t>
        </is>
      </c>
      <c r="B1055" s="1" t="n">
        <v>45393</v>
      </c>
      <c r="C1055" s="1" t="n">
        <v>45877</v>
      </c>
      <c r="D1055" t="inlineStr">
        <is>
          <t>DALARNAS LÄN</t>
        </is>
      </c>
      <c r="E1055" t="inlineStr">
        <is>
          <t>RÄTTVIK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14209-2024</t>
        </is>
      </c>
      <c r="B1056" s="1" t="n">
        <v>45393</v>
      </c>
      <c r="C1056" s="1" t="n">
        <v>45877</v>
      </c>
      <c r="D1056" t="inlineStr">
        <is>
          <t>DALARNAS LÄN</t>
        </is>
      </c>
      <c r="E1056" t="inlineStr">
        <is>
          <t>RÄTTVIK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14633-2024</t>
        </is>
      </c>
      <c r="B1057" s="1" t="n">
        <v>45397</v>
      </c>
      <c r="C1057" s="1" t="n">
        <v>45877</v>
      </c>
      <c r="D1057" t="inlineStr">
        <is>
          <t>DALARNAS LÄN</t>
        </is>
      </c>
      <c r="E1057" t="inlineStr">
        <is>
          <t>RÄTTVIK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14892-2024</t>
        </is>
      </c>
      <c r="B1058" s="1" t="n">
        <v>45398</v>
      </c>
      <c r="C1058" s="1" t="n">
        <v>45877</v>
      </c>
      <c r="D1058" t="inlineStr">
        <is>
          <t>DALARNAS LÄN</t>
        </is>
      </c>
      <c r="E1058" t="inlineStr">
        <is>
          <t>RÄTTVIK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15133-2024</t>
        </is>
      </c>
      <c r="B1059" s="1" t="n">
        <v>45399</v>
      </c>
      <c r="C1059" s="1" t="n">
        <v>45877</v>
      </c>
      <c r="D1059" t="inlineStr">
        <is>
          <t>DALARNAS LÄN</t>
        </is>
      </c>
      <c r="E1059" t="inlineStr">
        <is>
          <t>RÄTTVIK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15500-2024</t>
        </is>
      </c>
      <c r="B1060" s="1" t="n">
        <v>45401</v>
      </c>
      <c r="C1060" s="1" t="n">
        <v>45877</v>
      </c>
      <c r="D1060" t="inlineStr">
        <is>
          <t>DALARNAS LÄN</t>
        </is>
      </c>
      <c r="E1060" t="inlineStr">
        <is>
          <t>RÄTTVIK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15827-2024</t>
        </is>
      </c>
      <c r="B1061" s="1" t="n">
        <v>45404</v>
      </c>
      <c r="C1061" s="1" t="n">
        <v>45877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öst AB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15798-2024</t>
        </is>
      </c>
      <c r="B1062" s="1" t="n">
        <v>45404</v>
      </c>
      <c r="C1062" s="1" t="n">
        <v>45877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28.3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15831-2024</t>
        </is>
      </c>
      <c r="B1063" s="1" t="n">
        <v>45404</v>
      </c>
      <c r="C1063" s="1" t="n">
        <v>45877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öst AB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15867-2024</t>
        </is>
      </c>
      <c r="B1064" s="1" t="n">
        <v>45405</v>
      </c>
      <c r="C1064" s="1" t="n">
        <v>45877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15962-2024</t>
        </is>
      </c>
      <c r="B1065" s="1" t="n">
        <v>45405</v>
      </c>
      <c r="C1065" s="1" t="n">
        <v>45877</v>
      </c>
      <c r="D1065" t="inlineStr">
        <is>
          <t>DALARNAS LÄN</t>
        </is>
      </c>
      <c r="E1065" t="inlineStr">
        <is>
          <t>RÄTTVIK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16115-2024</t>
        </is>
      </c>
      <c r="B1066" s="1" t="n">
        <v>45406</v>
      </c>
      <c r="C1066" s="1" t="n">
        <v>45877</v>
      </c>
      <c r="D1066" t="inlineStr">
        <is>
          <t>DALARNAS LÄN</t>
        </is>
      </c>
      <c r="E1066" t="inlineStr">
        <is>
          <t>RÄTTVIK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16193-2024</t>
        </is>
      </c>
      <c r="B1067" s="1" t="n">
        <v>45406</v>
      </c>
      <c r="C1067" s="1" t="n">
        <v>45877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17.9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16105-2024</t>
        </is>
      </c>
      <c r="B1068" s="1" t="n">
        <v>45406</v>
      </c>
      <c r="C1068" s="1" t="n">
        <v>45877</v>
      </c>
      <c r="D1068" t="inlineStr">
        <is>
          <t>DALARNAS LÄN</t>
        </is>
      </c>
      <c r="E1068" t="inlineStr">
        <is>
          <t>RÄTTVIK</t>
        </is>
      </c>
      <c r="G1068" t="n">
        <v>11.4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16822-2024</t>
        </is>
      </c>
      <c r="B1069" s="1" t="n">
        <v>45411</v>
      </c>
      <c r="C1069" s="1" t="n">
        <v>45877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16788-2024</t>
        </is>
      </c>
      <c r="B1070" s="1" t="n">
        <v>45411</v>
      </c>
      <c r="C1070" s="1" t="n">
        <v>45877</v>
      </c>
      <c r="D1070" t="inlineStr">
        <is>
          <t>DALARNAS LÄN</t>
        </is>
      </c>
      <c r="E1070" t="inlineStr">
        <is>
          <t>RÄTTVIK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16766-2024</t>
        </is>
      </c>
      <c r="B1071" s="1" t="n">
        <v>45411</v>
      </c>
      <c r="C1071" s="1" t="n">
        <v>45877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16785-2024</t>
        </is>
      </c>
      <c r="B1072" s="1" t="n">
        <v>45411</v>
      </c>
      <c r="C1072" s="1" t="n">
        <v>45877</v>
      </c>
      <c r="D1072" t="inlineStr">
        <is>
          <t>DALARNAS LÄN</t>
        </is>
      </c>
      <c r="E1072" t="inlineStr">
        <is>
          <t>RÄTTVIK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16765-2024</t>
        </is>
      </c>
      <c r="B1073" s="1" t="n">
        <v>45411</v>
      </c>
      <c r="C1073" s="1" t="n">
        <v>45877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17138-2024</t>
        </is>
      </c>
      <c r="B1074" s="1" t="n">
        <v>45412</v>
      </c>
      <c r="C1074" s="1" t="n">
        <v>45877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17423-2024</t>
        </is>
      </c>
      <c r="B1075" s="1" t="n">
        <v>45415</v>
      </c>
      <c r="C1075" s="1" t="n">
        <v>45877</v>
      </c>
      <c r="D1075" t="inlineStr">
        <is>
          <t>DALARNAS LÄN</t>
        </is>
      </c>
      <c r="E1075" t="inlineStr">
        <is>
          <t>RÄTTVIK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17741-2024</t>
        </is>
      </c>
      <c r="B1076" s="1" t="n">
        <v>45418</v>
      </c>
      <c r="C1076" s="1" t="n">
        <v>45877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18037-2024</t>
        </is>
      </c>
      <c r="B1077" s="1" t="n">
        <v>45420</v>
      </c>
      <c r="C1077" s="1" t="n">
        <v>45877</v>
      </c>
      <c r="D1077" t="inlineStr">
        <is>
          <t>DALARNAS LÄN</t>
        </is>
      </c>
      <c r="E1077" t="inlineStr">
        <is>
          <t>RÄTTVIK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18122-2024</t>
        </is>
      </c>
      <c r="B1078" s="1" t="n">
        <v>45420</v>
      </c>
      <c r="C1078" s="1" t="n">
        <v>45877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18129-2024</t>
        </is>
      </c>
      <c r="B1079" s="1" t="n">
        <v>45420</v>
      </c>
      <c r="C1079" s="1" t="n">
        <v>45877</v>
      </c>
      <c r="D1079" t="inlineStr">
        <is>
          <t>DALARNAS LÄN</t>
        </is>
      </c>
      <c r="E1079" t="inlineStr">
        <is>
          <t>RÄTTVIK</t>
        </is>
      </c>
      <c r="F1079" t="inlineStr">
        <is>
          <t>Sveaskog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18242-2024</t>
        </is>
      </c>
      <c r="B1080" s="1" t="n">
        <v>45421</v>
      </c>
      <c r="C1080" s="1" t="n">
        <v>45877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23.7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18260-2024</t>
        </is>
      </c>
      <c r="B1081" s="1" t="n">
        <v>45421</v>
      </c>
      <c r="C1081" s="1" t="n">
        <v>45877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18259-2024</t>
        </is>
      </c>
      <c r="B1082" s="1" t="n">
        <v>45421</v>
      </c>
      <c r="C1082" s="1" t="n">
        <v>45877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18271-2024</t>
        </is>
      </c>
      <c r="B1083" s="1" t="n">
        <v>45421</v>
      </c>
      <c r="C1083" s="1" t="n">
        <v>45877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18276-2024</t>
        </is>
      </c>
      <c r="B1084" s="1" t="n">
        <v>45421</v>
      </c>
      <c r="C1084" s="1" t="n">
        <v>45877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18293-2024</t>
        </is>
      </c>
      <c r="B1085" s="1" t="n">
        <v>45422</v>
      </c>
      <c r="C1085" s="1" t="n">
        <v>45877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18286-2024</t>
        </is>
      </c>
      <c r="B1086" s="1" t="n">
        <v>45422</v>
      </c>
      <c r="C1086" s="1" t="n">
        <v>45877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18399-2024</t>
        </is>
      </c>
      <c r="B1087" s="1" t="n">
        <v>45425</v>
      </c>
      <c r="C1087" s="1" t="n">
        <v>45877</v>
      </c>
      <c r="D1087" t="inlineStr">
        <is>
          <t>DALARNAS LÄN</t>
        </is>
      </c>
      <c r="E1087" t="inlineStr">
        <is>
          <t>RÄTTVIK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18406-2024</t>
        </is>
      </c>
      <c r="B1088" s="1" t="n">
        <v>45425</v>
      </c>
      <c r="C1088" s="1" t="n">
        <v>45877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23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18487-2024</t>
        </is>
      </c>
      <c r="B1089" s="1" t="n">
        <v>45425</v>
      </c>
      <c r="C1089" s="1" t="n">
        <v>45877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18684-2024</t>
        </is>
      </c>
      <c r="B1090" s="1" t="n">
        <v>45426</v>
      </c>
      <c r="C1090" s="1" t="n">
        <v>45877</v>
      </c>
      <c r="D1090" t="inlineStr">
        <is>
          <t>DALARNAS LÄN</t>
        </is>
      </c>
      <c r="E1090" t="inlineStr">
        <is>
          <t>RÄTTVIK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18687-2024</t>
        </is>
      </c>
      <c r="B1091" s="1" t="n">
        <v>45426</v>
      </c>
      <c r="C1091" s="1" t="n">
        <v>45877</v>
      </c>
      <c r="D1091" t="inlineStr">
        <is>
          <t>DALARNAS LÄN</t>
        </is>
      </c>
      <c r="E1091" t="inlineStr">
        <is>
          <t>RÄTTVIK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18769-2024</t>
        </is>
      </c>
      <c r="B1092" s="1" t="n">
        <v>45426</v>
      </c>
      <c r="C1092" s="1" t="n">
        <v>45877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18905-2024</t>
        </is>
      </c>
      <c r="B1093" s="1" t="n">
        <v>45427</v>
      </c>
      <c r="C1093" s="1" t="n">
        <v>45877</v>
      </c>
      <c r="D1093" t="inlineStr">
        <is>
          <t>DALARNAS LÄN</t>
        </is>
      </c>
      <c r="E1093" t="inlineStr">
        <is>
          <t>RÄTTVIK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19129-2024</t>
        </is>
      </c>
      <c r="B1094" s="1" t="n">
        <v>45428</v>
      </c>
      <c r="C1094" s="1" t="n">
        <v>45877</v>
      </c>
      <c r="D1094" t="inlineStr">
        <is>
          <t>DALARNAS LÄN</t>
        </is>
      </c>
      <c r="E1094" t="inlineStr">
        <is>
          <t>RÄTTVIK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19134-2024</t>
        </is>
      </c>
      <c r="B1095" s="1" t="n">
        <v>45428</v>
      </c>
      <c r="C1095" s="1" t="n">
        <v>45877</v>
      </c>
      <c r="D1095" t="inlineStr">
        <is>
          <t>DALARNAS LÄN</t>
        </is>
      </c>
      <c r="E1095" t="inlineStr">
        <is>
          <t>RÄTTVIK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19619-2024</t>
        </is>
      </c>
      <c r="B1096" s="1" t="n">
        <v>45432</v>
      </c>
      <c r="C1096" s="1" t="n">
        <v>45877</v>
      </c>
      <c r="D1096" t="inlineStr">
        <is>
          <t>DALARNAS LÄN</t>
        </is>
      </c>
      <c r="E1096" t="inlineStr">
        <is>
          <t>RÄTTVIK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19830-2024</t>
        </is>
      </c>
      <c r="B1097" s="1" t="n">
        <v>45432</v>
      </c>
      <c r="C1097" s="1" t="n">
        <v>45877</v>
      </c>
      <c r="D1097" t="inlineStr">
        <is>
          <t>DALARNAS LÄN</t>
        </is>
      </c>
      <c r="E1097" t="inlineStr">
        <is>
          <t>RÄTTVIK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19831-2024</t>
        </is>
      </c>
      <c r="B1098" s="1" t="n">
        <v>45432</v>
      </c>
      <c r="C1098" s="1" t="n">
        <v>45877</v>
      </c>
      <c r="D1098" t="inlineStr">
        <is>
          <t>DALARNAS LÄN</t>
        </is>
      </c>
      <c r="E1098" t="inlineStr">
        <is>
          <t>RÄTTVIK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19832-2024</t>
        </is>
      </c>
      <c r="B1099" s="1" t="n">
        <v>45432</v>
      </c>
      <c r="C1099" s="1" t="n">
        <v>45877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19837-2024</t>
        </is>
      </c>
      <c r="B1100" s="1" t="n">
        <v>45432</v>
      </c>
      <c r="C1100" s="1" t="n">
        <v>45877</v>
      </c>
      <c r="D1100" t="inlineStr">
        <is>
          <t>DALARNAS LÄN</t>
        </is>
      </c>
      <c r="E1100" t="inlineStr">
        <is>
          <t>RÄTTVIK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19825-2024</t>
        </is>
      </c>
      <c r="B1101" s="1" t="n">
        <v>45433</v>
      </c>
      <c r="C1101" s="1" t="n">
        <v>45877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19811-2024</t>
        </is>
      </c>
      <c r="B1102" s="1" t="n">
        <v>45433</v>
      </c>
      <c r="C1102" s="1" t="n">
        <v>45877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24.3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19815-2024</t>
        </is>
      </c>
      <c r="B1103" s="1" t="n">
        <v>45433</v>
      </c>
      <c r="C1103" s="1" t="n">
        <v>45877</v>
      </c>
      <c r="D1103" t="inlineStr">
        <is>
          <t>DALARNAS LÄN</t>
        </is>
      </c>
      <c r="E1103" t="inlineStr">
        <is>
          <t>RÄTTVIK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20173-2024</t>
        </is>
      </c>
      <c r="B1104" s="1" t="n">
        <v>45434</v>
      </c>
      <c r="C1104" s="1" t="n">
        <v>45877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20171-2024</t>
        </is>
      </c>
      <c r="B1105" s="1" t="n">
        <v>45434</v>
      </c>
      <c r="C1105" s="1" t="n">
        <v>45877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20227-2024</t>
        </is>
      </c>
      <c r="B1106" s="1" t="n">
        <v>45434</v>
      </c>
      <c r="C1106" s="1" t="n">
        <v>45877</v>
      </c>
      <c r="D1106" t="inlineStr">
        <is>
          <t>DALARNAS LÄN</t>
        </is>
      </c>
      <c r="E1106" t="inlineStr">
        <is>
          <t>RÄTTVIK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20228-2024</t>
        </is>
      </c>
      <c r="B1107" s="1" t="n">
        <v>45434</v>
      </c>
      <c r="C1107" s="1" t="n">
        <v>45877</v>
      </c>
      <c r="D1107" t="inlineStr">
        <is>
          <t>DALARNAS LÄN</t>
        </is>
      </c>
      <c r="E1107" t="inlineStr">
        <is>
          <t>RÄTTVIK</t>
        </is>
      </c>
      <c r="G1107" t="n">
        <v>11.8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20620-2024</t>
        </is>
      </c>
      <c r="B1108" s="1" t="n">
        <v>45436</v>
      </c>
      <c r="C1108" s="1" t="n">
        <v>45877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21170-2024</t>
        </is>
      </c>
      <c r="B1109" s="1" t="n">
        <v>45440</v>
      </c>
      <c r="C1109" s="1" t="n">
        <v>45877</v>
      </c>
      <c r="D1109" t="inlineStr">
        <is>
          <t>DALARNAS LÄN</t>
        </is>
      </c>
      <c r="E1109" t="inlineStr">
        <is>
          <t>RÄTTVIK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21174-2024</t>
        </is>
      </c>
      <c r="B1110" s="1" t="n">
        <v>45440</v>
      </c>
      <c r="C1110" s="1" t="n">
        <v>45877</v>
      </c>
      <c r="D1110" t="inlineStr">
        <is>
          <t>DALARNAS LÄN</t>
        </is>
      </c>
      <c r="E1110" t="inlineStr">
        <is>
          <t>RÄTTVIK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21228-2024</t>
        </is>
      </c>
      <c r="B1111" s="1" t="n">
        <v>45440</v>
      </c>
      <c r="C1111" s="1" t="n">
        <v>45877</v>
      </c>
      <c r="D1111" t="inlineStr">
        <is>
          <t>DALARNAS LÄN</t>
        </is>
      </c>
      <c r="E1111" t="inlineStr">
        <is>
          <t>RÄTTVIK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21171-2024</t>
        </is>
      </c>
      <c r="B1112" s="1" t="n">
        <v>45440</v>
      </c>
      <c r="C1112" s="1" t="n">
        <v>45877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16.5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21187-2024</t>
        </is>
      </c>
      <c r="B1113" s="1" t="n">
        <v>45440</v>
      </c>
      <c r="C1113" s="1" t="n">
        <v>45877</v>
      </c>
      <c r="D1113" t="inlineStr">
        <is>
          <t>DALARNAS LÄN</t>
        </is>
      </c>
      <c r="E1113" t="inlineStr">
        <is>
          <t>RÄTTVIK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21193-2024</t>
        </is>
      </c>
      <c r="B1114" s="1" t="n">
        <v>45440</v>
      </c>
      <c r="C1114" s="1" t="n">
        <v>45877</v>
      </c>
      <c r="D1114" t="inlineStr">
        <is>
          <t>DALARNAS LÄN</t>
        </is>
      </c>
      <c r="E1114" t="inlineStr">
        <is>
          <t>RÄTTVIK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21499-2024</t>
        </is>
      </c>
      <c r="B1115" s="1" t="n">
        <v>45441</v>
      </c>
      <c r="C1115" s="1" t="n">
        <v>45877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21394-2024</t>
        </is>
      </c>
      <c r="B1116" s="1" t="n">
        <v>45441</v>
      </c>
      <c r="C1116" s="1" t="n">
        <v>45877</v>
      </c>
      <c r="D1116" t="inlineStr">
        <is>
          <t>DALARNAS LÄN</t>
        </is>
      </c>
      <c r="E1116" t="inlineStr">
        <is>
          <t>RÄTTVIK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21393-2024</t>
        </is>
      </c>
      <c r="B1117" s="1" t="n">
        <v>45441</v>
      </c>
      <c r="C1117" s="1" t="n">
        <v>45877</v>
      </c>
      <c r="D1117" t="inlineStr">
        <is>
          <t>DALARNAS LÄN</t>
        </is>
      </c>
      <c r="E1117" t="inlineStr">
        <is>
          <t>RÄTTVIK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21838-2024</t>
        </is>
      </c>
      <c r="B1118" s="1" t="n">
        <v>45442</v>
      </c>
      <c r="C1118" s="1" t="n">
        <v>45877</v>
      </c>
      <c r="D1118" t="inlineStr">
        <is>
          <t>DALARNAS LÄN</t>
        </is>
      </c>
      <c r="E1118" t="inlineStr">
        <is>
          <t>RÄTTVIK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21723-2024</t>
        </is>
      </c>
      <c r="B1119" s="1" t="n">
        <v>45442</v>
      </c>
      <c r="C1119" s="1" t="n">
        <v>45877</v>
      </c>
      <c r="D1119" t="inlineStr">
        <is>
          <t>DALARNAS LÄN</t>
        </is>
      </c>
      <c r="E1119" t="inlineStr">
        <is>
          <t>RÄTTVIK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21882-2024</t>
        </is>
      </c>
      <c r="B1120" s="1" t="n">
        <v>45443</v>
      </c>
      <c r="C1120" s="1" t="n">
        <v>45877</v>
      </c>
      <c r="D1120" t="inlineStr">
        <is>
          <t>DALARNAS LÄN</t>
        </is>
      </c>
      <c r="E1120" t="inlineStr">
        <is>
          <t>RÄTTVIK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22183-2024</t>
        </is>
      </c>
      <c r="B1121" s="1" t="n">
        <v>45446</v>
      </c>
      <c r="C1121" s="1" t="n">
        <v>45877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22251-2024</t>
        </is>
      </c>
      <c r="B1122" s="1" t="n">
        <v>45446</v>
      </c>
      <c r="C1122" s="1" t="n">
        <v>45877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22324-2024</t>
        </is>
      </c>
      <c r="B1123" s="1" t="n">
        <v>45446</v>
      </c>
      <c r="C1123" s="1" t="n">
        <v>45877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17.3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22325-2024</t>
        </is>
      </c>
      <c r="B1124" s="1" t="n">
        <v>45446</v>
      </c>
      <c r="C1124" s="1" t="n">
        <v>45877</v>
      </c>
      <c r="D1124" t="inlineStr">
        <is>
          <t>DALARNAS LÄN</t>
        </is>
      </c>
      <c r="E1124" t="inlineStr">
        <is>
          <t>RÄTTVIK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22343-2024</t>
        </is>
      </c>
      <c r="B1125" s="1" t="n">
        <v>45446</v>
      </c>
      <c r="C1125" s="1" t="n">
        <v>45877</v>
      </c>
      <c r="D1125" t="inlineStr">
        <is>
          <t>DALARNAS LÄN</t>
        </is>
      </c>
      <c r="E1125" t="inlineStr">
        <is>
          <t>RÄTTVIK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22360-2024</t>
        </is>
      </c>
      <c r="B1126" s="1" t="n">
        <v>45446</v>
      </c>
      <c r="C1126" s="1" t="n">
        <v>45877</v>
      </c>
      <c r="D1126" t="inlineStr">
        <is>
          <t>DALARNAS LÄN</t>
        </is>
      </c>
      <c r="E1126" t="inlineStr">
        <is>
          <t>RÄTTVIK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22326-2024</t>
        </is>
      </c>
      <c r="B1127" s="1" t="n">
        <v>45446</v>
      </c>
      <c r="C1127" s="1" t="n">
        <v>45877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22184-2024</t>
        </is>
      </c>
      <c r="B1128" s="1" t="n">
        <v>45446</v>
      </c>
      <c r="C1128" s="1" t="n">
        <v>45877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22694-2024</t>
        </is>
      </c>
      <c r="B1129" s="1" t="n">
        <v>45448</v>
      </c>
      <c r="C1129" s="1" t="n">
        <v>45877</v>
      </c>
      <c r="D1129" t="inlineStr">
        <is>
          <t>DALARNAS LÄN</t>
        </is>
      </c>
      <c r="E1129" t="inlineStr">
        <is>
          <t>RÄTTVIK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23397-2024</t>
        </is>
      </c>
      <c r="B1130" s="1" t="n">
        <v>45453</v>
      </c>
      <c r="C1130" s="1" t="n">
        <v>45877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23401-2024</t>
        </is>
      </c>
      <c r="B1131" s="1" t="n">
        <v>45453</v>
      </c>
      <c r="C1131" s="1" t="n">
        <v>45877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23461-2024</t>
        </is>
      </c>
      <c r="B1132" s="1" t="n">
        <v>45453</v>
      </c>
      <c r="C1132" s="1" t="n">
        <v>45877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23408-2024</t>
        </is>
      </c>
      <c r="B1133" s="1" t="n">
        <v>45453</v>
      </c>
      <c r="C1133" s="1" t="n">
        <v>45877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23258-2024</t>
        </is>
      </c>
      <c r="B1134" s="1" t="n">
        <v>45453</v>
      </c>
      <c r="C1134" s="1" t="n">
        <v>45877</v>
      </c>
      <c r="D1134" t="inlineStr">
        <is>
          <t>DALARNAS LÄN</t>
        </is>
      </c>
      <c r="E1134" t="inlineStr">
        <is>
          <t>RÄTTVIK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23747-2024</t>
        </is>
      </c>
      <c r="B1135" s="1" t="n">
        <v>45455</v>
      </c>
      <c r="C1135" s="1" t="n">
        <v>45877</v>
      </c>
      <c r="D1135" t="inlineStr">
        <is>
          <t>DALARNAS LÄN</t>
        </is>
      </c>
      <c r="E1135" t="inlineStr">
        <is>
          <t>RÄTTVIK</t>
        </is>
      </c>
      <c r="F1135" t="inlineStr">
        <is>
          <t>Allmännings- och besparingsskogar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23752-2024</t>
        </is>
      </c>
      <c r="B1136" s="1" t="n">
        <v>45455</v>
      </c>
      <c r="C1136" s="1" t="n">
        <v>45877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24097-2024</t>
        </is>
      </c>
      <c r="B1137" s="1" t="n">
        <v>45456</v>
      </c>
      <c r="C1137" s="1" t="n">
        <v>45877</v>
      </c>
      <c r="D1137" t="inlineStr">
        <is>
          <t>DALARNAS LÄN</t>
        </is>
      </c>
      <c r="E1137" t="inlineStr">
        <is>
          <t>RÄTTVIK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24147-2024</t>
        </is>
      </c>
      <c r="B1138" s="1" t="n">
        <v>45456</v>
      </c>
      <c r="C1138" s="1" t="n">
        <v>45877</v>
      </c>
      <c r="D1138" t="inlineStr">
        <is>
          <t>DALARNAS LÄN</t>
        </is>
      </c>
      <c r="E1138" t="inlineStr">
        <is>
          <t>RÄTTVIK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24212-2024</t>
        </is>
      </c>
      <c r="B1139" s="1" t="n">
        <v>45457</v>
      </c>
      <c r="C1139" s="1" t="n">
        <v>45877</v>
      </c>
      <c r="D1139" t="inlineStr">
        <is>
          <t>DALARNAS LÄN</t>
        </is>
      </c>
      <c r="E1139" t="inlineStr">
        <is>
          <t>RÄTTVIK</t>
        </is>
      </c>
      <c r="F1139" t="inlineStr">
        <is>
          <t>Allmännings- och besparingsskogar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25306-2024</t>
        </is>
      </c>
      <c r="B1140" s="1" t="n">
        <v>45462</v>
      </c>
      <c r="C1140" s="1" t="n">
        <v>45877</v>
      </c>
      <c r="D1140" t="inlineStr">
        <is>
          <t>DALARNAS LÄN</t>
        </is>
      </c>
      <c r="E1140" t="inlineStr">
        <is>
          <t>RÄTTVIK</t>
        </is>
      </c>
      <c r="F1140" t="inlineStr">
        <is>
          <t>Bergvik skog väst AB</t>
        </is>
      </c>
      <c r="G1140" t="n">
        <v>28.3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25800-2024</t>
        </is>
      </c>
      <c r="B1141" s="1" t="n">
        <v>45467</v>
      </c>
      <c r="C1141" s="1" t="n">
        <v>45877</v>
      </c>
      <c r="D1141" t="inlineStr">
        <is>
          <t>DALARNAS LÄN</t>
        </is>
      </c>
      <c r="E1141" t="inlineStr">
        <is>
          <t>RÄTTVIK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26218-2024</t>
        </is>
      </c>
      <c r="B1142" s="1" t="n">
        <v>45468</v>
      </c>
      <c r="C1142" s="1" t="n">
        <v>45877</v>
      </c>
      <c r="D1142" t="inlineStr">
        <is>
          <t>DALARNAS LÄN</t>
        </is>
      </c>
      <c r="E1142" t="inlineStr">
        <is>
          <t>RÄTTVIK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26461-2024</t>
        </is>
      </c>
      <c r="B1143" s="1" t="n">
        <v>45469</v>
      </c>
      <c r="C1143" s="1" t="n">
        <v>45877</v>
      </c>
      <c r="D1143" t="inlineStr">
        <is>
          <t>DALARNAS LÄN</t>
        </is>
      </c>
      <c r="E1143" t="inlineStr">
        <is>
          <t>RÄTTVIK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27226-2024</t>
        </is>
      </c>
      <c r="B1144" s="1" t="n">
        <v>45471</v>
      </c>
      <c r="C1144" s="1" t="n">
        <v>45877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27962-2024</t>
        </is>
      </c>
      <c r="B1145" s="1" t="n">
        <v>45476</v>
      </c>
      <c r="C1145" s="1" t="n">
        <v>45877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28293-2024</t>
        </is>
      </c>
      <c r="B1146" s="1" t="n">
        <v>45477</v>
      </c>
      <c r="C1146" s="1" t="n">
        <v>45877</v>
      </c>
      <c r="D1146" t="inlineStr">
        <is>
          <t>DALARNAS LÄN</t>
        </is>
      </c>
      <c r="E1146" t="inlineStr">
        <is>
          <t>RÄTTVIK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28581-2024</t>
        </is>
      </c>
      <c r="B1147" s="1" t="n">
        <v>45478</v>
      </c>
      <c r="C1147" s="1" t="n">
        <v>45877</v>
      </c>
      <c r="D1147" t="inlineStr">
        <is>
          <t>DALARNAS LÄN</t>
        </is>
      </c>
      <c r="E1147" t="inlineStr">
        <is>
          <t>RÄTTVIK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28660-2024</t>
        </is>
      </c>
      <c r="B1148" s="1" t="n">
        <v>45478</v>
      </c>
      <c r="C1148" s="1" t="n">
        <v>45877</v>
      </c>
      <c r="D1148" t="inlineStr">
        <is>
          <t>DALARNAS LÄN</t>
        </is>
      </c>
      <c r="E1148" t="inlineStr">
        <is>
          <t>RÄTTVIK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28644-2024</t>
        </is>
      </c>
      <c r="B1149" s="1" t="n">
        <v>45478</v>
      </c>
      <c r="C1149" s="1" t="n">
        <v>45877</v>
      </c>
      <c r="D1149" t="inlineStr">
        <is>
          <t>DALARNAS LÄN</t>
        </is>
      </c>
      <c r="E1149" t="inlineStr">
        <is>
          <t>RÄTTVIK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28938-2024</t>
        </is>
      </c>
      <c r="B1150" s="1" t="n">
        <v>45481</v>
      </c>
      <c r="C1150" s="1" t="n">
        <v>45877</v>
      </c>
      <c r="D1150" t="inlineStr">
        <is>
          <t>DALARNAS LÄN</t>
        </is>
      </c>
      <c r="E1150" t="inlineStr">
        <is>
          <t>RÄTTVIK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29315-2024</t>
        </is>
      </c>
      <c r="B1151" s="1" t="n">
        <v>45483</v>
      </c>
      <c r="C1151" s="1" t="n">
        <v>45877</v>
      </c>
      <c r="D1151" t="inlineStr">
        <is>
          <t>DALARNAS LÄN</t>
        </is>
      </c>
      <c r="E1151" t="inlineStr">
        <is>
          <t>RÄTTVIK</t>
        </is>
      </c>
      <c r="F1151" t="inlineStr">
        <is>
          <t>Allmännings- och besparingsskogar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29506-2024</t>
        </is>
      </c>
      <c r="B1152" s="1" t="n">
        <v>45484</v>
      </c>
      <c r="C1152" s="1" t="n">
        <v>45877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29990-2024</t>
        </is>
      </c>
      <c r="B1153" s="1" t="n">
        <v>45488</v>
      </c>
      <c r="C1153" s="1" t="n">
        <v>45877</v>
      </c>
      <c r="D1153" t="inlineStr">
        <is>
          <t>DALARNAS LÄN</t>
        </is>
      </c>
      <c r="E1153" t="inlineStr">
        <is>
          <t>RÄTTVIK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29999-2024</t>
        </is>
      </c>
      <c r="B1154" s="1" t="n">
        <v>45488</v>
      </c>
      <c r="C1154" s="1" t="n">
        <v>45877</v>
      </c>
      <c r="D1154" t="inlineStr">
        <is>
          <t>DALARNAS LÄN</t>
        </is>
      </c>
      <c r="E1154" t="inlineStr">
        <is>
          <t>RÄTTVIK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30890-2024</t>
        </is>
      </c>
      <c r="B1155" s="1" t="n">
        <v>45498</v>
      </c>
      <c r="C1155" s="1" t="n">
        <v>45877</v>
      </c>
      <c r="D1155" t="inlineStr">
        <is>
          <t>DALARNAS LÄN</t>
        </is>
      </c>
      <c r="E1155" t="inlineStr">
        <is>
          <t>RÄTTVIK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30968-2024</t>
        </is>
      </c>
      <c r="B1156" s="1" t="n">
        <v>45499</v>
      </c>
      <c r="C1156" s="1" t="n">
        <v>45877</v>
      </c>
      <c r="D1156" t="inlineStr">
        <is>
          <t>DALARNAS LÄN</t>
        </is>
      </c>
      <c r="E1156" t="inlineStr">
        <is>
          <t>RÄTTVIK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30965-2024</t>
        </is>
      </c>
      <c r="B1157" s="1" t="n">
        <v>45499</v>
      </c>
      <c r="C1157" s="1" t="n">
        <v>45877</v>
      </c>
      <c r="D1157" t="inlineStr">
        <is>
          <t>DALARNAS LÄN</t>
        </is>
      </c>
      <c r="E1157" t="inlineStr">
        <is>
          <t>RÄTTVIK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30966-2024</t>
        </is>
      </c>
      <c r="B1158" s="1" t="n">
        <v>45499</v>
      </c>
      <c r="C1158" s="1" t="n">
        <v>45877</v>
      </c>
      <c r="D1158" t="inlineStr">
        <is>
          <t>DALARNAS LÄN</t>
        </is>
      </c>
      <c r="E1158" t="inlineStr">
        <is>
          <t>RÄTTVIK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31299-2024</t>
        </is>
      </c>
      <c r="B1159" s="1" t="n">
        <v>45504</v>
      </c>
      <c r="C1159" s="1" t="n">
        <v>45877</v>
      </c>
      <c r="D1159" t="inlineStr">
        <is>
          <t>DALARNAS LÄN</t>
        </is>
      </c>
      <c r="E1159" t="inlineStr">
        <is>
          <t>RÄTTVIK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31388-2024</t>
        </is>
      </c>
      <c r="B1160" s="1" t="n">
        <v>45505</v>
      </c>
      <c r="C1160" s="1" t="n">
        <v>45877</v>
      </c>
      <c r="D1160" t="inlineStr">
        <is>
          <t>DALARNAS LÄN</t>
        </is>
      </c>
      <c r="E1160" t="inlineStr">
        <is>
          <t>RÄTTVIK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31358-2024</t>
        </is>
      </c>
      <c r="B1161" s="1" t="n">
        <v>45505</v>
      </c>
      <c r="C1161" s="1" t="n">
        <v>45877</v>
      </c>
      <c r="D1161" t="inlineStr">
        <is>
          <t>DALARNAS LÄN</t>
        </is>
      </c>
      <c r="E1161" t="inlineStr">
        <is>
          <t>RÄTTVIK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31354-2024</t>
        </is>
      </c>
      <c r="B1162" s="1" t="n">
        <v>45505</v>
      </c>
      <c r="C1162" s="1" t="n">
        <v>45877</v>
      </c>
      <c r="D1162" t="inlineStr">
        <is>
          <t>DALARNAS LÄN</t>
        </is>
      </c>
      <c r="E1162" t="inlineStr">
        <is>
          <t>RÄTTVIK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31386-2024</t>
        </is>
      </c>
      <c r="B1163" s="1" t="n">
        <v>45505</v>
      </c>
      <c r="C1163" s="1" t="n">
        <v>45877</v>
      </c>
      <c r="D1163" t="inlineStr">
        <is>
          <t>DALARNAS LÄN</t>
        </is>
      </c>
      <c r="E1163" t="inlineStr">
        <is>
          <t>RÄTTVIK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31390-2024</t>
        </is>
      </c>
      <c r="B1164" s="1" t="n">
        <v>45505</v>
      </c>
      <c r="C1164" s="1" t="n">
        <v>45877</v>
      </c>
      <c r="D1164" t="inlineStr">
        <is>
          <t>DALARNAS LÄN</t>
        </is>
      </c>
      <c r="E1164" t="inlineStr">
        <is>
          <t>RÄTTVIK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31628-2024</t>
        </is>
      </c>
      <c r="B1165" s="1" t="n">
        <v>45506</v>
      </c>
      <c r="C1165" s="1" t="n">
        <v>45877</v>
      </c>
      <c r="D1165" t="inlineStr">
        <is>
          <t>DALARNAS LÄN</t>
        </is>
      </c>
      <c r="E1165" t="inlineStr">
        <is>
          <t>RÄTTVIK</t>
        </is>
      </c>
      <c r="F1165" t="inlineStr">
        <is>
          <t>Sveaskog</t>
        </is>
      </c>
      <c r="G1165" t="n">
        <v>10.8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32560-2024</t>
        </is>
      </c>
      <c r="B1166" s="1" t="n">
        <v>45513</v>
      </c>
      <c r="C1166" s="1" t="n">
        <v>45877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32561-2024</t>
        </is>
      </c>
      <c r="B1167" s="1" t="n">
        <v>45513</v>
      </c>
      <c r="C1167" s="1" t="n">
        <v>45877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32841-2024</t>
        </is>
      </c>
      <c r="B1168" s="1" t="n">
        <v>45516</v>
      </c>
      <c r="C1168" s="1" t="n">
        <v>45877</v>
      </c>
      <c r="D1168" t="inlineStr">
        <is>
          <t>DALARNAS LÄN</t>
        </is>
      </c>
      <c r="E1168" t="inlineStr">
        <is>
          <t>RÄTTVIK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32837-2024</t>
        </is>
      </c>
      <c r="B1169" s="1" t="n">
        <v>45516</v>
      </c>
      <c r="C1169" s="1" t="n">
        <v>45877</v>
      </c>
      <c r="D1169" t="inlineStr">
        <is>
          <t>DALARNAS LÄN</t>
        </is>
      </c>
      <c r="E1169" t="inlineStr">
        <is>
          <t>RÄTTVIK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32814-2024</t>
        </is>
      </c>
      <c r="B1170" s="1" t="n">
        <v>45516</v>
      </c>
      <c r="C1170" s="1" t="n">
        <v>45877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32703-2024</t>
        </is>
      </c>
      <c r="B1171" s="1" t="n">
        <v>45516</v>
      </c>
      <c r="C1171" s="1" t="n">
        <v>45877</v>
      </c>
      <c r="D1171" t="inlineStr">
        <is>
          <t>DALARNAS LÄN</t>
        </is>
      </c>
      <c r="E1171" t="inlineStr">
        <is>
          <t>RÄTTVIK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33082-2024</t>
        </is>
      </c>
      <c r="B1172" s="1" t="n">
        <v>45517</v>
      </c>
      <c r="C1172" s="1" t="n">
        <v>45877</v>
      </c>
      <c r="D1172" t="inlineStr">
        <is>
          <t>DALARNAS LÄN</t>
        </is>
      </c>
      <c r="E1172" t="inlineStr">
        <is>
          <t>RÄTTVIK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33068-2024</t>
        </is>
      </c>
      <c r="B1173" s="1" t="n">
        <v>45517</v>
      </c>
      <c r="C1173" s="1" t="n">
        <v>45877</v>
      </c>
      <c r="D1173" t="inlineStr">
        <is>
          <t>DALARNAS LÄN</t>
        </is>
      </c>
      <c r="E1173" t="inlineStr">
        <is>
          <t>RÄTTVIK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33273-2024</t>
        </is>
      </c>
      <c r="B1174" s="1" t="n">
        <v>45518</v>
      </c>
      <c r="C1174" s="1" t="n">
        <v>45877</v>
      </c>
      <c r="D1174" t="inlineStr">
        <is>
          <t>DALARNAS LÄN</t>
        </is>
      </c>
      <c r="E1174" t="inlineStr">
        <is>
          <t>RÄTTVIK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33165-2024</t>
        </is>
      </c>
      <c r="B1175" s="1" t="n">
        <v>45518</v>
      </c>
      <c r="C1175" s="1" t="n">
        <v>45877</v>
      </c>
      <c r="D1175" t="inlineStr">
        <is>
          <t>DALARNAS LÄN</t>
        </is>
      </c>
      <c r="E1175" t="inlineStr">
        <is>
          <t>RÄTTVIK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33140-2024</t>
        </is>
      </c>
      <c r="B1176" s="1" t="n">
        <v>45518</v>
      </c>
      <c r="C1176" s="1" t="n">
        <v>45877</v>
      </c>
      <c r="D1176" t="inlineStr">
        <is>
          <t>DALARNAS LÄN</t>
        </is>
      </c>
      <c r="E1176" t="inlineStr">
        <is>
          <t>RÄTTVIK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33276-2024</t>
        </is>
      </c>
      <c r="B1177" s="1" t="n">
        <v>45518</v>
      </c>
      <c r="C1177" s="1" t="n">
        <v>45877</v>
      </c>
      <c r="D1177" t="inlineStr">
        <is>
          <t>DALARNAS LÄN</t>
        </is>
      </c>
      <c r="E1177" t="inlineStr">
        <is>
          <t>RÄTTVIK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33190-2024</t>
        </is>
      </c>
      <c r="B1178" s="1" t="n">
        <v>45518</v>
      </c>
      <c r="C1178" s="1" t="n">
        <v>45877</v>
      </c>
      <c r="D1178" t="inlineStr">
        <is>
          <t>DALARNAS LÄN</t>
        </is>
      </c>
      <c r="E1178" t="inlineStr">
        <is>
          <t>RÄTTVIK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33174-2024</t>
        </is>
      </c>
      <c r="B1179" s="1" t="n">
        <v>45518</v>
      </c>
      <c r="C1179" s="1" t="n">
        <v>45877</v>
      </c>
      <c r="D1179" t="inlineStr">
        <is>
          <t>DALARNAS LÄN</t>
        </is>
      </c>
      <c r="E1179" t="inlineStr">
        <is>
          <t>RÄTTVIK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33167-2024</t>
        </is>
      </c>
      <c r="B1180" s="1" t="n">
        <v>45518</v>
      </c>
      <c r="C1180" s="1" t="n">
        <v>45877</v>
      </c>
      <c r="D1180" t="inlineStr">
        <is>
          <t>DALARNAS LÄN</t>
        </is>
      </c>
      <c r="E1180" t="inlineStr">
        <is>
          <t>RÄTTVIK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33671-2024</t>
        </is>
      </c>
      <c r="B1181" s="1" t="n">
        <v>45520</v>
      </c>
      <c r="C1181" s="1" t="n">
        <v>45877</v>
      </c>
      <c r="D1181" t="inlineStr">
        <is>
          <t>DALARNAS LÄN</t>
        </is>
      </c>
      <c r="E1181" t="inlineStr">
        <is>
          <t>RÄTTVIK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33838-2024</t>
        </is>
      </c>
      <c r="B1182" s="1" t="n">
        <v>45520</v>
      </c>
      <c r="C1182" s="1" t="n">
        <v>45877</v>
      </c>
      <c r="D1182" t="inlineStr">
        <is>
          <t>DALARNAS LÄN</t>
        </is>
      </c>
      <c r="E1182" t="inlineStr">
        <is>
          <t>RÄTTVIK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33948-2024</t>
        </is>
      </c>
      <c r="B1183" s="1" t="n">
        <v>45523</v>
      </c>
      <c r="C1183" s="1" t="n">
        <v>45877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33987-2024</t>
        </is>
      </c>
      <c r="B1184" s="1" t="n">
        <v>45523</v>
      </c>
      <c r="C1184" s="1" t="n">
        <v>45877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34030-2024</t>
        </is>
      </c>
      <c r="B1185" s="1" t="n">
        <v>45523</v>
      </c>
      <c r="C1185" s="1" t="n">
        <v>45877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33902-2024</t>
        </is>
      </c>
      <c r="B1186" s="1" t="n">
        <v>45523</v>
      </c>
      <c r="C1186" s="1" t="n">
        <v>45877</v>
      </c>
      <c r="D1186" t="inlineStr">
        <is>
          <t>DALARNAS LÄN</t>
        </is>
      </c>
      <c r="E1186" t="inlineStr">
        <is>
          <t>RÄTTVIK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34311-2024</t>
        </is>
      </c>
      <c r="B1187" s="1" t="n">
        <v>45524</v>
      </c>
      <c r="C1187" s="1" t="n">
        <v>45877</v>
      </c>
      <c r="D1187" t="inlineStr">
        <is>
          <t>DALARNAS LÄN</t>
        </is>
      </c>
      <c r="E1187" t="inlineStr">
        <is>
          <t>RÄTTVIK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34368-2024</t>
        </is>
      </c>
      <c r="B1188" s="1" t="n">
        <v>45525</v>
      </c>
      <c r="C1188" s="1" t="n">
        <v>45877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34339-2024</t>
        </is>
      </c>
      <c r="B1189" s="1" t="n">
        <v>45525</v>
      </c>
      <c r="C1189" s="1" t="n">
        <v>45877</v>
      </c>
      <c r="D1189" t="inlineStr">
        <is>
          <t>DALARNAS LÄN</t>
        </is>
      </c>
      <c r="E1189" t="inlineStr">
        <is>
          <t>RÄTTVIK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34340-2024</t>
        </is>
      </c>
      <c r="B1190" s="1" t="n">
        <v>45525</v>
      </c>
      <c r="C1190" s="1" t="n">
        <v>45877</v>
      </c>
      <c r="D1190" t="inlineStr">
        <is>
          <t>DALARNAS LÄN</t>
        </is>
      </c>
      <c r="E1190" t="inlineStr">
        <is>
          <t>RÄTTVIK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34626-2024</t>
        </is>
      </c>
      <c r="B1191" s="1" t="n">
        <v>45526</v>
      </c>
      <c r="C1191" s="1" t="n">
        <v>45877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väst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34575-2024</t>
        </is>
      </c>
      <c r="B1192" s="1" t="n">
        <v>45526</v>
      </c>
      <c r="C1192" s="1" t="n">
        <v>45877</v>
      </c>
      <c r="D1192" t="inlineStr">
        <is>
          <t>DALARNAS LÄN</t>
        </is>
      </c>
      <c r="E1192" t="inlineStr">
        <is>
          <t>RÄTTVIK</t>
        </is>
      </c>
      <c r="F1192" t="inlineStr">
        <is>
          <t>Bergvik skog väst AB</t>
        </is>
      </c>
      <c r="G1192" t="n">
        <v>10.8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34825-2024</t>
        </is>
      </c>
      <c r="B1193" s="1" t="n">
        <v>45526</v>
      </c>
      <c r="C1193" s="1" t="n">
        <v>45877</v>
      </c>
      <c r="D1193" t="inlineStr">
        <is>
          <t>DALARNAS LÄN</t>
        </is>
      </c>
      <c r="E1193" t="inlineStr">
        <is>
          <t>RÄTTVIK</t>
        </is>
      </c>
      <c r="F1193" t="inlineStr">
        <is>
          <t>Bergvik skog väst AB</t>
        </is>
      </c>
      <c r="G1193" t="n">
        <v>50.3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35095-2024</t>
        </is>
      </c>
      <c r="B1194" s="1" t="n">
        <v>45528</v>
      </c>
      <c r="C1194" s="1" t="n">
        <v>45877</v>
      </c>
      <c r="D1194" t="inlineStr">
        <is>
          <t>DALARNAS LÄN</t>
        </is>
      </c>
      <c r="E1194" t="inlineStr">
        <is>
          <t>RÄTTVIK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35250-2024</t>
        </is>
      </c>
      <c r="B1195" s="1" t="n">
        <v>45530</v>
      </c>
      <c r="C1195" s="1" t="n">
        <v>45877</v>
      </c>
      <c r="D1195" t="inlineStr">
        <is>
          <t>DALARNAS LÄN</t>
        </is>
      </c>
      <c r="E1195" t="inlineStr">
        <is>
          <t>RÄTTVIK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35483-2024</t>
        </is>
      </c>
      <c r="B1196" s="1" t="n">
        <v>45531</v>
      </c>
      <c r="C1196" s="1" t="n">
        <v>45877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35436-2024</t>
        </is>
      </c>
      <c r="B1197" s="1" t="n">
        <v>45531</v>
      </c>
      <c r="C1197" s="1" t="n">
        <v>45877</v>
      </c>
      <c r="D1197" t="inlineStr">
        <is>
          <t>DALARNAS LÄN</t>
        </is>
      </c>
      <c r="E1197" t="inlineStr">
        <is>
          <t>RÄTTVIK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35556-2024</t>
        </is>
      </c>
      <c r="B1198" s="1" t="n">
        <v>45531</v>
      </c>
      <c r="C1198" s="1" t="n">
        <v>45877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35889-2024</t>
        </is>
      </c>
      <c r="B1199" s="1" t="n">
        <v>45533</v>
      </c>
      <c r="C1199" s="1" t="n">
        <v>45877</v>
      </c>
      <c r="D1199" t="inlineStr">
        <is>
          <t>DALARNAS LÄN</t>
        </is>
      </c>
      <c r="E1199" t="inlineStr">
        <is>
          <t>RÄTTVIK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36169-2024</t>
        </is>
      </c>
      <c r="B1200" s="1" t="n">
        <v>45534</v>
      </c>
      <c r="C1200" s="1" t="n">
        <v>45877</v>
      </c>
      <c r="D1200" t="inlineStr">
        <is>
          <t>DALARNAS LÄN</t>
        </is>
      </c>
      <c r="E1200" t="inlineStr">
        <is>
          <t>RÄTTVIK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36172-2024</t>
        </is>
      </c>
      <c r="B1201" s="1" t="n">
        <v>45534</v>
      </c>
      <c r="C1201" s="1" t="n">
        <v>45877</v>
      </c>
      <c r="D1201" t="inlineStr">
        <is>
          <t>DALARNAS LÄN</t>
        </is>
      </c>
      <c r="E1201" t="inlineStr">
        <is>
          <t>RÄTTVIK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36415-2024</t>
        </is>
      </c>
      <c r="B1202" s="1" t="n">
        <v>45536</v>
      </c>
      <c r="C1202" s="1" t="n">
        <v>45877</v>
      </c>
      <c r="D1202" t="inlineStr">
        <is>
          <t>DALARNAS LÄN</t>
        </is>
      </c>
      <c r="E1202" t="inlineStr">
        <is>
          <t>RÄTTVIK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36458-2024</t>
        </is>
      </c>
      <c r="B1203" s="1" t="n">
        <v>45537</v>
      </c>
      <c r="C1203" s="1" t="n">
        <v>45877</v>
      </c>
      <c r="D1203" t="inlineStr">
        <is>
          <t>DALARNAS LÄN</t>
        </is>
      </c>
      <c r="E1203" t="inlineStr">
        <is>
          <t>RÄTTVIK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36455-2024</t>
        </is>
      </c>
      <c r="B1204" s="1" t="n">
        <v>45537</v>
      </c>
      <c r="C1204" s="1" t="n">
        <v>45877</v>
      </c>
      <c r="D1204" t="inlineStr">
        <is>
          <t>DALARNAS LÄN</t>
        </is>
      </c>
      <c r="E1204" t="inlineStr">
        <is>
          <t>RÄTTVIK</t>
        </is>
      </c>
      <c r="G1204" t="n">
        <v>9.800000000000001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36442-2024</t>
        </is>
      </c>
      <c r="B1205" s="1" t="n">
        <v>45537</v>
      </c>
      <c r="C1205" s="1" t="n">
        <v>45877</v>
      </c>
      <c r="D1205" t="inlineStr">
        <is>
          <t>DALARNAS LÄN</t>
        </is>
      </c>
      <c r="E1205" t="inlineStr">
        <is>
          <t>RÄTTVIK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36461-2024</t>
        </is>
      </c>
      <c r="B1206" s="1" t="n">
        <v>45537</v>
      </c>
      <c r="C1206" s="1" t="n">
        <v>45877</v>
      </c>
      <c r="D1206" t="inlineStr">
        <is>
          <t>DALARNAS LÄN</t>
        </is>
      </c>
      <c r="E1206" t="inlineStr">
        <is>
          <t>RÄTTVIK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36459-2024</t>
        </is>
      </c>
      <c r="B1207" s="1" t="n">
        <v>45537</v>
      </c>
      <c r="C1207" s="1" t="n">
        <v>45877</v>
      </c>
      <c r="D1207" t="inlineStr">
        <is>
          <t>DALARNAS LÄN</t>
        </is>
      </c>
      <c r="E1207" t="inlineStr">
        <is>
          <t>RÄTTVIK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36519-2024</t>
        </is>
      </c>
      <c r="B1208" s="1" t="n">
        <v>45537</v>
      </c>
      <c r="C1208" s="1" t="n">
        <v>45877</v>
      </c>
      <c r="D1208" t="inlineStr">
        <is>
          <t>DALARNAS LÄN</t>
        </is>
      </c>
      <c r="E1208" t="inlineStr">
        <is>
          <t>RÄTTVIK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36693-2024</t>
        </is>
      </c>
      <c r="B1209" s="1" t="n">
        <v>45537</v>
      </c>
      <c r="C1209" s="1" t="n">
        <v>45877</v>
      </c>
      <c r="D1209" t="inlineStr">
        <is>
          <t>DALARNAS LÄN</t>
        </is>
      </c>
      <c r="E1209" t="inlineStr">
        <is>
          <t>RÄTTVIK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36887-2024</t>
        </is>
      </c>
      <c r="B1210" s="1" t="n">
        <v>45538</v>
      </c>
      <c r="C1210" s="1" t="n">
        <v>45877</v>
      </c>
      <c r="D1210" t="inlineStr">
        <is>
          <t>DALARNAS LÄN</t>
        </is>
      </c>
      <c r="E1210" t="inlineStr">
        <is>
          <t>RÄTTVIK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37131-2024</t>
        </is>
      </c>
      <c r="B1211" s="1" t="n">
        <v>45539</v>
      </c>
      <c r="C1211" s="1" t="n">
        <v>45877</v>
      </c>
      <c r="D1211" t="inlineStr">
        <is>
          <t>DALARNAS LÄN</t>
        </is>
      </c>
      <c r="E1211" t="inlineStr">
        <is>
          <t>RÄTTVIK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37120-2024</t>
        </is>
      </c>
      <c r="B1212" s="1" t="n">
        <v>45539</v>
      </c>
      <c r="C1212" s="1" t="n">
        <v>45877</v>
      </c>
      <c r="D1212" t="inlineStr">
        <is>
          <t>DALARNAS LÄN</t>
        </is>
      </c>
      <c r="E1212" t="inlineStr">
        <is>
          <t>RÄTTVIK</t>
        </is>
      </c>
      <c r="G1212" t="n">
        <v>13.6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37124-2024</t>
        </is>
      </c>
      <c r="B1213" s="1" t="n">
        <v>45539</v>
      </c>
      <c r="C1213" s="1" t="n">
        <v>45877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37125-2024</t>
        </is>
      </c>
      <c r="B1214" s="1" t="n">
        <v>45539</v>
      </c>
      <c r="C1214" s="1" t="n">
        <v>45877</v>
      </c>
      <c r="D1214" t="inlineStr">
        <is>
          <t>DALARNAS LÄN</t>
        </is>
      </c>
      <c r="E1214" t="inlineStr">
        <is>
          <t>RÄTTVIK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37050-2024</t>
        </is>
      </c>
      <c r="B1215" s="1" t="n">
        <v>45539</v>
      </c>
      <c r="C1215" s="1" t="n">
        <v>45877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37055-2024</t>
        </is>
      </c>
      <c r="B1216" s="1" t="n">
        <v>45539</v>
      </c>
      <c r="C1216" s="1" t="n">
        <v>45877</v>
      </c>
      <c r="D1216" t="inlineStr">
        <is>
          <t>DALARNAS LÄN</t>
        </is>
      </c>
      <c r="E1216" t="inlineStr">
        <is>
          <t>RÄTTVIK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37034-2024</t>
        </is>
      </c>
      <c r="B1217" s="1" t="n">
        <v>45539</v>
      </c>
      <c r="C1217" s="1" t="n">
        <v>45877</v>
      </c>
      <c r="D1217" t="inlineStr">
        <is>
          <t>DALARNAS LÄN</t>
        </is>
      </c>
      <c r="E1217" t="inlineStr">
        <is>
          <t>RÄTTVIK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37591-2024</t>
        </is>
      </c>
      <c r="B1218" s="1" t="n">
        <v>45541</v>
      </c>
      <c r="C1218" s="1" t="n">
        <v>45877</v>
      </c>
      <c r="D1218" t="inlineStr">
        <is>
          <t>DALARNAS LÄN</t>
        </is>
      </c>
      <c r="E1218" t="inlineStr">
        <is>
          <t>RÄTTVIK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38004-2024</t>
        </is>
      </c>
      <c r="B1219" s="1" t="n">
        <v>45544</v>
      </c>
      <c r="C1219" s="1" t="n">
        <v>45877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38257-2024</t>
        </is>
      </c>
      <c r="B1220" s="1" t="n">
        <v>45545</v>
      </c>
      <c r="C1220" s="1" t="n">
        <v>45877</v>
      </c>
      <c r="D1220" t="inlineStr">
        <is>
          <t>DALARNAS LÄN</t>
        </is>
      </c>
      <c r="E1220" t="inlineStr">
        <is>
          <t>RÄTTVIK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38266-2024</t>
        </is>
      </c>
      <c r="B1221" s="1" t="n">
        <v>45545</v>
      </c>
      <c r="C1221" s="1" t="n">
        <v>45877</v>
      </c>
      <c r="D1221" t="inlineStr">
        <is>
          <t>DALARNAS LÄN</t>
        </is>
      </c>
      <c r="E1221" t="inlineStr">
        <is>
          <t>RÄTTVIK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38354-2024</t>
        </is>
      </c>
      <c r="B1222" s="1" t="n">
        <v>45545</v>
      </c>
      <c r="C1222" s="1" t="n">
        <v>45877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38384-2024</t>
        </is>
      </c>
      <c r="B1223" s="1" t="n">
        <v>45546</v>
      </c>
      <c r="C1223" s="1" t="n">
        <v>45877</v>
      </c>
      <c r="D1223" t="inlineStr">
        <is>
          <t>DALARNAS LÄN</t>
        </is>
      </c>
      <c r="E1223" t="inlineStr">
        <is>
          <t>RÄTTVIK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38385-2024</t>
        </is>
      </c>
      <c r="B1224" s="1" t="n">
        <v>45546</v>
      </c>
      <c r="C1224" s="1" t="n">
        <v>45877</v>
      </c>
      <c r="D1224" t="inlineStr">
        <is>
          <t>DALARNAS LÄN</t>
        </is>
      </c>
      <c r="E1224" t="inlineStr">
        <is>
          <t>RÄTTVIK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38692-2024</t>
        </is>
      </c>
      <c r="B1225" s="1" t="n">
        <v>45547</v>
      </c>
      <c r="C1225" s="1" t="n">
        <v>45877</v>
      </c>
      <c r="D1225" t="inlineStr">
        <is>
          <t>DALARNAS LÄN</t>
        </is>
      </c>
      <c r="E1225" t="inlineStr">
        <is>
          <t>RÄTTVIK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38710-2024</t>
        </is>
      </c>
      <c r="B1226" s="1" t="n">
        <v>45547</v>
      </c>
      <c r="C1226" s="1" t="n">
        <v>45877</v>
      </c>
      <c r="D1226" t="inlineStr">
        <is>
          <t>DALARNAS LÄN</t>
        </is>
      </c>
      <c r="E1226" t="inlineStr">
        <is>
          <t>RÄTTVIK</t>
        </is>
      </c>
      <c r="F1226" t="inlineStr">
        <is>
          <t>Bergvik skog väst AB</t>
        </is>
      </c>
      <c r="G1226" t="n">
        <v>14.8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39291-2024</t>
        </is>
      </c>
      <c r="B1227" s="1" t="n">
        <v>45551</v>
      </c>
      <c r="C1227" s="1" t="n">
        <v>45877</v>
      </c>
      <c r="D1227" t="inlineStr">
        <is>
          <t>DALARNAS LÄN</t>
        </is>
      </c>
      <c r="E1227" t="inlineStr">
        <is>
          <t>RÄTTVIK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39282-2024</t>
        </is>
      </c>
      <c r="B1228" s="1" t="n">
        <v>45551</v>
      </c>
      <c r="C1228" s="1" t="n">
        <v>45877</v>
      </c>
      <c r="D1228" t="inlineStr">
        <is>
          <t>DALARNAS LÄN</t>
        </is>
      </c>
      <c r="E1228" t="inlineStr">
        <is>
          <t>RÄTTVIK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39294-2024</t>
        </is>
      </c>
      <c r="B1229" s="1" t="n">
        <v>45551</v>
      </c>
      <c r="C1229" s="1" t="n">
        <v>45877</v>
      </c>
      <c r="D1229" t="inlineStr">
        <is>
          <t>DALARNAS LÄN</t>
        </is>
      </c>
      <c r="E1229" t="inlineStr">
        <is>
          <t>RÄTTVIK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39644-2024</t>
        </is>
      </c>
      <c r="B1230" s="1" t="n">
        <v>45552</v>
      </c>
      <c r="C1230" s="1" t="n">
        <v>45877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39712-2024</t>
        </is>
      </c>
      <c r="B1231" s="1" t="n">
        <v>45552</v>
      </c>
      <c r="C1231" s="1" t="n">
        <v>45877</v>
      </c>
      <c r="D1231" t="inlineStr">
        <is>
          <t>DALARNAS LÄN</t>
        </is>
      </c>
      <c r="E1231" t="inlineStr">
        <is>
          <t>RÄTTVIK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39614-2024</t>
        </is>
      </c>
      <c r="B1232" s="1" t="n">
        <v>45552</v>
      </c>
      <c r="C1232" s="1" t="n">
        <v>45877</v>
      </c>
      <c r="D1232" t="inlineStr">
        <is>
          <t>DALARNAS LÄN</t>
        </is>
      </c>
      <c r="E1232" t="inlineStr">
        <is>
          <t>RÄTTVIK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39634-2024</t>
        </is>
      </c>
      <c r="B1233" s="1" t="n">
        <v>45552</v>
      </c>
      <c r="C1233" s="1" t="n">
        <v>45877</v>
      </c>
      <c r="D1233" t="inlineStr">
        <is>
          <t>DALARNAS LÄN</t>
        </is>
      </c>
      <c r="E1233" t="inlineStr">
        <is>
          <t>RÄTTVIK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39862-2024</t>
        </is>
      </c>
      <c r="B1234" s="1" t="n">
        <v>45553</v>
      </c>
      <c r="C1234" s="1" t="n">
        <v>45877</v>
      </c>
      <c r="D1234" t="inlineStr">
        <is>
          <t>DALARNAS LÄN</t>
        </is>
      </c>
      <c r="E1234" t="inlineStr">
        <is>
          <t>RÄTTVIK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40409-2024</t>
        </is>
      </c>
      <c r="B1235" s="1" t="n">
        <v>45555</v>
      </c>
      <c r="C1235" s="1" t="n">
        <v>45877</v>
      </c>
      <c r="D1235" t="inlineStr">
        <is>
          <t>DALARNAS LÄN</t>
        </is>
      </c>
      <c r="E1235" t="inlineStr">
        <is>
          <t>RÄTTVIK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40458-2024</t>
        </is>
      </c>
      <c r="B1236" s="1" t="n">
        <v>45555</v>
      </c>
      <c r="C1236" s="1" t="n">
        <v>45877</v>
      </c>
      <c r="D1236" t="inlineStr">
        <is>
          <t>DALARNAS LÄN</t>
        </is>
      </c>
      <c r="E1236" t="inlineStr">
        <is>
          <t>RÄTTVIK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40514-2024</t>
        </is>
      </c>
      <c r="B1237" s="1" t="n">
        <v>45555</v>
      </c>
      <c r="C1237" s="1" t="n">
        <v>45877</v>
      </c>
      <c r="D1237" t="inlineStr">
        <is>
          <t>DALARNAS LÄN</t>
        </is>
      </c>
      <c r="E1237" t="inlineStr">
        <is>
          <t>RÄTTVIK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40435-2024</t>
        </is>
      </c>
      <c r="B1238" s="1" t="n">
        <v>45555</v>
      </c>
      <c r="C1238" s="1" t="n">
        <v>45877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40994-2024</t>
        </is>
      </c>
      <c r="B1239" s="1" t="n">
        <v>45558</v>
      </c>
      <c r="C1239" s="1" t="n">
        <v>45877</v>
      </c>
      <c r="D1239" t="inlineStr">
        <is>
          <t>DALARNAS LÄN</t>
        </is>
      </c>
      <c r="E1239" t="inlineStr">
        <is>
          <t>RÄTTVIK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41339-2024</t>
        </is>
      </c>
      <c r="B1240" s="1" t="n">
        <v>45559</v>
      </c>
      <c r="C1240" s="1" t="n">
        <v>45877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41542-2024</t>
        </is>
      </c>
      <c r="B1241" s="1" t="n">
        <v>45560</v>
      </c>
      <c r="C1241" s="1" t="n">
        <v>45877</v>
      </c>
      <c r="D1241" t="inlineStr">
        <is>
          <t>DALARNAS LÄN</t>
        </is>
      </c>
      <c r="E1241" t="inlineStr">
        <is>
          <t>RÄTTVIK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41451-2024</t>
        </is>
      </c>
      <c r="B1242" s="1" t="n">
        <v>45560</v>
      </c>
      <c r="C1242" s="1" t="n">
        <v>45877</v>
      </c>
      <c r="D1242" t="inlineStr">
        <is>
          <t>DALARNAS LÄN</t>
        </is>
      </c>
      <c r="E1242" t="inlineStr">
        <is>
          <t>RÄTTVIK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42089-2024</t>
        </is>
      </c>
      <c r="B1243" s="1" t="n">
        <v>45562</v>
      </c>
      <c r="C1243" s="1" t="n">
        <v>45877</v>
      </c>
      <c r="D1243" t="inlineStr">
        <is>
          <t>DALARNAS LÄN</t>
        </is>
      </c>
      <c r="E1243" t="inlineStr">
        <is>
          <t>RÄTTVIK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42295-2024</t>
        </is>
      </c>
      <c r="B1244" s="1" t="n">
        <v>45562</v>
      </c>
      <c r="C1244" s="1" t="n">
        <v>45877</v>
      </c>
      <c r="D1244" t="inlineStr">
        <is>
          <t>DALARNAS LÄN</t>
        </is>
      </c>
      <c r="E1244" t="inlineStr">
        <is>
          <t>RÄTTVIK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42576-2024</t>
        </is>
      </c>
      <c r="B1245" s="1" t="n">
        <v>45565</v>
      </c>
      <c r="C1245" s="1" t="n">
        <v>45877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7.5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42439-2024</t>
        </is>
      </c>
      <c r="B1246" s="1" t="n">
        <v>45565</v>
      </c>
      <c r="C1246" s="1" t="n">
        <v>45877</v>
      </c>
      <c r="D1246" t="inlineStr">
        <is>
          <t>DALARNAS LÄN</t>
        </is>
      </c>
      <c r="E1246" t="inlineStr">
        <is>
          <t>RÄTTVIK</t>
        </is>
      </c>
      <c r="F1246" t="inlineStr">
        <is>
          <t>Sveaskog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42404-2024</t>
        </is>
      </c>
      <c r="B1247" s="1" t="n">
        <v>45565</v>
      </c>
      <c r="C1247" s="1" t="n">
        <v>45877</v>
      </c>
      <c r="D1247" t="inlineStr">
        <is>
          <t>DALARNAS LÄN</t>
        </is>
      </c>
      <c r="E1247" t="inlineStr">
        <is>
          <t>RÄTTVIK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42940-2024</t>
        </is>
      </c>
      <c r="B1248" s="1" t="n">
        <v>45567</v>
      </c>
      <c r="C1248" s="1" t="n">
        <v>45877</v>
      </c>
      <c r="D1248" t="inlineStr">
        <is>
          <t>DALARNAS LÄN</t>
        </is>
      </c>
      <c r="E1248" t="inlineStr">
        <is>
          <t>RÄTTVIK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42933-2024</t>
        </is>
      </c>
      <c r="B1249" s="1" t="n">
        <v>45567</v>
      </c>
      <c r="C1249" s="1" t="n">
        <v>45877</v>
      </c>
      <c r="D1249" t="inlineStr">
        <is>
          <t>DALARNAS LÄN</t>
        </is>
      </c>
      <c r="E1249" t="inlineStr">
        <is>
          <t>RÄTTVIK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43011-2024</t>
        </is>
      </c>
      <c r="B1250" s="1" t="n">
        <v>45567</v>
      </c>
      <c r="C1250" s="1" t="n">
        <v>45877</v>
      </c>
      <c r="D1250" t="inlineStr">
        <is>
          <t>DALARNAS LÄN</t>
        </is>
      </c>
      <c r="E1250" t="inlineStr">
        <is>
          <t>RÄTTVIK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42938-2024</t>
        </is>
      </c>
      <c r="B1251" s="1" t="n">
        <v>45567</v>
      </c>
      <c r="C1251" s="1" t="n">
        <v>45877</v>
      </c>
      <c r="D1251" t="inlineStr">
        <is>
          <t>DALARNAS LÄN</t>
        </is>
      </c>
      <c r="E1251" t="inlineStr">
        <is>
          <t>RÄTTVIK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42926-2024</t>
        </is>
      </c>
      <c r="B1252" s="1" t="n">
        <v>45567</v>
      </c>
      <c r="C1252" s="1" t="n">
        <v>45877</v>
      </c>
      <c r="D1252" t="inlineStr">
        <is>
          <t>DALARNAS LÄN</t>
        </is>
      </c>
      <c r="E1252" t="inlineStr">
        <is>
          <t>RÄTTVIK</t>
        </is>
      </c>
      <c r="F1252" t="inlineStr">
        <is>
          <t>Övriga statliga verk och myndigheter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43275-2024</t>
        </is>
      </c>
      <c r="B1253" s="1" t="n">
        <v>45568</v>
      </c>
      <c r="C1253" s="1" t="n">
        <v>45877</v>
      </c>
      <c r="D1253" t="inlineStr">
        <is>
          <t>DALARNAS LÄN</t>
        </is>
      </c>
      <c r="E1253" t="inlineStr">
        <is>
          <t>RÄTTVIK</t>
        </is>
      </c>
      <c r="F1253" t="inlineStr">
        <is>
          <t>Övriga statliga verk och myndigheter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43540-2024</t>
        </is>
      </c>
      <c r="B1254" s="1" t="n">
        <v>45569</v>
      </c>
      <c r="C1254" s="1" t="n">
        <v>45877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38.1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43563-2024</t>
        </is>
      </c>
      <c r="B1255" s="1" t="n">
        <v>45569</v>
      </c>
      <c r="C1255" s="1" t="n">
        <v>45877</v>
      </c>
      <c r="D1255" t="inlineStr">
        <is>
          <t>DALARNAS LÄN</t>
        </is>
      </c>
      <c r="E1255" t="inlineStr">
        <is>
          <t>RÄTTVIK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43756-2024</t>
        </is>
      </c>
      <c r="B1256" s="1" t="n">
        <v>45569</v>
      </c>
      <c r="C1256" s="1" t="n">
        <v>45877</v>
      </c>
      <c r="D1256" t="inlineStr">
        <is>
          <t>DALARNAS LÄN</t>
        </is>
      </c>
      <c r="E1256" t="inlineStr">
        <is>
          <t>RÄTTVIK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43753-2024</t>
        </is>
      </c>
      <c r="B1257" s="1" t="n">
        <v>45569</v>
      </c>
      <c r="C1257" s="1" t="n">
        <v>45877</v>
      </c>
      <c r="D1257" t="inlineStr">
        <is>
          <t>DALARNAS LÄN</t>
        </is>
      </c>
      <c r="E1257" t="inlineStr">
        <is>
          <t>RÄTTVIK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43847-2024</t>
        </is>
      </c>
      <c r="B1258" s="1" t="n">
        <v>45569</v>
      </c>
      <c r="C1258" s="1" t="n">
        <v>45877</v>
      </c>
      <c r="D1258" t="inlineStr">
        <is>
          <t>DALARNAS LÄN</t>
        </is>
      </c>
      <c r="E1258" t="inlineStr">
        <is>
          <t>RÄTTVIK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44111-2024</t>
        </is>
      </c>
      <c r="B1259" s="1" t="n">
        <v>45572</v>
      </c>
      <c r="C1259" s="1" t="n">
        <v>45877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43838-2024</t>
        </is>
      </c>
      <c r="B1260" s="1" t="n">
        <v>45572</v>
      </c>
      <c r="C1260" s="1" t="n">
        <v>45877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44168-2024</t>
        </is>
      </c>
      <c r="B1261" s="1" t="n">
        <v>45572</v>
      </c>
      <c r="C1261" s="1" t="n">
        <v>45877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44207-2024</t>
        </is>
      </c>
      <c r="B1262" s="1" t="n">
        <v>45573</v>
      </c>
      <c r="C1262" s="1" t="n">
        <v>45877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45047-2024</t>
        </is>
      </c>
      <c r="B1263" s="1" t="n">
        <v>45575</v>
      </c>
      <c r="C1263" s="1" t="n">
        <v>45877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45052-2024</t>
        </is>
      </c>
      <c r="B1264" s="1" t="n">
        <v>45575</v>
      </c>
      <c r="C1264" s="1" t="n">
        <v>45877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45043-2024</t>
        </is>
      </c>
      <c r="B1265" s="1" t="n">
        <v>45575</v>
      </c>
      <c r="C1265" s="1" t="n">
        <v>45877</v>
      </c>
      <c r="D1265" t="inlineStr">
        <is>
          <t>DALARNAS LÄN</t>
        </is>
      </c>
      <c r="E1265" t="inlineStr">
        <is>
          <t>RÄTTVIK</t>
        </is>
      </c>
      <c r="F1265" t="inlineStr">
        <is>
          <t>Bergvik skog väst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45512-2024</t>
        </is>
      </c>
      <c r="B1266" s="1" t="n">
        <v>45578</v>
      </c>
      <c r="C1266" s="1" t="n">
        <v>45877</v>
      </c>
      <c r="D1266" t="inlineStr">
        <is>
          <t>DALARNAS LÄN</t>
        </is>
      </c>
      <c r="E1266" t="inlineStr">
        <is>
          <t>RÄTTVIK</t>
        </is>
      </c>
      <c r="F1266" t="inlineStr">
        <is>
          <t>Övriga statliga verk och myndigheter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46031-2024</t>
        </is>
      </c>
      <c r="B1267" s="1" t="n">
        <v>45580</v>
      </c>
      <c r="C1267" s="1" t="n">
        <v>45877</v>
      </c>
      <c r="D1267" t="inlineStr">
        <is>
          <t>DALARNAS LÄN</t>
        </is>
      </c>
      <c r="E1267" t="inlineStr">
        <is>
          <t>RÄTTVIK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46390-2024</t>
        </is>
      </c>
      <c r="B1268" s="1" t="n">
        <v>45582</v>
      </c>
      <c r="C1268" s="1" t="n">
        <v>45877</v>
      </c>
      <c r="D1268" t="inlineStr">
        <is>
          <t>DALARNAS LÄN</t>
        </is>
      </c>
      <c r="E1268" t="inlineStr">
        <is>
          <t>RÄTTVIK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46428-2024</t>
        </is>
      </c>
      <c r="B1269" s="1" t="n">
        <v>45582</v>
      </c>
      <c r="C1269" s="1" t="n">
        <v>45877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46387-2024</t>
        </is>
      </c>
      <c r="B1270" s="1" t="n">
        <v>45582</v>
      </c>
      <c r="C1270" s="1" t="n">
        <v>45877</v>
      </c>
      <c r="D1270" t="inlineStr">
        <is>
          <t>DALARNAS LÄN</t>
        </is>
      </c>
      <c r="E1270" t="inlineStr">
        <is>
          <t>RÄTTVIK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46384-2024</t>
        </is>
      </c>
      <c r="B1271" s="1" t="n">
        <v>45582</v>
      </c>
      <c r="C1271" s="1" t="n">
        <v>45877</v>
      </c>
      <c r="D1271" t="inlineStr">
        <is>
          <t>DALARNAS LÄN</t>
        </is>
      </c>
      <c r="E1271" t="inlineStr">
        <is>
          <t>RÄTTVIK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47146-2024</t>
        </is>
      </c>
      <c r="B1272" s="1" t="n">
        <v>45586</v>
      </c>
      <c r="C1272" s="1" t="n">
        <v>45877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47300-2024</t>
        </is>
      </c>
      <c r="B1273" s="1" t="n">
        <v>45586</v>
      </c>
      <c r="C1273" s="1" t="n">
        <v>45877</v>
      </c>
      <c r="D1273" t="inlineStr">
        <is>
          <t>DALARNAS LÄN</t>
        </is>
      </c>
      <c r="E1273" t="inlineStr">
        <is>
          <t>RÄTTVIK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47031-2024</t>
        </is>
      </c>
      <c r="B1274" s="1" t="n">
        <v>45586</v>
      </c>
      <c r="C1274" s="1" t="n">
        <v>45877</v>
      </c>
      <c r="D1274" t="inlineStr">
        <is>
          <t>DALARNAS LÄN</t>
        </is>
      </c>
      <c r="E1274" t="inlineStr">
        <is>
          <t>RÄTTVIK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47571-2024</t>
        </is>
      </c>
      <c r="B1275" s="1" t="n">
        <v>45587</v>
      </c>
      <c r="C1275" s="1" t="n">
        <v>45877</v>
      </c>
      <c r="D1275" t="inlineStr">
        <is>
          <t>DALARNAS LÄN</t>
        </is>
      </c>
      <c r="E1275" t="inlineStr">
        <is>
          <t>RÄTTVIK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47610-2024</t>
        </is>
      </c>
      <c r="B1276" s="1" t="n">
        <v>45588</v>
      </c>
      <c r="C1276" s="1" t="n">
        <v>45877</v>
      </c>
      <c r="D1276" t="inlineStr">
        <is>
          <t>DALARNAS LÄN</t>
        </is>
      </c>
      <c r="E1276" t="inlineStr">
        <is>
          <t>RÄTTVIK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47609-2024</t>
        </is>
      </c>
      <c r="B1277" s="1" t="n">
        <v>45588</v>
      </c>
      <c r="C1277" s="1" t="n">
        <v>45877</v>
      </c>
      <c r="D1277" t="inlineStr">
        <is>
          <t>DALARNAS LÄN</t>
        </is>
      </c>
      <c r="E1277" t="inlineStr">
        <is>
          <t>RÄTTVIK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47611-2024</t>
        </is>
      </c>
      <c r="B1278" s="1" t="n">
        <v>45588</v>
      </c>
      <c r="C1278" s="1" t="n">
        <v>45877</v>
      </c>
      <c r="D1278" t="inlineStr">
        <is>
          <t>DALARNAS LÄN</t>
        </is>
      </c>
      <c r="E1278" t="inlineStr">
        <is>
          <t>RÄTTVIK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47572-2024</t>
        </is>
      </c>
      <c r="B1279" s="1" t="n">
        <v>45587</v>
      </c>
      <c r="C1279" s="1" t="n">
        <v>45877</v>
      </c>
      <c r="D1279" t="inlineStr">
        <is>
          <t>DALARNAS LÄN</t>
        </is>
      </c>
      <c r="E1279" t="inlineStr">
        <is>
          <t>RÄTTVIK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47612-2024</t>
        </is>
      </c>
      <c r="B1280" s="1" t="n">
        <v>45588</v>
      </c>
      <c r="C1280" s="1" t="n">
        <v>45877</v>
      </c>
      <c r="D1280" t="inlineStr">
        <is>
          <t>DALARNAS LÄN</t>
        </is>
      </c>
      <c r="E1280" t="inlineStr">
        <is>
          <t>RÄTTVIK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47616-2024</t>
        </is>
      </c>
      <c r="B1281" s="1" t="n">
        <v>45588</v>
      </c>
      <c r="C1281" s="1" t="n">
        <v>45877</v>
      </c>
      <c r="D1281" t="inlineStr">
        <is>
          <t>DALARNAS LÄN</t>
        </is>
      </c>
      <c r="E1281" t="inlineStr">
        <is>
          <t>RÄTTVIK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47802-2024</t>
        </is>
      </c>
      <c r="B1282" s="1" t="n">
        <v>45588</v>
      </c>
      <c r="C1282" s="1" t="n">
        <v>45877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48056-2024</t>
        </is>
      </c>
      <c r="B1283" s="1" t="n">
        <v>45589</v>
      </c>
      <c r="C1283" s="1" t="n">
        <v>45877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9.1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48230-2024</t>
        </is>
      </c>
      <c r="B1284" s="1" t="n">
        <v>45590</v>
      </c>
      <c r="C1284" s="1" t="n">
        <v>45877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48223-2024</t>
        </is>
      </c>
      <c r="B1285" s="1" t="n">
        <v>45590</v>
      </c>
      <c r="C1285" s="1" t="n">
        <v>45877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48708-2024</t>
        </is>
      </c>
      <c r="B1286" s="1" t="n">
        <v>45593</v>
      </c>
      <c r="C1286" s="1" t="n">
        <v>45877</v>
      </c>
      <c r="D1286" t="inlineStr">
        <is>
          <t>DALARNAS LÄN</t>
        </is>
      </c>
      <c r="E1286" t="inlineStr">
        <is>
          <t>RÄTTVIK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48582-2024</t>
        </is>
      </c>
      <c r="B1287" s="1" t="n">
        <v>45593</v>
      </c>
      <c r="C1287" s="1" t="n">
        <v>45877</v>
      </c>
      <c r="D1287" t="inlineStr">
        <is>
          <t>DALARNAS LÄN</t>
        </is>
      </c>
      <c r="E1287" t="inlineStr">
        <is>
          <t>RÄTTVIK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48939-2024</t>
        </is>
      </c>
      <c r="B1288" s="1" t="n">
        <v>45594</v>
      </c>
      <c r="C1288" s="1" t="n">
        <v>45877</v>
      </c>
      <c r="D1288" t="inlineStr">
        <is>
          <t>DALARNAS LÄN</t>
        </is>
      </c>
      <c r="E1288" t="inlineStr">
        <is>
          <t>RÄTTVIK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49176-2024</t>
        </is>
      </c>
      <c r="B1289" s="1" t="n">
        <v>45595</v>
      </c>
      <c r="C1289" s="1" t="n">
        <v>45877</v>
      </c>
      <c r="D1289" t="inlineStr">
        <is>
          <t>DALARNAS LÄN</t>
        </is>
      </c>
      <c r="E1289" t="inlineStr">
        <is>
          <t>RÄTTVIK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49493-2024</t>
        </is>
      </c>
      <c r="B1290" s="1" t="n">
        <v>45596</v>
      </c>
      <c r="C1290" s="1" t="n">
        <v>45877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49496-2024</t>
        </is>
      </c>
      <c r="B1291" s="1" t="n">
        <v>45596</v>
      </c>
      <c r="C1291" s="1" t="n">
        <v>45877</v>
      </c>
      <c r="D1291" t="inlineStr">
        <is>
          <t>DALARNAS LÄN</t>
        </is>
      </c>
      <c r="E1291" t="inlineStr">
        <is>
          <t>RÄTTVIK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49974-2024</t>
        </is>
      </c>
      <c r="B1292" s="1" t="n">
        <v>45597</v>
      </c>
      <c r="C1292" s="1" t="n">
        <v>45877</v>
      </c>
      <c r="D1292" t="inlineStr">
        <is>
          <t>DALARNAS LÄN</t>
        </is>
      </c>
      <c r="E1292" t="inlineStr">
        <is>
          <t>RÄTTVIK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50097-2024</t>
        </is>
      </c>
      <c r="B1293" s="1" t="n">
        <v>45600</v>
      </c>
      <c r="C1293" s="1" t="n">
        <v>45877</v>
      </c>
      <c r="D1293" t="inlineStr">
        <is>
          <t>DALARNAS LÄN</t>
        </is>
      </c>
      <c r="E1293" t="inlineStr">
        <is>
          <t>RÄTTVIK</t>
        </is>
      </c>
      <c r="F1293" t="inlineStr">
        <is>
          <t>Bergvik skog väst AB</t>
        </is>
      </c>
      <c r="G1293" t="n">
        <v>13.6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50144-2024</t>
        </is>
      </c>
      <c r="B1294" s="1" t="n">
        <v>45600</v>
      </c>
      <c r="C1294" s="1" t="n">
        <v>45877</v>
      </c>
      <c r="D1294" t="inlineStr">
        <is>
          <t>DALARNAS LÄN</t>
        </is>
      </c>
      <c r="E1294" t="inlineStr">
        <is>
          <t>RÄTTVIK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50153-2024</t>
        </is>
      </c>
      <c r="B1295" s="1" t="n">
        <v>45600</v>
      </c>
      <c r="C1295" s="1" t="n">
        <v>45877</v>
      </c>
      <c r="D1295" t="inlineStr">
        <is>
          <t>DALARNAS LÄN</t>
        </is>
      </c>
      <c r="E1295" t="inlineStr">
        <is>
          <t>RÄTTVIK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50149-2024</t>
        </is>
      </c>
      <c r="B1296" s="1" t="n">
        <v>45600</v>
      </c>
      <c r="C1296" s="1" t="n">
        <v>45877</v>
      </c>
      <c r="D1296" t="inlineStr">
        <is>
          <t>DALARNAS LÄN</t>
        </is>
      </c>
      <c r="E1296" t="inlineStr">
        <is>
          <t>RÄTTVIK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50110-2024</t>
        </is>
      </c>
      <c r="B1297" s="1" t="n">
        <v>45600</v>
      </c>
      <c r="C1297" s="1" t="n">
        <v>45877</v>
      </c>
      <c r="D1297" t="inlineStr">
        <is>
          <t>DALARNAS LÄN</t>
        </is>
      </c>
      <c r="E1297" t="inlineStr">
        <is>
          <t>RÄTTVIK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50892-2024</t>
        </is>
      </c>
      <c r="B1298" s="1" t="n">
        <v>45602</v>
      </c>
      <c r="C1298" s="1" t="n">
        <v>45877</v>
      </c>
      <c r="D1298" t="inlineStr">
        <is>
          <t>DALARNAS LÄN</t>
        </is>
      </c>
      <c r="E1298" t="inlineStr">
        <is>
          <t>RÄTTVIK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51175-2024</t>
        </is>
      </c>
      <c r="B1299" s="1" t="n">
        <v>45603</v>
      </c>
      <c r="C1299" s="1" t="n">
        <v>45877</v>
      </c>
      <c r="D1299" t="inlineStr">
        <is>
          <t>DALARNAS LÄN</t>
        </is>
      </c>
      <c r="E1299" t="inlineStr">
        <is>
          <t>RÄTTVIK</t>
        </is>
      </c>
      <c r="G1299" t="n">
        <v>7.9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51207-2024</t>
        </is>
      </c>
      <c r="B1300" s="1" t="n">
        <v>45603</v>
      </c>
      <c r="C1300" s="1" t="n">
        <v>45877</v>
      </c>
      <c r="D1300" t="inlineStr">
        <is>
          <t>DALARNAS LÄN</t>
        </is>
      </c>
      <c r="E1300" t="inlineStr">
        <is>
          <t>RÄTTVIK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51208-2024</t>
        </is>
      </c>
      <c r="B1301" s="1" t="n">
        <v>45603</v>
      </c>
      <c r="C1301" s="1" t="n">
        <v>45877</v>
      </c>
      <c r="D1301" t="inlineStr">
        <is>
          <t>DALARNAS LÄN</t>
        </is>
      </c>
      <c r="E1301" t="inlineStr">
        <is>
          <t>RÄTTVIK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51209-2024</t>
        </is>
      </c>
      <c r="B1302" s="1" t="n">
        <v>45603</v>
      </c>
      <c r="C1302" s="1" t="n">
        <v>45877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51206-2024</t>
        </is>
      </c>
      <c r="B1303" s="1" t="n">
        <v>45603</v>
      </c>
      <c r="C1303" s="1" t="n">
        <v>45877</v>
      </c>
      <c r="D1303" t="inlineStr">
        <is>
          <t>DALARNAS LÄN</t>
        </is>
      </c>
      <c r="E1303" t="inlineStr">
        <is>
          <t>RÄTTVIK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51566-2024</t>
        </is>
      </c>
      <c r="B1304" s="1" t="n">
        <v>45604</v>
      </c>
      <c r="C1304" s="1" t="n">
        <v>45877</v>
      </c>
      <c r="D1304" t="inlineStr">
        <is>
          <t>DALARNAS LÄN</t>
        </is>
      </c>
      <c r="E1304" t="inlineStr">
        <is>
          <t>RÄTTVIK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51887-2024</t>
        </is>
      </c>
      <c r="B1305" s="1" t="n">
        <v>45607</v>
      </c>
      <c r="C1305" s="1" t="n">
        <v>45877</v>
      </c>
      <c r="D1305" t="inlineStr">
        <is>
          <t>DALARNAS LÄN</t>
        </is>
      </c>
      <c r="E1305" t="inlineStr">
        <is>
          <t>RÄTTVIK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52526-2024</t>
        </is>
      </c>
      <c r="B1306" s="1" t="n">
        <v>45609</v>
      </c>
      <c r="C1306" s="1" t="n">
        <v>45877</v>
      </c>
      <c r="D1306" t="inlineStr">
        <is>
          <t>DALARNAS LÄN</t>
        </is>
      </c>
      <c r="E1306" t="inlineStr">
        <is>
          <t>RÄTTVIK</t>
        </is>
      </c>
      <c r="F1306" t="inlineStr">
        <is>
          <t>Bergvik skog väst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53080-2024</t>
        </is>
      </c>
      <c r="B1307" s="1" t="n">
        <v>45611</v>
      </c>
      <c r="C1307" s="1" t="n">
        <v>45877</v>
      </c>
      <c r="D1307" t="inlineStr">
        <is>
          <t>DALARNAS LÄN</t>
        </is>
      </c>
      <c r="E1307" t="inlineStr">
        <is>
          <t>RÄTTVIK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53848-2024</t>
        </is>
      </c>
      <c r="B1308" s="1" t="n">
        <v>45614</v>
      </c>
      <c r="C1308" s="1" t="n">
        <v>45877</v>
      </c>
      <c r="D1308" t="inlineStr">
        <is>
          <t>DALARNAS LÄN</t>
        </is>
      </c>
      <c r="E1308" t="inlineStr">
        <is>
          <t>RÄTTVIK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53853-2024</t>
        </is>
      </c>
      <c r="B1309" s="1" t="n">
        <v>45614</v>
      </c>
      <c r="C1309" s="1" t="n">
        <v>45877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53453-2024</t>
        </is>
      </c>
      <c r="B1310" s="1" t="n">
        <v>45614</v>
      </c>
      <c r="C1310" s="1" t="n">
        <v>45877</v>
      </c>
      <c r="D1310" t="inlineStr">
        <is>
          <t>DALARNAS LÄN</t>
        </is>
      </c>
      <c r="E1310" t="inlineStr">
        <is>
          <t>RÄTTVIK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53449-2024</t>
        </is>
      </c>
      <c r="B1311" s="1" t="n">
        <v>45614</v>
      </c>
      <c r="C1311" s="1" t="n">
        <v>45877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53932-2024</t>
        </is>
      </c>
      <c r="B1312" s="1" t="n">
        <v>45615</v>
      </c>
      <c r="C1312" s="1" t="n">
        <v>45877</v>
      </c>
      <c r="D1312" t="inlineStr">
        <is>
          <t>DALARNAS LÄN</t>
        </is>
      </c>
      <c r="E1312" t="inlineStr">
        <is>
          <t>RÄTTVIK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53666-2024</t>
        </is>
      </c>
      <c r="B1313" s="1" t="n">
        <v>45615</v>
      </c>
      <c r="C1313" s="1" t="n">
        <v>45877</v>
      </c>
      <c r="D1313" t="inlineStr">
        <is>
          <t>DALARNAS LÄN</t>
        </is>
      </c>
      <c r="E1313" t="inlineStr">
        <is>
          <t>RÄTTVIK</t>
        </is>
      </c>
      <c r="G1313" t="n">
        <v>9.5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54114-2024</t>
        </is>
      </c>
      <c r="B1314" s="1" t="n">
        <v>45616</v>
      </c>
      <c r="C1314" s="1" t="n">
        <v>45877</v>
      </c>
      <c r="D1314" t="inlineStr">
        <is>
          <t>DALARNAS LÄN</t>
        </is>
      </c>
      <c r="E1314" t="inlineStr">
        <is>
          <t>RÄTTVIK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54280-2024</t>
        </is>
      </c>
      <c r="B1315" s="1" t="n">
        <v>45616</v>
      </c>
      <c r="C1315" s="1" t="n">
        <v>45877</v>
      </c>
      <c r="D1315" t="inlineStr">
        <is>
          <t>DALARNAS LÄN</t>
        </is>
      </c>
      <c r="E1315" t="inlineStr">
        <is>
          <t>RÄTTVIK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54115-2024</t>
        </is>
      </c>
      <c r="B1316" s="1" t="n">
        <v>45616</v>
      </c>
      <c r="C1316" s="1" t="n">
        <v>45877</v>
      </c>
      <c r="D1316" t="inlineStr">
        <is>
          <t>DALARNAS LÄN</t>
        </is>
      </c>
      <c r="E1316" t="inlineStr">
        <is>
          <t>RÄTTVIK</t>
        </is>
      </c>
      <c r="G1316" t="n">
        <v>9.300000000000001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54243-2024</t>
        </is>
      </c>
      <c r="B1317" s="1" t="n">
        <v>45616</v>
      </c>
      <c r="C1317" s="1" t="n">
        <v>45877</v>
      </c>
      <c r="D1317" t="inlineStr">
        <is>
          <t>DALARNAS LÄN</t>
        </is>
      </c>
      <c r="E1317" t="inlineStr">
        <is>
          <t>RÄTTVIK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54300-2024</t>
        </is>
      </c>
      <c r="B1318" s="1" t="n">
        <v>45617</v>
      </c>
      <c r="C1318" s="1" t="n">
        <v>45877</v>
      </c>
      <c r="D1318" t="inlineStr">
        <is>
          <t>DALARNAS LÄN</t>
        </is>
      </c>
      <c r="E1318" t="inlineStr">
        <is>
          <t>RÄTTVIK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54321-2024</t>
        </is>
      </c>
      <c r="B1319" s="1" t="n">
        <v>45617</v>
      </c>
      <c r="C1319" s="1" t="n">
        <v>45877</v>
      </c>
      <c r="D1319" t="inlineStr">
        <is>
          <t>DALARNAS LÄN</t>
        </is>
      </c>
      <c r="E1319" t="inlineStr">
        <is>
          <t>RÄTTVIK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54816-2024</t>
        </is>
      </c>
      <c r="B1320" s="1" t="n">
        <v>45618</v>
      </c>
      <c r="C1320" s="1" t="n">
        <v>45877</v>
      </c>
      <c r="D1320" t="inlineStr">
        <is>
          <t>DALARNAS LÄN</t>
        </is>
      </c>
      <c r="E1320" t="inlineStr">
        <is>
          <t>RÄTTVIK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54821-2024</t>
        </is>
      </c>
      <c r="B1321" s="1" t="n">
        <v>45618</v>
      </c>
      <c r="C1321" s="1" t="n">
        <v>45877</v>
      </c>
      <c r="D1321" t="inlineStr">
        <is>
          <t>DALARNAS LÄN</t>
        </is>
      </c>
      <c r="E1321" t="inlineStr">
        <is>
          <t>RÄTTVIK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55022-2024</t>
        </is>
      </c>
      <c r="B1322" s="1" t="n">
        <v>45618</v>
      </c>
      <c r="C1322" s="1" t="n">
        <v>45877</v>
      </c>
      <c r="D1322" t="inlineStr">
        <is>
          <t>DALARNAS LÄN</t>
        </is>
      </c>
      <c r="E1322" t="inlineStr">
        <is>
          <t>RÄTTVIK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55122-2024</t>
        </is>
      </c>
      <c r="B1323" s="1" t="n">
        <v>45618</v>
      </c>
      <c r="C1323" s="1" t="n">
        <v>45877</v>
      </c>
      <c r="D1323" t="inlineStr">
        <is>
          <t>DALARNAS LÄN</t>
        </is>
      </c>
      <c r="E1323" t="inlineStr">
        <is>
          <t>RÄTTVIK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55119-2024</t>
        </is>
      </c>
      <c r="B1324" s="1" t="n">
        <v>45621</v>
      </c>
      <c r="C1324" s="1" t="n">
        <v>45877</v>
      </c>
      <c r="D1324" t="inlineStr">
        <is>
          <t>DALARNAS LÄN</t>
        </is>
      </c>
      <c r="E1324" t="inlineStr">
        <is>
          <t>RÄTTVIK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55092-2024</t>
        </is>
      </c>
      <c r="B1325" s="1" t="n">
        <v>45621</v>
      </c>
      <c r="C1325" s="1" t="n">
        <v>45877</v>
      </c>
      <c r="D1325" t="inlineStr">
        <is>
          <t>DALARNAS LÄN</t>
        </is>
      </c>
      <c r="E1325" t="inlineStr">
        <is>
          <t>RÄTTVIK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55013-2024</t>
        </is>
      </c>
      <c r="B1326" s="1" t="n">
        <v>45621</v>
      </c>
      <c r="C1326" s="1" t="n">
        <v>45877</v>
      </c>
      <c r="D1326" t="inlineStr">
        <is>
          <t>DALARNAS LÄN</t>
        </is>
      </c>
      <c r="E1326" t="inlineStr">
        <is>
          <t>RÄTTVIK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55271-2024</t>
        </is>
      </c>
      <c r="B1327" s="1" t="n">
        <v>45621</v>
      </c>
      <c r="C1327" s="1" t="n">
        <v>45877</v>
      </c>
      <c r="D1327" t="inlineStr">
        <is>
          <t>DALARNAS LÄN</t>
        </is>
      </c>
      <c r="E1327" t="inlineStr">
        <is>
          <t>RÄTTVIK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55416-2024</t>
        </is>
      </c>
      <c r="B1328" s="1" t="n">
        <v>45621</v>
      </c>
      <c r="C1328" s="1" t="n">
        <v>45877</v>
      </c>
      <c r="D1328" t="inlineStr">
        <is>
          <t>DALARNAS LÄN</t>
        </is>
      </c>
      <c r="E1328" t="inlineStr">
        <is>
          <t>RÄTTVIK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55345-2024</t>
        </is>
      </c>
      <c r="B1329" s="1" t="n">
        <v>45621</v>
      </c>
      <c r="C1329" s="1" t="n">
        <v>45877</v>
      </c>
      <c r="D1329" t="inlineStr">
        <is>
          <t>DALARNAS LÄN</t>
        </is>
      </c>
      <c r="E1329" t="inlineStr">
        <is>
          <t>RÄTTVIK</t>
        </is>
      </c>
      <c r="F1329" t="inlineStr">
        <is>
          <t>Bergvik skog väst AB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55428-2024</t>
        </is>
      </c>
      <c r="B1330" s="1" t="n">
        <v>45621</v>
      </c>
      <c r="C1330" s="1" t="n">
        <v>45877</v>
      </c>
      <c r="D1330" t="inlineStr">
        <is>
          <t>DALARNAS LÄN</t>
        </is>
      </c>
      <c r="E1330" t="inlineStr">
        <is>
          <t>RÄTTVIK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55384-2024</t>
        </is>
      </c>
      <c r="B1331" s="1" t="n">
        <v>45622</v>
      </c>
      <c r="C1331" s="1" t="n">
        <v>45877</v>
      </c>
      <c r="D1331" t="inlineStr">
        <is>
          <t>DALARNAS LÄN</t>
        </is>
      </c>
      <c r="E1331" t="inlineStr">
        <is>
          <t>RÄTTVIK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55461-2024</t>
        </is>
      </c>
      <c r="B1332" s="1" t="n">
        <v>45622</v>
      </c>
      <c r="C1332" s="1" t="n">
        <v>45877</v>
      </c>
      <c r="D1332" t="inlineStr">
        <is>
          <t>DALARNAS LÄN</t>
        </is>
      </c>
      <c r="E1332" t="inlineStr">
        <is>
          <t>RÄTTVIK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55385-2024</t>
        </is>
      </c>
      <c r="B1333" s="1" t="n">
        <v>45622</v>
      </c>
      <c r="C1333" s="1" t="n">
        <v>45877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55708-2024</t>
        </is>
      </c>
      <c r="B1334" s="1" t="n">
        <v>45622</v>
      </c>
      <c r="C1334" s="1" t="n">
        <v>45877</v>
      </c>
      <c r="D1334" t="inlineStr">
        <is>
          <t>DALARNAS LÄN</t>
        </is>
      </c>
      <c r="E1334" t="inlineStr">
        <is>
          <t>RÄTTVIK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55893-2024</t>
        </is>
      </c>
      <c r="B1335" s="1" t="n">
        <v>45623</v>
      </c>
      <c r="C1335" s="1" t="n">
        <v>45877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55768-2024</t>
        </is>
      </c>
      <c r="B1336" s="1" t="n">
        <v>45623</v>
      </c>
      <c r="C1336" s="1" t="n">
        <v>45877</v>
      </c>
      <c r="D1336" t="inlineStr">
        <is>
          <t>DALARNAS LÄN</t>
        </is>
      </c>
      <c r="E1336" t="inlineStr">
        <is>
          <t>RÄTTVIK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55898-2024</t>
        </is>
      </c>
      <c r="B1337" s="1" t="n">
        <v>45623</v>
      </c>
      <c r="C1337" s="1" t="n">
        <v>45877</v>
      </c>
      <c r="D1337" t="inlineStr">
        <is>
          <t>DALARNAS LÄN</t>
        </is>
      </c>
      <c r="E1337" t="inlineStr">
        <is>
          <t>RÄTTVIK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55915-2024</t>
        </is>
      </c>
      <c r="B1338" s="1" t="n">
        <v>45623</v>
      </c>
      <c r="C1338" s="1" t="n">
        <v>45877</v>
      </c>
      <c r="D1338" t="inlineStr">
        <is>
          <t>DALARNAS LÄN</t>
        </is>
      </c>
      <c r="E1338" t="inlineStr">
        <is>
          <t>RÄTTVIK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55920-2024</t>
        </is>
      </c>
      <c r="B1339" s="1" t="n">
        <v>45623</v>
      </c>
      <c r="C1339" s="1" t="n">
        <v>45877</v>
      </c>
      <c r="D1339" t="inlineStr">
        <is>
          <t>DALARNAS LÄN</t>
        </is>
      </c>
      <c r="E1339" t="inlineStr">
        <is>
          <t>RÄTTVIK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55946-2024</t>
        </is>
      </c>
      <c r="B1340" s="1" t="n">
        <v>45623</v>
      </c>
      <c r="C1340" s="1" t="n">
        <v>45877</v>
      </c>
      <c r="D1340" t="inlineStr">
        <is>
          <t>DALARNAS LÄN</t>
        </is>
      </c>
      <c r="E1340" t="inlineStr">
        <is>
          <t>RÄTTVIK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56383-2024</t>
        </is>
      </c>
      <c r="B1341" s="1" t="n">
        <v>45625</v>
      </c>
      <c r="C1341" s="1" t="n">
        <v>45877</v>
      </c>
      <c r="D1341" t="inlineStr">
        <is>
          <t>DALARNAS LÄN</t>
        </is>
      </c>
      <c r="E1341" t="inlineStr">
        <is>
          <t>RÄTTVIK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56523-2024</t>
        </is>
      </c>
      <c r="B1342" s="1" t="n">
        <v>45625</v>
      </c>
      <c r="C1342" s="1" t="n">
        <v>45877</v>
      </c>
      <c r="D1342" t="inlineStr">
        <is>
          <t>DALARNAS LÄN</t>
        </is>
      </c>
      <c r="E1342" t="inlineStr">
        <is>
          <t>RÄTTVIK</t>
        </is>
      </c>
      <c r="F1342" t="inlineStr">
        <is>
          <t>Bergvik skog öst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57035-2024</t>
        </is>
      </c>
      <c r="B1343" s="1" t="n">
        <v>45629</v>
      </c>
      <c r="C1343" s="1" t="n">
        <v>45877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57034-2024</t>
        </is>
      </c>
      <c r="B1344" s="1" t="n">
        <v>45629</v>
      </c>
      <c r="C1344" s="1" t="n">
        <v>45877</v>
      </c>
      <c r="D1344" t="inlineStr">
        <is>
          <t>DALARNAS LÄN</t>
        </is>
      </c>
      <c r="E1344" t="inlineStr">
        <is>
          <t>RÄTTVIK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57561-2024</t>
        </is>
      </c>
      <c r="B1345" s="1" t="n">
        <v>45630</v>
      </c>
      <c r="C1345" s="1" t="n">
        <v>45877</v>
      </c>
      <c r="D1345" t="inlineStr">
        <is>
          <t>DALARNAS LÄN</t>
        </is>
      </c>
      <c r="E1345" t="inlineStr">
        <is>
          <t>RÄTTVIK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57683-2024</t>
        </is>
      </c>
      <c r="B1346" s="1" t="n">
        <v>45630</v>
      </c>
      <c r="C1346" s="1" t="n">
        <v>45877</v>
      </c>
      <c r="D1346" t="inlineStr">
        <is>
          <t>DALARNAS LÄN</t>
        </is>
      </c>
      <c r="E1346" t="inlineStr">
        <is>
          <t>RÄTTVIK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58572-2024</t>
        </is>
      </c>
      <c r="B1347" s="1" t="n">
        <v>45632</v>
      </c>
      <c r="C1347" s="1" t="n">
        <v>45877</v>
      </c>
      <c r="D1347" t="inlineStr">
        <is>
          <t>DALARNAS LÄN</t>
        </is>
      </c>
      <c r="E1347" t="inlineStr">
        <is>
          <t>RÄTTVIK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58692-2024</t>
        </is>
      </c>
      <c r="B1348" s="1" t="n">
        <v>45635</v>
      </c>
      <c r="C1348" s="1" t="n">
        <v>45877</v>
      </c>
      <c r="D1348" t="inlineStr">
        <is>
          <t>DALARNAS LÄN</t>
        </is>
      </c>
      <c r="E1348" t="inlineStr">
        <is>
          <t>RÄTTVIK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58700-2024</t>
        </is>
      </c>
      <c r="B1349" s="1" t="n">
        <v>45635</v>
      </c>
      <c r="C1349" s="1" t="n">
        <v>45877</v>
      </c>
      <c r="D1349" t="inlineStr">
        <is>
          <t>DALARNAS LÄN</t>
        </is>
      </c>
      <c r="E1349" t="inlineStr">
        <is>
          <t>RÄTTVIK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58509-2024</t>
        </is>
      </c>
      <c r="B1350" s="1" t="n">
        <v>45635</v>
      </c>
      <c r="C1350" s="1" t="n">
        <v>45877</v>
      </c>
      <c r="D1350" t="inlineStr">
        <is>
          <t>DALARNAS LÄN</t>
        </is>
      </c>
      <c r="E1350" t="inlineStr">
        <is>
          <t>RÄTTVIK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58835-2024</t>
        </is>
      </c>
      <c r="B1351" s="1" t="n">
        <v>45636</v>
      </c>
      <c r="C1351" s="1" t="n">
        <v>45877</v>
      </c>
      <c r="D1351" t="inlineStr">
        <is>
          <t>DALARNAS LÄN</t>
        </is>
      </c>
      <c r="E1351" t="inlineStr">
        <is>
          <t>RÄTTVIK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58949-2024</t>
        </is>
      </c>
      <c r="B1352" s="1" t="n">
        <v>45636</v>
      </c>
      <c r="C1352" s="1" t="n">
        <v>45877</v>
      </c>
      <c r="D1352" t="inlineStr">
        <is>
          <t>DALARNAS LÄN</t>
        </is>
      </c>
      <c r="E1352" t="inlineStr">
        <is>
          <t>RÄTTVIK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59159-2024</t>
        </is>
      </c>
      <c r="B1353" s="1" t="n">
        <v>45637</v>
      </c>
      <c r="C1353" s="1" t="n">
        <v>45877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59222-2024</t>
        </is>
      </c>
      <c r="B1354" s="1" t="n">
        <v>45637</v>
      </c>
      <c r="C1354" s="1" t="n">
        <v>45877</v>
      </c>
      <c r="D1354" t="inlineStr">
        <is>
          <t>DALARNAS LÄN</t>
        </is>
      </c>
      <c r="E1354" t="inlineStr">
        <is>
          <t>RÄTTVIK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59151-2024</t>
        </is>
      </c>
      <c r="B1355" s="1" t="n">
        <v>45637</v>
      </c>
      <c r="C1355" s="1" t="n">
        <v>45877</v>
      </c>
      <c r="D1355" t="inlineStr">
        <is>
          <t>DALARNAS LÄN</t>
        </is>
      </c>
      <c r="E1355" t="inlineStr">
        <is>
          <t>RÄTTVIK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59272-2024</t>
        </is>
      </c>
      <c r="B1356" s="1" t="n">
        <v>45637</v>
      </c>
      <c r="C1356" s="1" t="n">
        <v>45877</v>
      </c>
      <c r="D1356" t="inlineStr">
        <is>
          <t>DALARNAS LÄN</t>
        </is>
      </c>
      <c r="E1356" t="inlineStr">
        <is>
          <t>RÄTTVIK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59718-2024</t>
        </is>
      </c>
      <c r="B1357" s="1" t="n">
        <v>45639</v>
      </c>
      <c r="C1357" s="1" t="n">
        <v>45877</v>
      </c>
      <c r="D1357" t="inlineStr">
        <is>
          <t>DALARNAS LÄN</t>
        </is>
      </c>
      <c r="E1357" t="inlineStr">
        <is>
          <t>RÄTTVIK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59831-2024</t>
        </is>
      </c>
      <c r="B1358" s="1" t="n">
        <v>45639</v>
      </c>
      <c r="C1358" s="1" t="n">
        <v>45877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59922-2024</t>
        </is>
      </c>
      <c r="B1359" s="1" t="n">
        <v>45641</v>
      </c>
      <c r="C1359" s="1" t="n">
        <v>45877</v>
      </c>
      <c r="D1359" t="inlineStr">
        <is>
          <t>DALARNAS LÄN</t>
        </is>
      </c>
      <c r="E1359" t="inlineStr">
        <is>
          <t>RÄTTVIK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59923-2024</t>
        </is>
      </c>
      <c r="B1360" s="1" t="n">
        <v>45641</v>
      </c>
      <c r="C1360" s="1" t="n">
        <v>45877</v>
      </c>
      <c r="D1360" t="inlineStr">
        <is>
          <t>DALARNAS LÄN</t>
        </is>
      </c>
      <c r="E1360" t="inlineStr">
        <is>
          <t>RÄTTVIK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59921-2024</t>
        </is>
      </c>
      <c r="B1361" s="1" t="n">
        <v>45641</v>
      </c>
      <c r="C1361" s="1" t="n">
        <v>45877</v>
      </c>
      <c r="D1361" t="inlineStr">
        <is>
          <t>DALARNAS LÄN</t>
        </is>
      </c>
      <c r="E1361" t="inlineStr">
        <is>
          <t>RÄTTVIK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59958-2024</t>
        </is>
      </c>
      <c r="B1362" s="1" t="n">
        <v>45642</v>
      </c>
      <c r="C1362" s="1" t="n">
        <v>45877</v>
      </c>
      <c r="D1362" t="inlineStr">
        <is>
          <t>DALARNAS LÄN</t>
        </is>
      </c>
      <c r="E1362" t="inlineStr">
        <is>
          <t>RÄTTVIK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59965-2024</t>
        </is>
      </c>
      <c r="B1363" s="1" t="n">
        <v>45642</v>
      </c>
      <c r="C1363" s="1" t="n">
        <v>45877</v>
      </c>
      <c r="D1363" t="inlineStr">
        <is>
          <t>DALARNAS LÄN</t>
        </is>
      </c>
      <c r="E1363" t="inlineStr">
        <is>
          <t>RÄTTVIK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60588-2024</t>
        </is>
      </c>
      <c r="B1364" s="1" t="n">
        <v>45644</v>
      </c>
      <c r="C1364" s="1" t="n">
        <v>45877</v>
      </c>
      <c r="D1364" t="inlineStr">
        <is>
          <t>DALARNAS LÄN</t>
        </is>
      </c>
      <c r="E1364" t="inlineStr">
        <is>
          <t>RÄTTVIK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60573-2024</t>
        </is>
      </c>
      <c r="B1365" s="1" t="n">
        <v>45644</v>
      </c>
      <c r="C1365" s="1" t="n">
        <v>45877</v>
      </c>
      <c r="D1365" t="inlineStr">
        <is>
          <t>DALARNAS LÄN</t>
        </is>
      </c>
      <c r="E1365" t="inlineStr">
        <is>
          <t>RÄTTVIK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61276-2024</t>
        </is>
      </c>
      <c r="B1366" s="1" t="n">
        <v>45644</v>
      </c>
      <c r="C1366" s="1" t="n">
        <v>45877</v>
      </c>
      <c r="D1366" t="inlineStr">
        <is>
          <t>DALARNAS LÄN</t>
        </is>
      </c>
      <c r="E1366" t="inlineStr">
        <is>
          <t>RÄTTVIK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61135-2024</t>
        </is>
      </c>
      <c r="B1367" s="1" t="n">
        <v>45645</v>
      </c>
      <c r="C1367" s="1" t="n">
        <v>45877</v>
      </c>
      <c r="D1367" t="inlineStr">
        <is>
          <t>DALARNAS LÄN</t>
        </is>
      </c>
      <c r="E1367" t="inlineStr">
        <is>
          <t>RÄTTVIK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61117-2024</t>
        </is>
      </c>
      <c r="B1368" s="1" t="n">
        <v>45645</v>
      </c>
      <c r="C1368" s="1" t="n">
        <v>45877</v>
      </c>
      <c r="D1368" t="inlineStr">
        <is>
          <t>DALARNAS LÄN</t>
        </is>
      </c>
      <c r="E1368" t="inlineStr">
        <is>
          <t>RÄTTVIK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61243-2024</t>
        </is>
      </c>
      <c r="B1369" s="1" t="n">
        <v>45645</v>
      </c>
      <c r="C1369" s="1" t="n">
        <v>45877</v>
      </c>
      <c r="D1369" t="inlineStr">
        <is>
          <t>DALARNAS LÄN</t>
        </is>
      </c>
      <c r="E1369" t="inlineStr">
        <is>
          <t>RÄTTVIK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61316-2024</t>
        </is>
      </c>
      <c r="B1370" s="1" t="n">
        <v>45646</v>
      </c>
      <c r="C1370" s="1" t="n">
        <v>45877</v>
      </c>
      <c r="D1370" t="inlineStr">
        <is>
          <t>DALARNAS LÄN</t>
        </is>
      </c>
      <c r="E1370" t="inlineStr">
        <is>
          <t>RÄTTVIK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61622-2024</t>
        </is>
      </c>
      <c r="B1371" s="1" t="n">
        <v>45646</v>
      </c>
      <c r="C1371" s="1" t="n">
        <v>45877</v>
      </c>
      <c r="D1371" t="inlineStr">
        <is>
          <t>DALARNAS LÄN</t>
        </is>
      </c>
      <c r="E1371" t="inlineStr">
        <is>
          <t>RÄTTVIK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61656-2024</t>
        </is>
      </c>
      <c r="B1372" s="1" t="n">
        <v>45646</v>
      </c>
      <c r="C1372" s="1" t="n">
        <v>45877</v>
      </c>
      <c r="D1372" t="inlineStr">
        <is>
          <t>DALARNAS LÄN</t>
        </is>
      </c>
      <c r="E1372" t="inlineStr">
        <is>
          <t>RÄTTVIK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61650-2024</t>
        </is>
      </c>
      <c r="B1373" s="1" t="n">
        <v>45646</v>
      </c>
      <c r="C1373" s="1" t="n">
        <v>45877</v>
      </c>
      <c r="D1373" t="inlineStr">
        <is>
          <t>DALARNAS LÄN</t>
        </is>
      </c>
      <c r="E1373" t="inlineStr">
        <is>
          <t>RÄTTVIK</t>
        </is>
      </c>
      <c r="F1373" t="inlineStr">
        <is>
          <t>Bergvik skog väst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61607-2024</t>
        </is>
      </c>
      <c r="B1374" s="1" t="n">
        <v>45646</v>
      </c>
      <c r="C1374" s="1" t="n">
        <v>45877</v>
      </c>
      <c r="D1374" t="inlineStr">
        <is>
          <t>DALARNAS LÄN</t>
        </is>
      </c>
      <c r="E1374" t="inlineStr">
        <is>
          <t>RÄTTVIK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140-2025</t>
        </is>
      </c>
      <c r="B1375" s="1" t="n">
        <v>45649</v>
      </c>
      <c r="C1375" s="1" t="n">
        <v>45877</v>
      </c>
      <c r="D1375" t="inlineStr">
        <is>
          <t>DALARNAS LÄN</t>
        </is>
      </c>
      <c r="E1375" t="inlineStr">
        <is>
          <t>RÄTTVIK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61919-2024</t>
        </is>
      </c>
      <c r="B1376" s="1" t="n">
        <v>45653</v>
      </c>
      <c r="C1376" s="1" t="n">
        <v>45877</v>
      </c>
      <c r="D1376" t="inlineStr">
        <is>
          <t>DALARNAS LÄN</t>
        </is>
      </c>
      <c r="E1376" t="inlineStr">
        <is>
          <t>RÄTTVIK</t>
        </is>
      </c>
      <c r="F1376" t="inlineStr">
        <is>
          <t>Kommuner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359-2025</t>
        </is>
      </c>
      <c r="B1377" s="1" t="n">
        <v>45659</v>
      </c>
      <c r="C1377" s="1" t="n">
        <v>45877</v>
      </c>
      <c r="D1377" t="inlineStr">
        <is>
          <t>DALARNAS LÄN</t>
        </is>
      </c>
      <c r="E1377" t="inlineStr">
        <is>
          <t>RÄTTVIK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440-2025</t>
        </is>
      </c>
      <c r="B1378" s="1" t="n">
        <v>45664</v>
      </c>
      <c r="C1378" s="1" t="n">
        <v>45877</v>
      </c>
      <c r="D1378" t="inlineStr">
        <is>
          <t>DALARNAS LÄN</t>
        </is>
      </c>
      <c r="E1378" t="inlineStr">
        <is>
          <t>RÄTTVIK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456-2025</t>
        </is>
      </c>
      <c r="B1379" s="1" t="n">
        <v>45664</v>
      </c>
      <c r="C1379" s="1" t="n">
        <v>45877</v>
      </c>
      <c r="D1379" t="inlineStr">
        <is>
          <t>DALARNAS LÄN</t>
        </is>
      </c>
      <c r="E1379" t="inlineStr">
        <is>
          <t>RÄTTVIK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821-2025</t>
        </is>
      </c>
      <c r="B1380" s="1" t="n">
        <v>45665</v>
      </c>
      <c r="C1380" s="1" t="n">
        <v>45877</v>
      </c>
      <c r="D1380" t="inlineStr">
        <is>
          <t>DALARNAS LÄN</t>
        </is>
      </c>
      <c r="E1380" t="inlineStr">
        <is>
          <t>RÄTTVIK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709-2025</t>
        </is>
      </c>
      <c r="B1381" s="1" t="n">
        <v>45665</v>
      </c>
      <c r="C1381" s="1" t="n">
        <v>45877</v>
      </c>
      <c r="D1381" t="inlineStr">
        <is>
          <t>DALARNAS LÄN</t>
        </is>
      </c>
      <c r="E1381" t="inlineStr">
        <is>
          <t>RÄTTVIK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889-2025</t>
        </is>
      </c>
      <c r="B1382" s="1" t="n">
        <v>45665</v>
      </c>
      <c r="C1382" s="1" t="n">
        <v>45877</v>
      </c>
      <c r="D1382" t="inlineStr">
        <is>
          <t>DALARNAS LÄN</t>
        </is>
      </c>
      <c r="E1382" t="inlineStr">
        <is>
          <t>RÄTTVIK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950-2025</t>
        </is>
      </c>
      <c r="B1383" s="1" t="n">
        <v>45666</v>
      </c>
      <c r="C1383" s="1" t="n">
        <v>45877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1070-2025</t>
        </is>
      </c>
      <c r="B1384" s="1" t="n">
        <v>45666</v>
      </c>
      <c r="C1384" s="1" t="n">
        <v>45877</v>
      </c>
      <c r="D1384" t="inlineStr">
        <is>
          <t>DALARNAS LÄN</t>
        </is>
      </c>
      <c r="E1384" t="inlineStr">
        <is>
          <t>RÄTTVIK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1046-2025</t>
        </is>
      </c>
      <c r="B1385" s="1" t="n">
        <v>45666</v>
      </c>
      <c r="C1385" s="1" t="n">
        <v>45877</v>
      </c>
      <c r="D1385" t="inlineStr">
        <is>
          <t>DALARNAS LÄN</t>
        </is>
      </c>
      <c r="E1385" t="inlineStr">
        <is>
          <t>RÄTTVIK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2043-2025</t>
        </is>
      </c>
      <c r="B1386" s="1" t="n">
        <v>45671</v>
      </c>
      <c r="C1386" s="1" t="n">
        <v>45877</v>
      </c>
      <c r="D1386" t="inlineStr">
        <is>
          <t>DALARNAS LÄN</t>
        </is>
      </c>
      <c r="E1386" t="inlineStr">
        <is>
          <t>RÄTTVIK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2004-2025</t>
        </is>
      </c>
      <c r="B1387" s="1" t="n">
        <v>45671</v>
      </c>
      <c r="C1387" s="1" t="n">
        <v>45877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2042-2025</t>
        </is>
      </c>
      <c r="B1388" s="1" t="n">
        <v>45671</v>
      </c>
      <c r="C1388" s="1" t="n">
        <v>45877</v>
      </c>
      <c r="D1388" t="inlineStr">
        <is>
          <t>DALARNAS LÄN</t>
        </is>
      </c>
      <c r="E1388" t="inlineStr">
        <is>
          <t>RÄTTVIK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2010-2025</t>
        </is>
      </c>
      <c r="B1389" s="1" t="n">
        <v>45671</v>
      </c>
      <c r="C1389" s="1" t="n">
        <v>45877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2101-2025</t>
        </is>
      </c>
      <c r="B1390" s="1" t="n">
        <v>45672</v>
      </c>
      <c r="C1390" s="1" t="n">
        <v>45877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2098-2025</t>
        </is>
      </c>
      <c r="B1391" s="1" t="n">
        <v>45672</v>
      </c>
      <c r="C1391" s="1" t="n">
        <v>45877</v>
      </c>
      <c r="D1391" t="inlineStr">
        <is>
          <t>DALARNAS LÄN</t>
        </is>
      </c>
      <c r="E1391" t="inlineStr">
        <is>
          <t>RÄTTVIK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2011-2025</t>
        </is>
      </c>
      <c r="B1392" s="1" t="n">
        <v>45672</v>
      </c>
      <c r="C1392" s="1" t="n">
        <v>45877</v>
      </c>
      <c r="D1392" t="inlineStr">
        <is>
          <t>DALARNAS LÄN</t>
        </is>
      </c>
      <c r="E1392" t="inlineStr">
        <is>
          <t>RÄTTVIK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2007-2025</t>
        </is>
      </c>
      <c r="B1393" s="1" t="n">
        <v>45672</v>
      </c>
      <c r="C1393" s="1" t="n">
        <v>45877</v>
      </c>
      <c r="D1393" t="inlineStr">
        <is>
          <t>DALARNAS LÄN</t>
        </is>
      </c>
      <c r="E1393" t="inlineStr">
        <is>
          <t>RÄTTVIK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2771-2025</t>
        </is>
      </c>
      <c r="B1394" s="1" t="n">
        <v>45674</v>
      </c>
      <c r="C1394" s="1" t="n">
        <v>45877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2682-2025</t>
        </is>
      </c>
      <c r="B1395" s="1" t="n">
        <v>45677</v>
      </c>
      <c r="C1395" s="1" t="n">
        <v>45877</v>
      </c>
      <c r="D1395" t="inlineStr">
        <is>
          <t>DALARNAS LÄN</t>
        </is>
      </c>
      <c r="E1395" t="inlineStr">
        <is>
          <t>RÄTTVIK</t>
        </is>
      </c>
      <c r="F1395" t="inlineStr">
        <is>
          <t>Bergvik skog väst AB</t>
        </is>
      </c>
      <c r="G1395" t="n">
        <v>18.7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2734-2025</t>
        </is>
      </c>
      <c r="B1396" s="1" t="n">
        <v>45677</v>
      </c>
      <c r="C1396" s="1" t="n">
        <v>45877</v>
      </c>
      <c r="D1396" t="inlineStr">
        <is>
          <t>DALARNAS LÄN</t>
        </is>
      </c>
      <c r="E1396" t="inlineStr">
        <is>
          <t>RÄTTVIK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2936-2025</t>
        </is>
      </c>
      <c r="B1397" s="1" t="n">
        <v>45678</v>
      </c>
      <c r="C1397" s="1" t="n">
        <v>45877</v>
      </c>
      <c r="D1397" t="inlineStr">
        <is>
          <t>DALARNAS LÄN</t>
        </is>
      </c>
      <c r="E1397" t="inlineStr">
        <is>
          <t>RÄTTVIK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3261-2025</t>
        </is>
      </c>
      <c r="B1398" s="1" t="n">
        <v>45679</v>
      </c>
      <c r="C1398" s="1" t="n">
        <v>45877</v>
      </c>
      <c r="D1398" t="inlineStr">
        <is>
          <t>DALARNAS LÄN</t>
        </is>
      </c>
      <c r="E1398" t="inlineStr">
        <is>
          <t>RÄTTVIK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3423-2025</t>
        </is>
      </c>
      <c r="B1399" s="1" t="n">
        <v>45680</v>
      </c>
      <c r="C1399" s="1" t="n">
        <v>45877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3485-2025</t>
        </is>
      </c>
      <c r="B1400" s="1" t="n">
        <v>45680</v>
      </c>
      <c r="C1400" s="1" t="n">
        <v>45877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3474-2025</t>
        </is>
      </c>
      <c r="B1401" s="1" t="n">
        <v>45680</v>
      </c>
      <c r="C1401" s="1" t="n">
        <v>45877</v>
      </c>
      <c r="D1401" t="inlineStr">
        <is>
          <t>DALARNAS LÄN</t>
        </is>
      </c>
      <c r="E1401" t="inlineStr">
        <is>
          <t>RÄTTVIK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4015-2025</t>
        </is>
      </c>
      <c r="B1402" s="1" t="n">
        <v>45684</v>
      </c>
      <c r="C1402" s="1" t="n">
        <v>45877</v>
      </c>
      <c r="D1402" t="inlineStr">
        <is>
          <t>DALARNAS LÄN</t>
        </is>
      </c>
      <c r="E1402" t="inlineStr">
        <is>
          <t>RÄTTVIK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4414-2025</t>
        </is>
      </c>
      <c r="B1403" s="1" t="n">
        <v>45686</v>
      </c>
      <c r="C1403" s="1" t="n">
        <v>45877</v>
      </c>
      <c r="D1403" t="inlineStr">
        <is>
          <t>DALARNAS LÄN</t>
        </is>
      </c>
      <c r="E1403" t="inlineStr">
        <is>
          <t>RÄTTVIK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4417-2025</t>
        </is>
      </c>
      <c r="B1404" s="1" t="n">
        <v>45686</v>
      </c>
      <c r="C1404" s="1" t="n">
        <v>45877</v>
      </c>
      <c r="D1404" t="inlineStr">
        <is>
          <t>DALARNAS LÄN</t>
        </is>
      </c>
      <c r="E1404" t="inlineStr">
        <is>
          <t>RÄTTVIK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4355-2025</t>
        </is>
      </c>
      <c r="B1405" s="1" t="n">
        <v>45686</v>
      </c>
      <c r="C1405" s="1" t="n">
        <v>45877</v>
      </c>
      <c r="D1405" t="inlineStr">
        <is>
          <t>DALARNAS LÄN</t>
        </is>
      </c>
      <c r="E1405" t="inlineStr">
        <is>
          <t>RÄTTVIK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4365-2025</t>
        </is>
      </c>
      <c r="B1406" s="1" t="n">
        <v>45686</v>
      </c>
      <c r="C1406" s="1" t="n">
        <v>45877</v>
      </c>
      <c r="D1406" t="inlineStr">
        <is>
          <t>DALARNAS LÄN</t>
        </is>
      </c>
      <c r="E1406" t="inlineStr">
        <is>
          <t>RÄTTVIK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5653-2025</t>
        </is>
      </c>
      <c r="B1407" s="1" t="n">
        <v>45693</v>
      </c>
      <c r="C1407" s="1" t="n">
        <v>45877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5651-2025</t>
        </is>
      </c>
      <c r="B1408" s="1" t="n">
        <v>45693</v>
      </c>
      <c r="C1408" s="1" t="n">
        <v>45877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5690-2025</t>
        </is>
      </c>
      <c r="B1409" s="1" t="n">
        <v>45694</v>
      </c>
      <c r="C1409" s="1" t="n">
        <v>45877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5953-2025</t>
        </is>
      </c>
      <c r="B1410" s="1" t="n">
        <v>45695</v>
      </c>
      <c r="C1410" s="1" t="n">
        <v>45877</v>
      </c>
      <c r="D1410" t="inlineStr">
        <is>
          <t>DALARNAS LÄN</t>
        </is>
      </c>
      <c r="E1410" t="inlineStr">
        <is>
          <t>RÄTTVIK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6699-2025</t>
        </is>
      </c>
      <c r="B1411" s="1" t="n">
        <v>45700</v>
      </c>
      <c r="C1411" s="1" t="n">
        <v>45877</v>
      </c>
      <c r="D1411" t="inlineStr">
        <is>
          <t>DALARNAS LÄN</t>
        </is>
      </c>
      <c r="E1411" t="inlineStr">
        <is>
          <t>RÄTTVIK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7128-2025</t>
        </is>
      </c>
      <c r="B1412" s="1" t="n">
        <v>45702</v>
      </c>
      <c r="C1412" s="1" t="n">
        <v>45877</v>
      </c>
      <c r="D1412" t="inlineStr">
        <is>
          <t>DALARNAS LÄN</t>
        </is>
      </c>
      <c r="E1412" t="inlineStr">
        <is>
          <t>RÄTTVIK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7624-2025</t>
        </is>
      </c>
      <c r="B1413" s="1" t="n">
        <v>45705</v>
      </c>
      <c r="C1413" s="1" t="n">
        <v>45877</v>
      </c>
      <c r="D1413" t="inlineStr">
        <is>
          <t>DALARNAS LÄN</t>
        </is>
      </c>
      <c r="E1413" t="inlineStr">
        <is>
          <t>RÄTTVIK</t>
        </is>
      </c>
      <c r="F1413" t="inlineStr">
        <is>
          <t>Bergvik skog väst AB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7573-2025</t>
        </is>
      </c>
      <c r="B1414" s="1" t="n">
        <v>45705</v>
      </c>
      <c r="C1414" s="1" t="n">
        <v>45877</v>
      </c>
      <c r="D1414" t="inlineStr">
        <is>
          <t>DALARNAS LÄN</t>
        </is>
      </c>
      <c r="E1414" t="inlineStr">
        <is>
          <t>RÄTTVIK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10410-2025</t>
        </is>
      </c>
      <c r="B1415" s="1" t="n">
        <v>45720</v>
      </c>
      <c r="C1415" s="1" t="n">
        <v>45877</v>
      </c>
      <c r="D1415" t="inlineStr">
        <is>
          <t>DALARNAS LÄN</t>
        </is>
      </c>
      <c r="E1415" t="inlineStr">
        <is>
          <t>RÄTTVIK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10244-2025</t>
        </is>
      </c>
      <c r="B1416" s="1" t="n">
        <v>45720</v>
      </c>
      <c r="C1416" s="1" t="n">
        <v>45877</v>
      </c>
      <c r="D1416" t="inlineStr">
        <is>
          <t>DALARNAS LÄN</t>
        </is>
      </c>
      <c r="E1416" t="inlineStr">
        <is>
          <t>RÄTTVIK</t>
        </is>
      </c>
      <c r="G1416" t="n">
        <v>6.8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10513-2025</t>
        </is>
      </c>
      <c r="B1417" s="1" t="n">
        <v>45721</v>
      </c>
      <c r="C1417" s="1" t="n">
        <v>45877</v>
      </c>
      <c r="D1417" t="inlineStr">
        <is>
          <t>DALARNAS LÄN</t>
        </is>
      </c>
      <c r="E1417" t="inlineStr">
        <is>
          <t>RÄTTVIK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10798-2025</t>
        </is>
      </c>
      <c r="B1418" s="1" t="n">
        <v>45722</v>
      </c>
      <c r="C1418" s="1" t="n">
        <v>45877</v>
      </c>
      <c r="D1418" t="inlineStr">
        <is>
          <t>DALARNAS LÄN</t>
        </is>
      </c>
      <c r="E1418" t="inlineStr">
        <is>
          <t>RÄTTVIK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10807-2025</t>
        </is>
      </c>
      <c r="B1419" s="1" t="n">
        <v>45722</v>
      </c>
      <c r="C1419" s="1" t="n">
        <v>45877</v>
      </c>
      <c r="D1419" t="inlineStr">
        <is>
          <t>DALARNAS LÄN</t>
        </is>
      </c>
      <c r="E1419" t="inlineStr">
        <is>
          <t>RÄTTVIK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10717-2025</t>
        </is>
      </c>
      <c r="B1420" s="1" t="n">
        <v>45722</v>
      </c>
      <c r="C1420" s="1" t="n">
        <v>45877</v>
      </c>
      <c r="D1420" t="inlineStr">
        <is>
          <t>DALARNAS LÄN</t>
        </is>
      </c>
      <c r="E1420" t="inlineStr">
        <is>
          <t>RÄTTVIK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11298-2025</t>
        </is>
      </c>
      <c r="B1421" s="1" t="n">
        <v>45726</v>
      </c>
      <c r="C1421" s="1" t="n">
        <v>45877</v>
      </c>
      <c r="D1421" t="inlineStr">
        <is>
          <t>DALARNAS LÄN</t>
        </is>
      </c>
      <c r="E1421" t="inlineStr">
        <is>
          <t>RÄTTVIK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11991-2025</t>
        </is>
      </c>
      <c r="B1422" s="1" t="n">
        <v>45728</v>
      </c>
      <c r="C1422" s="1" t="n">
        <v>45877</v>
      </c>
      <c r="D1422" t="inlineStr">
        <is>
          <t>DALARNAS LÄN</t>
        </is>
      </c>
      <c r="E1422" t="inlineStr">
        <is>
          <t>RÄTTVIK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12013-2025</t>
        </is>
      </c>
      <c r="B1423" s="1" t="n">
        <v>45728</v>
      </c>
      <c r="C1423" s="1" t="n">
        <v>45877</v>
      </c>
      <c r="D1423" t="inlineStr">
        <is>
          <t>DALARNAS LÄN</t>
        </is>
      </c>
      <c r="E1423" t="inlineStr">
        <is>
          <t>RÄTTVIK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12387-2025</t>
        </is>
      </c>
      <c r="B1424" s="1" t="n">
        <v>45730</v>
      </c>
      <c r="C1424" s="1" t="n">
        <v>45877</v>
      </c>
      <c r="D1424" t="inlineStr">
        <is>
          <t>DALARNAS LÄN</t>
        </is>
      </c>
      <c r="E1424" t="inlineStr">
        <is>
          <t>RÄTTVIK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12380-2025</t>
        </is>
      </c>
      <c r="B1425" s="1" t="n">
        <v>45730</v>
      </c>
      <c r="C1425" s="1" t="n">
        <v>45877</v>
      </c>
      <c r="D1425" t="inlineStr">
        <is>
          <t>DALARNAS LÄN</t>
        </is>
      </c>
      <c r="E1425" t="inlineStr">
        <is>
          <t>RÄTTVIK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12688-2025</t>
        </is>
      </c>
      <c r="B1426" s="1" t="n">
        <v>45733</v>
      </c>
      <c r="C1426" s="1" t="n">
        <v>45877</v>
      </c>
      <c r="D1426" t="inlineStr">
        <is>
          <t>DALARNAS LÄN</t>
        </is>
      </c>
      <c r="E1426" t="inlineStr">
        <is>
          <t>RÄTTVIK</t>
        </is>
      </c>
      <c r="F1426" t="inlineStr">
        <is>
          <t>Bergvik skog väst AB</t>
        </is>
      </c>
      <c r="G1426" t="n">
        <v>15.1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12761-2025</t>
        </is>
      </c>
      <c r="B1427" s="1" t="n">
        <v>45733</v>
      </c>
      <c r="C1427" s="1" t="n">
        <v>45877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12758-2025</t>
        </is>
      </c>
      <c r="B1428" s="1" t="n">
        <v>45733</v>
      </c>
      <c r="C1428" s="1" t="n">
        <v>45877</v>
      </c>
      <c r="D1428" t="inlineStr">
        <is>
          <t>DALARNAS LÄN</t>
        </is>
      </c>
      <c r="E1428" t="inlineStr">
        <is>
          <t>RÄTTVIK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13568-2025</t>
        </is>
      </c>
      <c r="B1429" s="1" t="n">
        <v>45736</v>
      </c>
      <c r="C1429" s="1" t="n">
        <v>45877</v>
      </c>
      <c r="D1429" t="inlineStr">
        <is>
          <t>DALARNAS LÄN</t>
        </is>
      </c>
      <c r="E1429" t="inlineStr">
        <is>
          <t>RÄTTVIK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13572-2025</t>
        </is>
      </c>
      <c r="B1430" s="1" t="n">
        <v>45736</v>
      </c>
      <c r="C1430" s="1" t="n">
        <v>45877</v>
      </c>
      <c r="D1430" t="inlineStr">
        <is>
          <t>DALARNAS LÄN</t>
        </is>
      </c>
      <c r="E1430" t="inlineStr">
        <is>
          <t>RÄTTVIK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13744-2025</t>
        </is>
      </c>
      <c r="B1431" s="1" t="n">
        <v>45737</v>
      </c>
      <c r="C1431" s="1" t="n">
        <v>45877</v>
      </c>
      <c r="D1431" t="inlineStr">
        <is>
          <t>DALARNAS LÄN</t>
        </is>
      </c>
      <c r="E1431" t="inlineStr">
        <is>
          <t>RÄTTVIK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13721-2025</t>
        </is>
      </c>
      <c r="B1432" s="1" t="n">
        <v>45737</v>
      </c>
      <c r="C1432" s="1" t="n">
        <v>45877</v>
      </c>
      <c r="D1432" t="inlineStr">
        <is>
          <t>DALARNAS LÄN</t>
        </is>
      </c>
      <c r="E1432" t="inlineStr">
        <is>
          <t>RÄTTVIK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13764-2025</t>
        </is>
      </c>
      <c r="B1433" s="1" t="n">
        <v>45737</v>
      </c>
      <c r="C1433" s="1" t="n">
        <v>45877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13772-2025</t>
        </is>
      </c>
      <c r="B1434" s="1" t="n">
        <v>45737</v>
      </c>
      <c r="C1434" s="1" t="n">
        <v>45877</v>
      </c>
      <c r="D1434" t="inlineStr">
        <is>
          <t>DALARNAS LÄN</t>
        </is>
      </c>
      <c r="E1434" t="inlineStr">
        <is>
          <t>RÄTTVIK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13770-2025</t>
        </is>
      </c>
      <c r="B1435" s="1" t="n">
        <v>45737</v>
      </c>
      <c r="C1435" s="1" t="n">
        <v>45877</v>
      </c>
      <c r="D1435" t="inlineStr">
        <is>
          <t>DALARNAS LÄN</t>
        </is>
      </c>
      <c r="E1435" t="inlineStr">
        <is>
          <t>RÄTTVIK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13750-2025</t>
        </is>
      </c>
      <c r="B1436" s="1" t="n">
        <v>45737</v>
      </c>
      <c r="C1436" s="1" t="n">
        <v>45877</v>
      </c>
      <c r="D1436" t="inlineStr">
        <is>
          <t>DALARNAS LÄN</t>
        </is>
      </c>
      <c r="E1436" t="inlineStr">
        <is>
          <t>RÄTTVIK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14318-2025</t>
        </is>
      </c>
      <c r="B1437" s="1" t="n">
        <v>45740</v>
      </c>
      <c r="C1437" s="1" t="n">
        <v>45877</v>
      </c>
      <c r="D1437" t="inlineStr">
        <is>
          <t>DALARNAS LÄN</t>
        </is>
      </c>
      <c r="E1437" t="inlineStr">
        <is>
          <t>RÄTTVIK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14320-2025</t>
        </is>
      </c>
      <c r="B1438" s="1" t="n">
        <v>45740</v>
      </c>
      <c r="C1438" s="1" t="n">
        <v>45877</v>
      </c>
      <c r="D1438" t="inlineStr">
        <is>
          <t>DALARNAS LÄN</t>
        </is>
      </c>
      <c r="E1438" t="inlineStr">
        <is>
          <t>RÄTTVIK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14698-2025</t>
        </is>
      </c>
      <c r="B1439" s="1" t="n">
        <v>45742</v>
      </c>
      <c r="C1439" s="1" t="n">
        <v>45877</v>
      </c>
      <c r="D1439" t="inlineStr">
        <is>
          <t>DALARNAS LÄN</t>
        </is>
      </c>
      <c r="E1439" t="inlineStr">
        <is>
          <t>RÄTTVIK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14706-2025</t>
        </is>
      </c>
      <c r="B1440" s="1" t="n">
        <v>45742</v>
      </c>
      <c r="C1440" s="1" t="n">
        <v>45877</v>
      </c>
      <c r="D1440" t="inlineStr">
        <is>
          <t>DALARNAS LÄN</t>
        </is>
      </c>
      <c r="E1440" t="inlineStr">
        <is>
          <t>RÄTTVIK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14581-2025</t>
        </is>
      </c>
      <c r="B1441" s="1" t="n">
        <v>45742</v>
      </c>
      <c r="C1441" s="1" t="n">
        <v>45877</v>
      </c>
      <c r="D1441" t="inlineStr">
        <is>
          <t>DALARNAS LÄN</t>
        </is>
      </c>
      <c r="E1441" t="inlineStr">
        <is>
          <t>RÄTTVIK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14586-2025</t>
        </is>
      </c>
      <c r="B1442" s="1" t="n">
        <v>45742</v>
      </c>
      <c r="C1442" s="1" t="n">
        <v>45877</v>
      </c>
      <c r="D1442" t="inlineStr">
        <is>
          <t>DALARNAS LÄN</t>
        </is>
      </c>
      <c r="E1442" t="inlineStr">
        <is>
          <t>RÄTTVIK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14588-2025</t>
        </is>
      </c>
      <c r="B1443" s="1" t="n">
        <v>45742</v>
      </c>
      <c r="C1443" s="1" t="n">
        <v>45877</v>
      </c>
      <c r="D1443" t="inlineStr">
        <is>
          <t>DALARNAS LÄN</t>
        </is>
      </c>
      <c r="E1443" t="inlineStr">
        <is>
          <t>RÄTTVIK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14700-2025</t>
        </is>
      </c>
      <c r="B1444" s="1" t="n">
        <v>45742</v>
      </c>
      <c r="C1444" s="1" t="n">
        <v>45877</v>
      </c>
      <c r="D1444" t="inlineStr">
        <is>
          <t>DALARNAS LÄN</t>
        </is>
      </c>
      <c r="E1444" t="inlineStr">
        <is>
          <t>RÄTTVIK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14701-2025</t>
        </is>
      </c>
      <c r="B1445" s="1" t="n">
        <v>45742</v>
      </c>
      <c r="C1445" s="1" t="n">
        <v>45877</v>
      </c>
      <c r="D1445" t="inlineStr">
        <is>
          <t>DALARNAS LÄN</t>
        </is>
      </c>
      <c r="E1445" t="inlineStr">
        <is>
          <t>RÄTTVIK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14709-2025</t>
        </is>
      </c>
      <c r="B1446" s="1" t="n">
        <v>45742</v>
      </c>
      <c r="C1446" s="1" t="n">
        <v>45877</v>
      </c>
      <c r="D1446" t="inlineStr">
        <is>
          <t>DALARNAS LÄN</t>
        </is>
      </c>
      <c r="E1446" t="inlineStr">
        <is>
          <t>RÄTTVIK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14876-2025</t>
        </is>
      </c>
      <c r="B1447" s="1" t="n">
        <v>45743</v>
      </c>
      <c r="C1447" s="1" t="n">
        <v>45877</v>
      </c>
      <c r="D1447" t="inlineStr">
        <is>
          <t>DALARNAS LÄN</t>
        </is>
      </c>
      <c r="E1447" t="inlineStr">
        <is>
          <t>RÄTTVIK</t>
        </is>
      </c>
      <c r="F1447" t="inlineStr">
        <is>
          <t>Bergvik skog väst AB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15277-2025</t>
        </is>
      </c>
      <c r="B1448" s="1" t="n">
        <v>45744</v>
      </c>
      <c r="C1448" s="1" t="n">
        <v>45877</v>
      </c>
      <c r="D1448" t="inlineStr">
        <is>
          <t>DALARNAS LÄN</t>
        </is>
      </c>
      <c r="E1448" t="inlineStr">
        <is>
          <t>RÄTTVIK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16892-2025</t>
        </is>
      </c>
      <c r="B1449" s="1" t="n">
        <v>45751</v>
      </c>
      <c r="C1449" s="1" t="n">
        <v>45877</v>
      </c>
      <c r="D1449" t="inlineStr">
        <is>
          <t>DALARNAS LÄN</t>
        </is>
      </c>
      <c r="E1449" t="inlineStr">
        <is>
          <t>RÄTTVIK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16291-2025</t>
        </is>
      </c>
      <c r="B1450" s="1" t="n">
        <v>45751</v>
      </c>
      <c r="C1450" s="1" t="n">
        <v>45877</v>
      </c>
      <c r="D1450" t="inlineStr">
        <is>
          <t>DALARNAS LÄN</t>
        </is>
      </c>
      <c r="E1450" t="inlineStr">
        <is>
          <t>RÄTTVIK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16876-2025</t>
        </is>
      </c>
      <c r="B1451" s="1" t="n">
        <v>45755</v>
      </c>
      <c r="C1451" s="1" t="n">
        <v>45877</v>
      </c>
      <c r="D1451" t="inlineStr">
        <is>
          <t>DALARNAS LÄN</t>
        </is>
      </c>
      <c r="E1451" t="inlineStr">
        <is>
          <t>RÄTTVIK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16880-2025</t>
        </is>
      </c>
      <c r="B1452" s="1" t="n">
        <v>45755</v>
      </c>
      <c r="C1452" s="1" t="n">
        <v>45877</v>
      </c>
      <c r="D1452" t="inlineStr">
        <is>
          <t>DALARNAS LÄN</t>
        </is>
      </c>
      <c r="E1452" t="inlineStr">
        <is>
          <t>RÄTTVIK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16883-2025</t>
        </is>
      </c>
      <c r="B1453" s="1" t="n">
        <v>45755</v>
      </c>
      <c r="C1453" s="1" t="n">
        <v>45877</v>
      </c>
      <c r="D1453" t="inlineStr">
        <is>
          <t>DALARNAS LÄN</t>
        </is>
      </c>
      <c r="E1453" t="inlineStr">
        <is>
          <t>RÄTTVIK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16878-2025</t>
        </is>
      </c>
      <c r="B1454" s="1" t="n">
        <v>45755</v>
      </c>
      <c r="C1454" s="1" t="n">
        <v>45877</v>
      </c>
      <c r="D1454" t="inlineStr">
        <is>
          <t>DALARNAS LÄN</t>
        </is>
      </c>
      <c r="E1454" t="inlineStr">
        <is>
          <t>RÄTTVIK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16882-2025</t>
        </is>
      </c>
      <c r="B1455" s="1" t="n">
        <v>45755</v>
      </c>
      <c r="C1455" s="1" t="n">
        <v>45877</v>
      </c>
      <c r="D1455" t="inlineStr">
        <is>
          <t>DALARNAS LÄN</t>
        </is>
      </c>
      <c r="E1455" t="inlineStr">
        <is>
          <t>RÄTTVIK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17157-2025</t>
        </is>
      </c>
      <c r="B1456" s="1" t="n">
        <v>45756</v>
      </c>
      <c r="C1456" s="1" t="n">
        <v>45877</v>
      </c>
      <c r="D1456" t="inlineStr">
        <is>
          <t>DALARNAS LÄN</t>
        </is>
      </c>
      <c r="E1456" t="inlineStr">
        <is>
          <t>RÄTTVIK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17576-2025</t>
        </is>
      </c>
      <c r="B1457" s="1" t="n">
        <v>45757</v>
      </c>
      <c r="C1457" s="1" t="n">
        <v>45877</v>
      </c>
      <c r="D1457" t="inlineStr">
        <is>
          <t>DALARNAS LÄN</t>
        </is>
      </c>
      <c r="E1457" t="inlineStr">
        <is>
          <t>RÄTTVIK</t>
        </is>
      </c>
      <c r="G1457" t="n">
        <v>14.1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HYPERLINK("https://klasma.github.io/Logging_202031/knärot/A 17576-2025 karta knärot.png", "A 17576-2025")</f>
        <v/>
      </c>
      <c r="V1457">
        <f>HYPERLINK("https://klasma.github.io/Logging_202031/klagomål/A 17576-2025 FSC-klagomål.docx", "A 17576-2025")</f>
        <v/>
      </c>
      <c r="W1457">
        <f>HYPERLINK("https://klasma.github.io/Logging_202031/klagomålsmail/A 17576-2025 FSC-klagomål mail.docx", "A 17576-2025")</f>
        <v/>
      </c>
      <c r="X1457">
        <f>HYPERLINK("https://klasma.github.io/Logging_202031/tillsyn/A 17576-2025 tillsynsbegäran.docx", "A 17576-2025")</f>
        <v/>
      </c>
      <c r="Y1457">
        <f>HYPERLINK("https://klasma.github.io/Logging_202031/tillsynsmail/A 17576-2025 tillsynsbegäran mail.docx", "A 17576-2025")</f>
        <v/>
      </c>
    </row>
    <row r="1458" ht="15" customHeight="1">
      <c r="A1458" t="inlineStr">
        <is>
          <t>A 17379-2025</t>
        </is>
      </c>
      <c r="B1458" s="1" t="n">
        <v>45757</v>
      </c>
      <c r="C1458" s="1" t="n">
        <v>45877</v>
      </c>
      <c r="D1458" t="inlineStr">
        <is>
          <t>DALARNAS LÄN</t>
        </is>
      </c>
      <c r="E1458" t="inlineStr">
        <is>
          <t>RÄTTVIK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18865-2025</t>
        </is>
      </c>
      <c r="B1459" s="1" t="n">
        <v>45764</v>
      </c>
      <c r="C1459" s="1" t="n">
        <v>45877</v>
      </c>
      <c r="D1459" t="inlineStr">
        <is>
          <t>DALARNAS LÄN</t>
        </is>
      </c>
      <c r="E1459" t="inlineStr">
        <is>
          <t>RÄTTVIK</t>
        </is>
      </c>
      <c r="F1459" t="inlineStr">
        <is>
          <t>Bergvik skog väst AB</t>
        </is>
      </c>
      <c r="G1459" t="n">
        <v>8.6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18990-2025</t>
        </is>
      </c>
      <c r="B1460" s="1" t="n">
        <v>45764</v>
      </c>
      <c r="C1460" s="1" t="n">
        <v>45877</v>
      </c>
      <c r="D1460" t="inlineStr">
        <is>
          <t>DALARNAS LÄN</t>
        </is>
      </c>
      <c r="E1460" t="inlineStr">
        <is>
          <t>RÄTTVIK</t>
        </is>
      </c>
      <c r="F1460" t="inlineStr">
        <is>
          <t>Sveaskog</t>
        </is>
      </c>
      <c r="G1460" t="n">
        <v>12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18995-2025</t>
        </is>
      </c>
      <c r="B1461" s="1" t="n">
        <v>45764</v>
      </c>
      <c r="C1461" s="1" t="n">
        <v>45877</v>
      </c>
      <c r="D1461" t="inlineStr">
        <is>
          <t>DALARNAS LÄN</t>
        </is>
      </c>
      <c r="E1461" t="inlineStr">
        <is>
          <t>RÄTTVIK</t>
        </is>
      </c>
      <c r="F1461" t="inlineStr">
        <is>
          <t>Sveaskog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19130-2025</t>
        </is>
      </c>
      <c r="B1462" s="1" t="n">
        <v>45764</v>
      </c>
      <c r="C1462" s="1" t="n">
        <v>45877</v>
      </c>
      <c r="D1462" t="inlineStr">
        <is>
          <t>DALARNAS LÄN</t>
        </is>
      </c>
      <c r="E1462" t="inlineStr">
        <is>
          <t>RÄTTVIK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19157-2025</t>
        </is>
      </c>
      <c r="B1463" s="1" t="n">
        <v>45769</v>
      </c>
      <c r="C1463" s="1" t="n">
        <v>45877</v>
      </c>
      <c r="D1463" t="inlineStr">
        <is>
          <t>DALARNAS LÄN</t>
        </is>
      </c>
      <c r="E1463" t="inlineStr">
        <is>
          <t>RÄTTVIK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19210-2025</t>
        </is>
      </c>
      <c r="B1464" s="1" t="n">
        <v>45769</v>
      </c>
      <c r="C1464" s="1" t="n">
        <v>45877</v>
      </c>
      <c r="D1464" t="inlineStr">
        <is>
          <t>DALARNAS LÄN</t>
        </is>
      </c>
      <c r="E1464" t="inlineStr">
        <is>
          <t>RÄTTVIK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19170-2025</t>
        </is>
      </c>
      <c r="B1465" s="1" t="n">
        <v>45769</v>
      </c>
      <c r="C1465" s="1" t="n">
        <v>45877</v>
      </c>
      <c r="D1465" t="inlineStr">
        <is>
          <t>DALARNAS LÄN</t>
        </is>
      </c>
      <c r="E1465" t="inlineStr">
        <is>
          <t>RÄTTVIK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19171-2025</t>
        </is>
      </c>
      <c r="B1466" s="1" t="n">
        <v>45769</v>
      </c>
      <c r="C1466" s="1" t="n">
        <v>45877</v>
      </c>
      <c r="D1466" t="inlineStr">
        <is>
          <t>DALARNAS LÄN</t>
        </is>
      </c>
      <c r="E1466" t="inlineStr">
        <is>
          <t>RÄTTVIK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19394-2025</t>
        </is>
      </c>
      <c r="B1467" s="1" t="n">
        <v>45769</v>
      </c>
      <c r="C1467" s="1" t="n">
        <v>45877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19455-2025</t>
        </is>
      </c>
      <c r="B1468" s="1" t="n">
        <v>45770</v>
      </c>
      <c r="C1468" s="1" t="n">
        <v>45877</v>
      </c>
      <c r="D1468" t="inlineStr">
        <is>
          <t>DALARNAS LÄN</t>
        </is>
      </c>
      <c r="E1468" t="inlineStr">
        <is>
          <t>RÄTTVIK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19570-2025</t>
        </is>
      </c>
      <c r="B1469" s="1" t="n">
        <v>45770</v>
      </c>
      <c r="C1469" s="1" t="n">
        <v>45877</v>
      </c>
      <c r="D1469" t="inlineStr">
        <is>
          <t>DALARNAS LÄN</t>
        </is>
      </c>
      <c r="E1469" t="inlineStr">
        <is>
          <t>RÄTTVIK</t>
        </is>
      </c>
      <c r="F1469" t="inlineStr">
        <is>
          <t>Bergvik skog väst AB</t>
        </is>
      </c>
      <c r="G1469" t="n">
        <v>13.4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19841-2025</t>
        </is>
      </c>
      <c r="B1470" s="1" t="n">
        <v>45771</v>
      </c>
      <c r="C1470" s="1" t="n">
        <v>45877</v>
      </c>
      <c r="D1470" t="inlineStr">
        <is>
          <t>DALARNAS LÄN</t>
        </is>
      </c>
      <c r="E1470" t="inlineStr">
        <is>
          <t>RÄTTVIK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19958-2025</t>
        </is>
      </c>
      <c r="B1471" s="1" t="n">
        <v>45771</v>
      </c>
      <c r="C1471" s="1" t="n">
        <v>45877</v>
      </c>
      <c r="D1471" t="inlineStr">
        <is>
          <t>DALARNAS LÄN</t>
        </is>
      </c>
      <c r="E1471" t="inlineStr">
        <is>
          <t>RÄTTVIK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19956-2025</t>
        </is>
      </c>
      <c r="B1472" s="1" t="n">
        <v>45771</v>
      </c>
      <c r="C1472" s="1" t="n">
        <v>45877</v>
      </c>
      <c r="D1472" t="inlineStr">
        <is>
          <t>DALARNAS LÄN</t>
        </is>
      </c>
      <c r="E1472" t="inlineStr">
        <is>
          <t>RÄTTVIK</t>
        </is>
      </c>
      <c r="F1472" t="inlineStr">
        <is>
          <t>Bergvik skog väst AB</t>
        </is>
      </c>
      <c r="G1472" t="n">
        <v>7.7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20198-2025</t>
        </is>
      </c>
      <c r="B1473" s="1" t="n">
        <v>45772</v>
      </c>
      <c r="C1473" s="1" t="n">
        <v>45877</v>
      </c>
      <c r="D1473" t="inlineStr">
        <is>
          <t>DALARNAS LÄN</t>
        </is>
      </c>
      <c r="E1473" t="inlineStr">
        <is>
          <t>RÄTTVIK</t>
        </is>
      </c>
      <c r="F1473" t="inlineStr">
        <is>
          <t>Sveaskog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20009-2025</t>
        </is>
      </c>
      <c r="B1474" s="1" t="n">
        <v>45772</v>
      </c>
      <c r="C1474" s="1" t="n">
        <v>45877</v>
      </c>
      <c r="D1474" t="inlineStr">
        <is>
          <t>DALARNAS LÄN</t>
        </is>
      </c>
      <c r="E1474" t="inlineStr">
        <is>
          <t>RÄTTVIK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20403-2025</t>
        </is>
      </c>
      <c r="B1475" s="1" t="n">
        <v>45775</v>
      </c>
      <c r="C1475" s="1" t="n">
        <v>45877</v>
      </c>
      <c r="D1475" t="inlineStr">
        <is>
          <t>DALARNAS LÄN</t>
        </is>
      </c>
      <c r="E1475" t="inlineStr">
        <is>
          <t>RÄTTVIK</t>
        </is>
      </c>
      <c r="F1475" t="inlineStr">
        <is>
          <t>Övriga statliga verk och myndigheter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20555-2025</t>
        </is>
      </c>
      <c r="B1476" s="1" t="n">
        <v>45775</v>
      </c>
      <c r="C1476" s="1" t="n">
        <v>45877</v>
      </c>
      <c r="D1476" t="inlineStr">
        <is>
          <t>DALARNAS LÄN</t>
        </is>
      </c>
      <c r="E1476" t="inlineStr">
        <is>
          <t>RÄTTVIK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20615-2025</t>
        </is>
      </c>
      <c r="B1477" s="1" t="n">
        <v>45776</v>
      </c>
      <c r="C1477" s="1" t="n">
        <v>45877</v>
      </c>
      <c r="D1477" t="inlineStr">
        <is>
          <t>DALARNAS LÄN</t>
        </is>
      </c>
      <c r="E1477" t="inlineStr">
        <is>
          <t>RÄTTVIK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20619-2025</t>
        </is>
      </c>
      <c r="B1478" s="1" t="n">
        <v>45776</v>
      </c>
      <c r="C1478" s="1" t="n">
        <v>45877</v>
      </c>
      <c r="D1478" t="inlineStr">
        <is>
          <t>DALARNAS LÄN</t>
        </is>
      </c>
      <c r="E1478" t="inlineStr">
        <is>
          <t>RÄTTVIK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20617-2025</t>
        </is>
      </c>
      <c r="B1479" s="1" t="n">
        <v>45776</v>
      </c>
      <c r="C1479" s="1" t="n">
        <v>45877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20745-2025</t>
        </is>
      </c>
      <c r="B1480" s="1" t="n">
        <v>45776</v>
      </c>
      <c r="C1480" s="1" t="n">
        <v>45877</v>
      </c>
      <c r="D1480" t="inlineStr">
        <is>
          <t>DALARNAS LÄN</t>
        </is>
      </c>
      <c r="E1480" t="inlineStr">
        <is>
          <t>RÄTTVIK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20650-2025</t>
        </is>
      </c>
      <c r="B1481" s="1" t="n">
        <v>45776</v>
      </c>
      <c r="C1481" s="1" t="n">
        <v>45877</v>
      </c>
      <c r="D1481" t="inlineStr">
        <is>
          <t>DALARNAS LÄN</t>
        </is>
      </c>
      <c r="E1481" t="inlineStr">
        <is>
          <t>RÄTTVIK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20652-2025</t>
        </is>
      </c>
      <c r="B1482" s="1" t="n">
        <v>45776</v>
      </c>
      <c r="C1482" s="1" t="n">
        <v>45877</v>
      </c>
      <c r="D1482" t="inlineStr">
        <is>
          <t>DALARNAS LÄN</t>
        </is>
      </c>
      <c r="E1482" t="inlineStr">
        <is>
          <t>RÄTTVIK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20616-2025</t>
        </is>
      </c>
      <c r="B1483" s="1" t="n">
        <v>45776</v>
      </c>
      <c r="C1483" s="1" t="n">
        <v>45877</v>
      </c>
      <c r="D1483" t="inlineStr">
        <is>
          <t>DALARNAS LÄN</t>
        </is>
      </c>
      <c r="E1483" t="inlineStr">
        <is>
          <t>RÄTTVIK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21078-2025</t>
        </is>
      </c>
      <c r="B1484" s="1" t="n">
        <v>45777</v>
      </c>
      <c r="C1484" s="1" t="n">
        <v>45877</v>
      </c>
      <c r="D1484" t="inlineStr">
        <is>
          <t>DALARNAS LÄN</t>
        </is>
      </c>
      <c r="E1484" t="inlineStr">
        <is>
          <t>RÄTTVIK</t>
        </is>
      </c>
      <c r="F1484" t="inlineStr">
        <is>
          <t>Bergvik skog väst AB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21216-2025</t>
        </is>
      </c>
      <c r="B1485" s="1" t="n">
        <v>45779</v>
      </c>
      <c r="C1485" s="1" t="n">
        <v>45877</v>
      </c>
      <c r="D1485" t="inlineStr">
        <is>
          <t>DALARNAS LÄN</t>
        </is>
      </c>
      <c r="E1485" t="inlineStr">
        <is>
          <t>RÄTTVIK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21238-2025</t>
        </is>
      </c>
      <c r="B1486" s="1" t="n">
        <v>45779</v>
      </c>
      <c r="C1486" s="1" t="n">
        <v>45877</v>
      </c>
      <c r="D1486" t="inlineStr">
        <is>
          <t>DALARNAS LÄN</t>
        </is>
      </c>
      <c r="E1486" t="inlineStr">
        <is>
          <t>RÄTTVIK</t>
        </is>
      </c>
      <c r="F1486" t="inlineStr">
        <is>
          <t>Sveaskog</t>
        </is>
      </c>
      <c r="G1486" t="n">
        <v>13.1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21259-2025</t>
        </is>
      </c>
      <c r="B1487" s="1" t="n">
        <v>45779</v>
      </c>
      <c r="C1487" s="1" t="n">
        <v>45877</v>
      </c>
      <c r="D1487" t="inlineStr">
        <is>
          <t>DALARNAS LÄN</t>
        </is>
      </c>
      <c r="E1487" t="inlineStr">
        <is>
          <t>RÄTTVIK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21360-2025</t>
        </is>
      </c>
      <c r="B1488" s="1" t="n">
        <v>45782</v>
      </c>
      <c r="C1488" s="1" t="n">
        <v>45877</v>
      </c>
      <c r="D1488" t="inlineStr">
        <is>
          <t>DALARNAS LÄN</t>
        </is>
      </c>
      <c r="E1488" t="inlineStr">
        <is>
          <t>RÄTTVIK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21363-2025</t>
        </is>
      </c>
      <c r="B1489" s="1" t="n">
        <v>45782</v>
      </c>
      <c r="C1489" s="1" t="n">
        <v>45877</v>
      </c>
      <c r="D1489" t="inlineStr">
        <is>
          <t>DALARNAS LÄN</t>
        </is>
      </c>
      <c r="E1489" t="inlineStr">
        <is>
          <t>RÄTTVIK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21460-2025</t>
        </is>
      </c>
      <c r="B1490" s="1" t="n">
        <v>45782</v>
      </c>
      <c r="C1490" s="1" t="n">
        <v>45877</v>
      </c>
      <c r="D1490" t="inlineStr">
        <is>
          <t>DALARNAS LÄN</t>
        </is>
      </c>
      <c r="E1490" t="inlineStr">
        <is>
          <t>RÄTTVIK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22026-2025</t>
        </is>
      </c>
      <c r="B1491" s="1" t="n">
        <v>45785</v>
      </c>
      <c r="C1491" s="1" t="n">
        <v>45877</v>
      </c>
      <c r="D1491" t="inlineStr">
        <is>
          <t>DALARNAS LÄN</t>
        </is>
      </c>
      <c r="E1491" t="inlineStr">
        <is>
          <t>RÄTTVIK</t>
        </is>
      </c>
      <c r="G1491" t="n">
        <v>6.7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22027-2025</t>
        </is>
      </c>
      <c r="B1492" s="1" t="n">
        <v>45785</v>
      </c>
      <c r="C1492" s="1" t="n">
        <v>45877</v>
      </c>
      <c r="D1492" t="inlineStr">
        <is>
          <t>DALARNAS LÄN</t>
        </is>
      </c>
      <c r="E1492" t="inlineStr">
        <is>
          <t>RÄTTVIK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21850-2025</t>
        </is>
      </c>
      <c r="B1493" s="1" t="n">
        <v>45784</v>
      </c>
      <c r="C1493" s="1" t="n">
        <v>45877</v>
      </c>
      <c r="D1493" t="inlineStr">
        <is>
          <t>DALARNAS LÄN</t>
        </is>
      </c>
      <c r="E1493" t="inlineStr">
        <is>
          <t>RÄTTVIK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21899-2025</t>
        </is>
      </c>
      <c r="B1494" s="1" t="n">
        <v>45784</v>
      </c>
      <c r="C1494" s="1" t="n">
        <v>45877</v>
      </c>
      <c r="D1494" t="inlineStr">
        <is>
          <t>DALARNAS LÄN</t>
        </is>
      </c>
      <c r="E1494" t="inlineStr">
        <is>
          <t>RÄTTVIK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22366-2025</t>
        </is>
      </c>
      <c r="B1495" s="1" t="n">
        <v>45786</v>
      </c>
      <c r="C1495" s="1" t="n">
        <v>45877</v>
      </c>
      <c r="D1495" t="inlineStr">
        <is>
          <t>DALARNAS LÄN</t>
        </is>
      </c>
      <c r="E1495" t="inlineStr">
        <is>
          <t>RÄTTVIK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22762-2025</t>
        </is>
      </c>
      <c r="B1496" s="1" t="n">
        <v>45789</v>
      </c>
      <c r="C1496" s="1" t="n">
        <v>45877</v>
      </c>
      <c r="D1496" t="inlineStr">
        <is>
          <t>DALARNAS LÄN</t>
        </is>
      </c>
      <c r="E1496" t="inlineStr">
        <is>
          <t>RÄTTVIK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22788-2025</t>
        </is>
      </c>
      <c r="B1497" s="1" t="n">
        <v>45789</v>
      </c>
      <c r="C1497" s="1" t="n">
        <v>45877</v>
      </c>
      <c r="D1497" t="inlineStr">
        <is>
          <t>DALARNAS LÄN</t>
        </is>
      </c>
      <c r="E1497" t="inlineStr">
        <is>
          <t>RÄTTVIK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22904-2025</t>
        </is>
      </c>
      <c r="B1498" s="1" t="n">
        <v>45790</v>
      </c>
      <c r="C1498" s="1" t="n">
        <v>45877</v>
      </c>
      <c r="D1498" t="inlineStr">
        <is>
          <t>DALARNAS LÄN</t>
        </is>
      </c>
      <c r="E1498" t="inlineStr">
        <is>
          <t>RÄTTVIK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23257-2025</t>
        </is>
      </c>
      <c r="B1499" s="1" t="n">
        <v>45791</v>
      </c>
      <c r="C1499" s="1" t="n">
        <v>45877</v>
      </c>
      <c r="D1499" t="inlineStr">
        <is>
          <t>DALARNAS LÄN</t>
        </is>
      </c>
      <c r="E1499" t="inlineStr">
        <is>
          <t>RÄTTVIK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23814-2025</t>
        </is>
      </c>
      <c r="B1500" s="1" t="n">
        <v>45793</v>
      </c>
      <c r="C1500" s="1" t="n">
        <v>45877</v>
      </c>
      <c r="D1500" t="inlineStr">
        <is>
          <t>DALARNAS LÄN</t>
        </is>
      </c>
      <c r="E1500" t="inlineStr">
        <is>
          <t>RÄTTVIK</t>
        </is>
      </c>
      <c r="F1500" t="inlineStr">
        <is>
          <t>Sveaskog</t>
        </is>
      </c>
      <c r="G1500" t="n">
        <v>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23836-2025</t>
        </is>
      </c>
      <c r="B1501" s="1" t="n">
        <v>45793</v>
      </c>
      <c r="C1501" s="1" t="n">
        <v>45877</v>
      </c>
      <c r="D1501" t="inlineStr">
        <is>
          <t>DALARNAS LÄN</t>
        </is>
      </c>
      <c r="E1501" t="inlineStr">
        <is>
          <t>RÄTTVIK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24046-2025</t>
        </is>
      </c>
      <c r="B1502" s="1" t="n">
        <v>45796</v>
      </c>
      <c r="C1502" s="1" t="n">
        <v>45877</v>
      </c>
      <c r="D1502" t="inlineStr">
        <is>
          <t>DALARNAS LÄN</t>
        </is>
      </c>
      <c r="E1502" t="inlineStr">
        <is>
          <t>RÄTTVIK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24022-2025</t>
        </is>
      </c>
      <c r="B1503" s="1" t="n">
        <v>45796</v>
      </c>
      <c r="C1503" s="1" t="n">
        <v>45877</v>
      </c>
      <c r="D1503" t="inlineStr">
        <is>
          <t>DALARNAS LÄN</t>
        </is>
      </c>
      <c r="E1503" t="inlineStr">
        <is>
          <t>RÄTTVIK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24024-2025</t>
        </is>
      </c>
      <c r="B1504" s="1" t="n">
        <v>45796</v>
      </c>
      <c r="C1504" s="1" t="n">
        <v>45877</v>
      </c>
      <c r="D1504" t="inlineStr">
        <is>
          <t>DALARNAS LÄN</t>
        </is>
      </c>
      <c r="E1504" t="inlineStr">
        <is>
          <t>RÄTTVIK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23982-2025</t>
        </is>
      </c>
      <c r="B1505" s="1" t="n">
        <v>45796</v>
      </c>
      <c r="C1505" s="1" t="n">
        <v>45877</v>
      </c>
      <c r="D1505" t="inlineStr">
        <is>
          <t>DALARNAS LÄN</t>
        </is>
      </c>
      <c r="E1505" t="inlineStr">
        <is>
          <t>RÄTTVIK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24156-2025</t>
        </is>
      </c>
      <c r="B1506" s="1" t="n">
        <v>45796</v>
      </c>
      <c r="C1506" s="1" t="n">
        <v>45877</v>
      </c>
      <c r="D1506" t="inlineStr">
        <is>
          <t>DALARNAS LÄN</t>
        </is>
      </c>
      <c r="E1506" t="inlineStr">
        <is>
          <t>RÄTTVIK</t>
        </is>
      </c>
      <c r="G1506" t="n">
        <v>33.4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24177-2025</t>
        </is>
      </c>
      <c r="B1507" s="1" t="n">
        <v>45796</v>
      </c>
      <c r="C1507" s="1" t="n">
        <v>45877</v>
      </c>
      <c r="D1507" t="inlineStr">
        <is>
          <t>DALARNAS LÄN</t>
        </is>
      </c>
      <c r="E1507" t="inlineStr">
        <is>
          <t>RÄTTVIK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24203-2025</t>
        </is>
      </c>
      <c r="B1508" s="1" t="n">
        <v>45797</v>
      </c>
      <c r="C1508" s="1" t="n">
        <v>45877</v>
      </c>
      <c r="D1508" t="inlineStr">
        <is>
          <t>DALARNAS LÄN</t>
        </is>
      </c>
      <c r="E1508" t="inlineStr">
        <is>
          <t>RÄTTVIK</t>
        </is>
      </c>
      <c r="G1508" t="n">
        <v>7.6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24461-2025</t>
        </is>
      </c>
      <c r="B1509" s="1" t="n">
        <v>45798</v>
      </c>
      <c r="C1509" s="1" t="n">
        <v>45877</v>
      </c>
      <c r="D1509" t="inlineStr">
        <is>
          <t>DALARNAS LÄN</t>
        </is>
      </c>
      <c r="E1509" t="inlineStr">
        <is>
          <t>RÄTTVIK</t>
        </is>
      </c>
      <c r="F1509" t="inlineStr">
        <is>
          <t>Bergvik skog väst AB</t>
        </is>
      </c>
      <c r="G1509" t="n">
        <v>15.4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24573-2025</t>
        </is>
      </c>
      <c r="B1510" s="1" t="n">
        <v>45798</v>
      </c>
      <c r="C1510" s="1" t="n">
        <v>45877</v>
      </c>
      <c r="D1510" t="inlineStr">
        <is>
          <t>DALARNAS LÄN</t>
        </is>
      </c>
      <c r="E1510" t="inlineStr">
        <is>
          <t>RÄTTVIK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24811-2025</t>
        </is>
      </c>
      <c r="B1511" s="1" t="n">
        <v>45799</v>
      </c>
      <c r="C1511" s="1" t="n">
        <v>45877</v>
      </c>
      <c r="D1511" t="inlineStr">
        <is>
          <t>DALARNAS LÄN</t>
        </is>
      </c>
      <c r="E1511" t="inlineStr">
        <is>
          <t>RÄTTVIK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24902-2025</t>
        </is>
      </c>
      <c r="B1512" s="1" t="n">
        <v>45799</v>
      </c>
      <c r="C1512" s="1" t="n">
        <v>45877</v>
      </c>
      <c r="D1512" t="inlineStr">
        <is>
          <t>DALARNAS LÄN</t>
        </is>
      </c>
      <c r="E1512" t="inlineStr">
        <is>
          <t>RÄTTVIK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24903-2025</t>
        </is>
      </c>
      <c r="B1513" s="1" t="n">
        <v>45799</v>
      </c>
      <c r="C1513" s="1" t="n">
        <v>45877</v>
      </c>
      <c r="D1513" t="inlineStr">
        <is>
          <t>DALARNAS LÄN</t>
        </is>
      </c>
      <c r="E1513" t="inlineStr">
        <is>
          <t>RÄTTVIK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25625-2025</t>
        </is>
      </c>
      <c r="B1514" s="1" t="n">
        <v>45803</v>
      </c>
      <c r="C1514" s="1" t="n">
        <v>45877</v>
      </c>
      <c r="D1514" t="inlineStr">
        <is>
          <t>DALARNAS LÄN</t>
        </is>
      </c>
      <c r="E1514" t="inlineStr">
        <is>
          <t>RÄTTVIK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25559-2025</t>
        </is>
      </c>
      <c r="B1515" s="1" t="n">
        <v>45803</v>
      </c>
      <c r="C1515" s="1" t="n">
        <v>45877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9.699999999999999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25563-2025</t>
        </is>
      </c>
      <c r="B1516" s="1" t="n">
        <v>45803</v>
      </c>
      <c r="C1516" s="1" t="n">
        <v>45877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11.4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25907-2025</t>
        </is>
      </c>
      <c r="B1517" s="1" t="n">
        <v>45803</v>
      </c>
      <c r="C1517" s="1" t="n">
        <v>45877</v>
      </c>
      <c r="D1517" t="inlineStr">
        <is>
          <t>DALARNAS LÄN</t>
        </is>
      </c>
      <c r="E1517" t="inlineStr">
        <is>
          <t>RÄTTVIK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25567-2025</t>
        </is>
      </c>
      <c r="B1518" s="1" t="n">
        <v>45803</v>
      </c>
      <c r="C1518" s="1" t="n">
        <v>45877</v>
      </c>
      <c r="D1518" t="inlineStr">
        <is>
          <t>DALARNAS LÄN</t>
        </is>
      </c>
      <c r="E1518" t="inlineStr">
        <is>
          <t>RÄTTVIK</t>
        </is>
      </c>
      <c r="F1518" t="inlineStr">
        <is>
          <t>Sveaskog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25553-2025</t>
        </is>
      </c>
      <c r="B1519" s="1" t="n">
        <v>45803</v>
      </c>
      <c r="C1519" s="1" t="n">
        <v>45877</v>
      </c>
      <c r="D1519" t="inlineStr">
        <is>
          <t>DALARNAS LÄN</t>
        </is>
      </c>
      <c r="E1519" t="inlineStr">
        <is>
          <t>RÄTTVIK</t>
        </is>
      </c>
      <c r="F1519" t="inlineStr">
        <is>
          <t>Bergvik skog väst AB</t>
        </is>
      </c>
      <c r="G1519" t="n">
        <v>11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25548-2025</t>
        </is>
      </c>
      <c r="B1520" s="1" t="n">
        <v>45803</v>
      </c>
      <c r="C1520" s="1" t="n">
        <v>45877</v>
      </c>
      <c r="D1520" t="inlineStr">
        <is>
          <t>DALARNAS LÄN</t>
        </is>
      </c>
      <c r="E1520" t="inlineStr">
        <is>
          <t>RÄTTVIK</t>
        </is>
      </c>
      <c r="F1520" t="inlineStr">
        <is>
          <t>Bergvik skog väst AB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25973-2025</t>
        </is>
      </c>
      <c r="B1521" s="1" t="n">
        <v>45804</v>
      </c>
      <c r="C1521" s="1" t="n">
        <v>45877</v>
      </c>
      <c r="D1521" t="inlineStr">
        <is>
          <t>DALARNAS LÄN</t>
        </is>
      </c>
      <c r="E1521" t="inlineStr">
        <is>
          <t>RÄTTVIK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26814-2025</t>
        </is>
      </c>
      <c r="B1522" s="1" t="n">
        <v>45810</v>
      </c>
      <c r="C1522" s="1" t="n">
        <v>45877</v>
      </c>
      <c r="D1522" t="inlineStr">
        <is>
          <t>DALARNAS LÄN</t>
        </is>
      </c>
      <c r="E1522" t="inlineStr">
        <is>
          <t>RÄTTVIK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27701-2025</t>
        </is>
      </c>
      <c r="B1523" s="1" t="n">
        <v>45813</v>
      </c>
      <c r="C1523" s="1" t="n">
        <v>45877</v>
      </c>
      <c r="D1523" t="inlineStr">
        <is>
          <t>DALARNAS LÄN</t>
        </is>
      </c>
      <c r="E1523" t="inlineStr">
        <is>
          <t>RÄTTVIK</t>
        </is>
      </c>
      <c r="G1523" t="n">
        <v>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27704-2025</t>
        </is>
      </c>
      <c r="B1524" s="1" t="n">
        <v>45813</v>
      </c>
      <c r="C1524" s="1" t="n">
        <v>45877</v>
      </c>
      <c r="D1524" t="inlineStr">
        <is>
          <t>DALARNAS LÄN</t>
        </is>
      </c>
      <c r="E1524" t="inlineStr">
        <is>
          <t>RÄTTVIK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27512-2025</t>
        </is>
      </c>
      <c r="B1525" s="1" t="n">
        <v>45813</v>
      </c>
      <c r="C1525" s="1" t="n">
        <v>45877</v>
      </c>
      <c r="D1525" t="inlineStr">
        <is>
          <t>DALARNAS LÄN</t>
        </is>
      </c>
      <c r="E1525" t="inlineStr">
        <is>
          <t>RÄTTVIK</t>
        </is>
      </c>
      <c r="F1525" t="inlineStr">
        <is>
          <t>Bergvik skog väst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27656-2025</t>
        </is>
      </c>
      <c r="B1526" s="1" t="n">
        <v>45813</v>
      </c>
      <c r="C1526" s="1" t="n">
        <v>45877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8.800000000000001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28044-2025</t>
        </is>
      </c>
      <c r="B1527" s="1" t="n">
        <v>45817</v>
      </c>
      <c r="C1527" s="1" t="n">
        <v>45877</v>
      </c>
      <c r="D1527" t="inlineStr">
        <is>
          <t>DALARNAS LÄN</t>
        </is>
      </c>
      <c r="E1527" t="inlineStr">
        <is>
          <t>RÄTTVIK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28034-2025</t>
        </is>
      </c>
      <c r="B1528" s="1" t="n">
        <v>45817</v>
      </c>
      <c r="C1528" s="1" t="n">
        <v>45877</v>
      </c>
      <c r="D1528" t="inlineStr">
        <is>
          <t>DALARNAS LÄN</t>
        </is>
      </c>
      <c r="E1528" t="inlineStr">
        <is>
          <t>RÄTTVIK</t>
        </is>
      </c>
      <c r="F1528" t="inlineStr">
        <is>
          <t>Sveaskog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28563-2025</t>
        </is>
      </c>
      <c r="B1529" s="1" t="n">
        <v>45819</v>
      </c>
      <c r="C1529" s="1" t="n">
        <v>45877</v>
      </c>
      <c r="D1529" t="inlineStr">
        <is>
          <t>DALARNAS LÄN</t>
        </is>
      </c>
      <c r="E1529" t="inlineStr">
        <is>
          <t>RÄTTVIK</t>
        </is>
      </c>
      <c r="F1529" t="inlineStr">
        <is>
          <t>Sveaskog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28684-2025</t>
        </is>
      </c>
      <c r="B1530" s="1" t="n">
        <v>45819</v>
      </c>
      <c r="C1530" s="1" t="n">
        <v>45877</v>
      </c>
      <c r="D1530" t="inlineStr">
        <is>
          <t>DALARNAS LÄN</t>
        </is>
      </c>
      <c r="E1530" t="inlineStr">
        <is>
          <t>RÄTTVIK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28683-2025</t>
        </is>
      </c>
      <c r="B1531" s="1" t="n">
        <v>45819</v>
      </c>
      <c r="C1531" s="1" t="n">
        <v>45877</v>
      </c>
      <c r="D1531" t="inlineStr">
        <is>
          <t>DALARNAS LÄN</t>
        </is>
      </c>
      <c r="E1531" t="inlineStr">
        <is>
          <t>RÄTTVIK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28811-2025</t>
        </is>
      </c>
      <c r="B1532" s="1" t="n">
        <v>45820</v>
      </c>
      <c r="C1532" s="1" t="n">
        <v>45877</v>
      </c>
      <c r="D1532" t="inlineStr">
        <is>
          <t>DALARNAS LÄN</t>
        </is>
      </c>
      <c r="E1532" t="inlineStr">
        <is>
          <t>RÄTTVIK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29135-2025</t>
        </is>
      </c>
      <c r="B1533" s="1" t="n">
        <v>45821</v>
      </c>
      <c r="C1533" s="1" t="n">
        <v>45877</v>
      </c>
      <c r="D1533" t="inlineStr">
        <is>
          <t>DALARNAS LÄN</t>
        </is>
      </c>
      <c r="E1533" t="inlineStr">
        <is>
          <t>RÄTTVIK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29289-2025</t>
        </is>
      </c>
      <c r="B1534" s="1" t="n">
        <v>45824</v>
      </c>
      <c r="C1534" s="1" t="n">
        <v>45877</v>
      </c>
      <c r="D1534" t="inlineStr">
        <is>
          <t>DALARNAS LÄN</t>
        </is>
      </c>
      <c r="E1534" t="inlineStr">
        <is>
          <t>RÄTTVIK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29360-2025</t>
        </is>
      </c>
      <c r="B1535" s="1" t="n">
        <v>45824</v>
      </c>
      <c r="C1535" s="1" t="n">
        <v>45877</v>
      </c>
      <c r="D1535" t="inlineStr">
        <is>
          <t>DALARNAS LÄN</t>
        </is>
      </c>
      <c r="E1535" t="inlineStr">
        <is>
          <t>RÄTTVIK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29519-2025</t>
        </is>
      </c>
      <c r="B1536" s="1" t="n">
        <v>45825</v>
      </c>
      <c r="C1536" s="1" t="n">
        <v>45877</v>
      </c>
      <c r="D1536" t="inlineStr">
        <is>
          <t>DALARNAS LÄN</t>
        </is>
      </c>
      <c r="E1536" t="inlineStr">
        <is>
          <t>RÄTTVIK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29521-2025</t>
        </is>
      </c>
      <c r="B1537" s="1" t="n">
        <v>45825</v>
      </c>
      <c r="C1537" s="1" t="n">
        <v>45877</v>
      </c>
      <c r="D1537" t="inlineStr">
        <is>
          <t>DALARNAS LÄN</t>
        </is>
      </c>
      <c r="E1537" t="inlineStr">
        <is>
          <t>RÄTTVIK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29684-2025</t>
        </is>
      </c>
      <c r="B1538" s="1" t="n">
        <v>45825</v>
      </c>
      <c r="C1538" s="1" t="n">
        <v>45877</v>
      </c>
      <c r="D1538" t="inlineStr">
        <is>
          <t>DALARNAS LÄN</t>
        </is>
      </c>
      <c r="E1538" t="inlineStr">
        <is>
          <t>RÄTTVIK</t>
        </is>
      </c>
      <c r="F1538" t="inlineStr">
        <is>
          <t>Bergvik skog väst AB</t>
        </is>
      </c>
      <c r="G1538" t="n">
        <v>15.3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29511-2025</t>
        </is>
      </c>
      <c r="B1539" s="1" t="n">
        <v>45825</v>
      </c>
      <c r="C1539" s="1" t="n">
        <v>45877</v>
      </c>
      <c r="D1539" t="inlineStr">
        <is>
          <t>DALARNAS LÄN</t>
        </is>
      </c>
      <c r="E1539" t="inlineStr">
        <is>
          <t>RÄTTVIK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29687-2025</t>
        </is>
      </c>
      <c r="B1540" s="1" t="n">
        <v>45825</v>
      </c>
      <c r="C1540" s="1" t="n">
        <v>45877</v>
      </c>
      <c r="D1540" t="inlineStr">
        <is>
          <t>DALARNAS LÄN</t>
        </is>
      </c>
      <c r="E1540" t="inlineStr">
        <is>
          <t>RÄTTVIK</t>
        </is>
      </c>
      <c r="F1540" t="inlineStr">
        <is>
          <t>Bergvik skog väst AB</t>
        </is>
      </c>
      <c r="G1540" t="n">
        <v>6.9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29676-2025</t>
        </is>
      </c>
      <c r="B1541" s="1" t="n">
        <v>45825</v>
      </c>
      <c r="C1541" s="1" t="n">
        <v>45877</v>
      </c>
      <c r="D1541" t="inlineStr">
        <is>
          <t>DALARNAS LÄN</t>
        </is>
      </c>
      <c r="E1541" t="inlineStr">
        <is>
          <t>RÄTTVIK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29695-2025</t>
        </is>
      </c>
      <c r="B1542" s="1" t="n">
        <v>45825</v>
      </c>
      <c r="C1542" s="1" t="n">
        <v>45877</v>
      </c>
      <c r="D1542" t="inlineStr">
        <is>
          <t>DALARNAS LÄN</t>
        </is>
      </c>
      <c r="E1542" t="inlineStr">
        <is>
          <t>RÄTTVIK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29697-2025</t>
        </is>
      </c>
      <c r="B1543" s="1" t="n">
        <v>45825</v>
      </c>
      <c r="C1543" s="1" t="n">
        <v>45877</v>
      </c>
      <c r="D1543" t="inlineStr">
        <is>
          <t>DALARNAS LÄN</t>
        </is>
      </c>
      <c r="E1543" t="inlineStr">
        <is>
          <t>RÄTTVIK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29943-2025</t>
        </is>
      </c>
      <c r="B1544" s="1" t="n">
        <v>45826</v>
      </c>
      <c r="C1544" s="1" t="n">
        <v>45877</v>
      </c>
      <c r="D1544" t="inlineStr">
        <is>
          <t>DALARNAS LÄN</t>
        </is>
      </c>
      <c r="E1544" t="inlineStr">
        <is>
          <t>RÄTTVIK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30446-2025</t>
        </is>
      </c>
      <c r="B1545" s="1" t="n">
        <v>45827</v>
      </c>
      <c r="C1545" s="1" t="n">
        <v>45877</v>
      </c>
      <c r="D1545" t="inlineStr">
        <is>
          <t>DALARNAS LÄN</t>
        </is>
      </c>
      <c r="E1545" t="inlineStr">
        <is>
          <t>RÄTTVIK</t>
        </is>
      </c>
      <c r="F1545" t="inlineStr">
        <is>
          <t>Sveaskog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30148-2025</t>
        </is>
      </c>
      <c r="B1546" s="1" t="n">
        <v>45827</v>
      </c>
      <c r="C1546" s="1" t="n">
        <v>45877</v>
      </c>
      <c r="D1546" t="inlineStr">
        <is>
          <t>DALARNAS LÄN</t>
        </is>
      </c>
      <c r="E1546" t="inlineStr">
        <is>
          <t>RÄTTVIK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30444-2025</t>
        </is>
      </c>
      <c r="B1547" s="1" t="n">
        <v>45827</v>
      </c>
      <c r="C1547" s="1" t="n">
        <v>45877</v>
      </c>
      <c r="D1547" t="inlineStr">
        <is>
          <t>DALARNAS LÄN</t>
        </is>
      </c>
      <c r="E1547" t="inlineStr">
        <is>
          <t>RÄTTVIK</t>
        </is>
      </c>
      <c r="F1547" t="inlineStr">
        <is>
          <t>Sveaskog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45877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30724-2025</t>
        </is>
      </c>
      <c r="B1549" s="1" t="n">
        <v>45831</v>
      </c>
      <c r="C1549" s="1" t="n">
        <v>45877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30707-2025</t>
        </is>
      </c>
      <c r="B1550" s="1" t="n">
        <v>45831</v>
      </c>
      <c r="C1550" s="1" t="n">
        <v>45877</v>
      </c>
      <c r="D1550" t="inlineStr">
        <is>
          <t>DALARNAS LÄN</t>
        </is>
      </c>
      <c r="E1550" t="inlineStr">
        <is>
          <t>RÄTTVIK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30934-2025</t>
        </is>
      </c>
      <c r="B1551" s="1" t="n">
        <v>45832</v>
      </c>
      <c r="C1551" s="1" t="n">
        <v>45877</v>
      </c>
      <c r="D1551" t="inlineStr">
        <is>
          <t>DALARNAS LÄN</t>
        </is>
      </c>
      <c r="E1551" t="inlineStr">
        <is>
          <t>RÄTTVIK</t>
        </is>
      </c>
      <c r="F1551" t="inlineStr">
        <is>
          <t>Sveaskog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31273-2025</t>
        </is>
      </c>
      <c r="B1552" s="1" t="n">
        <v>45833</v>
      </c>
      <c r="C1552" s="1" t="n">
        <v>45877</v>
      </c>
      <c r="D1552" t="inlineStr">
        <is>
          <t>DALARNAS LÄN</t>
        </is>
      </c>
      <c r="E1552" t="inlineStr">
        <is>
          <t>RÄTTVIK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31286-2025</t>
        </is>
      </c>
      <c r="B1553" s="1" t="n">
        <v>45833</v>
      </c>
      <c r="C1553" s="1" t="n">
        <v>45877</v>
      </c>
      <c r="D1553" t="inlineStr">
        <is>
          <t>DALARNAS LÄN</t>
        </is>
      </c>
      <c r="E1553" t="inlineStr">
        <is>
          <t>RÄTTVIK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31260-2025</t>
        </is>
      </c>
      <c r="B1554" s="1" t="n">
        <v>45833</v>
      </c>
      <c r="C1554" s="1" t="n">
        <v>45877</v>
      </c>
      <c r="D1554" t="inlineStr">
        <is>
          <t>DALARNAS LÄN</t>
        </is>
      </c>
      <c r="E1554" t="inlineStr">
        <is>
          <t>RÄTTVIK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31310-2025</t>
        </is>
      </c>
      <c r="B1555" s="1" t="n">
        <v>45833</v>
      </c>
      <c r="C1555" s="1" t="n">
        <v>45877</v>
      </c>
      <c r="D1555" t="inlineStr">
        <is>
          <t>DALARNAS LÄN</t>
        </is>
      </c>
      <c r="E1555" t="inlineStr">
        <is>
          <t>RÄTTVIK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31572-2025</t>
        </is>
      </c>
      <c r="B1556" s="1" t="n">
        <v>45833</v>
      </c>
      <c r="C1556" s="1" t="n">
        <v>45877</v>
      </c>
      <c r="D1556" t="inlineStr">
        <is>
          <t>DALARNAS LÄN</t>
        </is>
      </c>
      <c r="E1556" t="inlineStr">
        <is>
          <t>RÄTTVIK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31622-2025</t>
        </is>
      </c>
      <c r="B1557" s="1" t="n">
        <v>45833</v>
      </c>
      <c r="C1557" s="1" t="n">
        <v>45877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31297-2025</t>
        </is>
      </c>
      <c r="B1558" s="1" t="n">
        <v>45833</v>
      </c>
      <c r="C1558" s="1" t="n">
        <v>45877</v>
      </c>
      <c r="D1558" t="inlineStr">
        <is>
          <t>DALARNAS LÄN</t>
        </is>
      </c>
      <c r="E1558" t="inlineStr">
        <is>
          <t>RÄTTVIK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31300-2025</t>
        </is>
      </c>
      <c r="B1559" s="1" t="n">
        <v>45833</v>
      </c>
      <c r="C1559" s="1" t="n">
        <v>45877</v>
      </c>
      <c r="D1559" t="inlineStr">
        <is>
          <t>DALARNAS LÄN</t>
        </is>
      </c>
      <c r="E1559" t="inlineStr">
        <is>
          <t>RÄTTVIK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31946-2025</t>
        </is>
      </c>
      <c r="B1560" s="1" t="n">
        <v>45835</v>
      </c>
      <c r="C1560" s="1" t="n">
        <v>45877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31976-2025</t>
        </is>
      </c>
      <c r="B1561" s="1" t="n">
        <v>45835</v>
      </c>
      <c r="C1561" s="1" t="n">
        <v>45877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31995-2025</t>
        </is>
      </c>
      <c r="B1562" s="1" t="n">
        <v>45835</v>
      </c>
      <c r="C1562" s="1" t="n">
        <v>45877</v>
      </c>
      <c r="D1562" t="inlineStr">
        <is>
          <t>DALARNAS LÄN</t>
        </is>
      </c>
      <c r="E1562" t="inlineStr">
        <is>
          <t>RÄTTVIK</t>
        </is>
      </c>
      <c r="F1562" t="inlineStr">
        <is>
          <t>Bergvik skog väst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32166-2025</t>
        </is>
      </c>
      <c r="B1563" s="1" t="n">
        <v>45835</v>
      </c>
      <c r="C1563" s="1" t="n">
        <v>45877</v>
      </c>
      <c r="D1563" t="inlineStr">
        <is>
          <t>DALARNAS LÄN</t>
        </is>
      </c>
      <c r="E1563" t="inlineStr">
        <is>
          <t>RÄTTVIK</t>
        </is>
      </c>
      <c r="F1563" t="inlineStr">
        <is>
          <t>Sveaskog</t>
        </is>
      </c>
      <c r="G1563" t="n">
        <v>8.699999999999999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33117-2025</t>
        </is>
      </c>
      <c r="B1564" s="1" t="n">
        <v>45840</v>
      </c>
      <c r="C1564" s="1" t="n">
        <v>45877</v>
      </c>
      <c r="D1564" t="inlineStr">
        <is>
          <t>DALARNAS LÄN</t>
        </is>
      </c>
      <c r="E1564" t="inlineStr">
        <is>
          <t>RÄTTVIK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33118-2025</t>
        </is>
      </c>
      <c r="B1565" s="1" t="n">
        <v>45840</v>
      </c>
      <c r="C1565" s="1" t="n">
        <v>45877</v>
      </c>
      <c r="D1565" t="inlineStr">
        <is>
          <t>DALARNAS LÄN</t>
        </is>
      </c>
      <c r="E1565" t="inlineStr">
        <is>
          <t>RÄTTVIK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33002-2025</t>
        </is>
      </c>
      <c r="B1566" s="1" t="n">
        <v>45840</v>
      </c>
      <c r="C1566" s="1" t="n">
        <v>45877</v>
      </c>
      <c r="D1566" t="inlineStr">
        <is>
          <t>DALARNAS LÄN</t>
        </is>
      </c>
      <c r="E1566" t="inlineStr">
        <is>
          <t>RÄTTVIK</t>
        </is>
      </c>
      <c r="F1566" t="inlineStr">
        <is>
          <t>Bergvik skog väst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33385-2025</t>
        </is>
      </c>
      <c r="B1567" s="1" t="n">
        <v>45841</v>
      </c>
      <c r="C1567" s="1" t="n">
        <v>45877</v>
      </c>
      <c r="D1567" t="inlineStr">
        <is>
          <t>DALARNAS LÄN</t>
        </is>
      </c>
      <c r="E1567" t="inlineStr">
        <is>
          <t>RÄTTVIK</t>
        </is>
      </c>
      <c r="F1567" t="inlineStr">
        <is>
          <t>Sveaskog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33640-2025</t>
        </is>
      </c>
      <c r="B1568" s="1" t="n">
        <v>45841</v>
      </c>
      <c r="C1568" s="1" t="n">
        <v>45877</v>
      </c>
      <c r="D1568" t="inlineStr">
        <is>
          <t>DALARNAS LÄN</t>
        </is>
      </c>
      <c r="E1568" t="inlineStr">
        <is>
          <t>RÄTTVIK</t>
        </is>
      </c>
      <c r="F1568" t="inlineStr">
        <is>
          <t>Bergvik skog väst AB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34241-2025</t>
        </is>
      </c>
      <c r="B1569" s="1" t="n">
        <v>45845</v>
      </c>
      <c r="C1569" s="1" t="n">
        <v>45877</v>
      </c>
      <c r="D1569" t="inlineStr">
        <is>
          <t>DALARNAS LÄN</t>
        </is>
      </c>
      <c r="E1569" t="inlineStr">
        <is>
          <t>RÄTTVIK</t>
        </is>
      </c>
      <c r="F1569" t="inlineStr">
        <is>
          <t>Sveaskog</t>
        </is>
      </c>
      <c r="G1569" t="n">
        <v>23.4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34595-2025</t>
        </is>
      </c>
      <c r="B1570" s="1" t="n">
        <v>45847</v>
      </c>
      <c r="C1570" s="1" t="n">
        <v>45877</v>
      </c>
      <c r="D1570" t="inlineStr">
        <is>
          <t>DALARNAS LÄN</t>
        </is>
      </c>
      <c r="E1570" t="inlineStr">
        <is>
          <t>RÄTTVIK</t>
        </is>
      </c>
      <c r="F1570" t="inlineStr">
        <is>
          <t>Sveaskog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34908-2025</t>
        </is>
      </c>
      <c r="B1571" s="1" t="n">
        <v>45849</v>
      </c>
      <c r="C1571" s="1" t="n">
        <v>45877</v>
      </c>
      <c r="D1571" t="inlineStr">
        <is>
          <t>DALARNAS LÄN</t>
        </is>
      </c>
      <c r="E1571" t="inlineStr">
        <is>
          <t>RÄTTVIK</t>
        </is>
      </c>
      <c r="F1571" t="inlineStr">
        <is>
          <t>Sveaskog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34810-2025</t>
        </is>
      </c>
      <c r="B1572" s="1" t="n">
        <v>45849</v>
      </c>
      <c r="C1572" s="1" t="n">
        <v>45877</v>
      </c>
      <c r="D1572" t="inlineStr">
        <is>
          <t>DALARNAS LÄN</t>
        </is>
      </c>
      <c r="E1572" t="inlineStr">
        <is>
          <t>RÄTTVIK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35138-2025</t>
        </is>
      </c>
      <c r="B1573" s="1" t="n">
        <v>45852</v>
      </c>
      <c r="C1573" s="1" t="n">
        <v>45877</v>
      </c>
      <c r="D1573" t="inlineStr">
        <is>
          <t>DALARNAS LÄN</t>
        </is>
      </c>
      <c r="E1573" t="inlineStr">
        <is>
          <t>RÄTTVIK</t>
        </is>
      </c>
      <c r="F1573" t="inlineStr">
        <is>
          <t>Bergvik skog väst AB</t>
        </is>
      </c>
      <c r="G1573" t="n">
        <v>30.4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35247-2025</t>
        </is>
      </c>
      <c r="B1574" s="1" t="n">
        <v>45853</v>
      </c>
      <c r="C1574" s="1" t="n">
        <v>45877</v>
      </c>
      <c r="D1574" t="inlineStr">
        <is>
          <t>DALARNAS LÄN</t>
        </is>
      </c>
      <c r="E1574" t="inlineStr">
        <is>
          <t>RÄTTVIK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35317-2025</t>
        </is>
      </c>
      <c r="B1575" s="1" t="n">
        <v>45854</v>
      </c>
      <c r="C1575" s="1" t="n">
        <v>45877</v>
      </c>
      <c r="D1575" t="inlineStr">
        <is>
          <t>DALARNAS LÄN</t>
        </is>
      </c>
      <c r="E1575" t="inlineStr">
        <is>
          <t>RÄTTVIK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35424-2025</t>
        </is>
      </c>
      <c r="B1576" s="1" t="n">
        <v>45855</v>
      </c>
      <c r="C1576" s="1" t="n">
        <v>45877</v>
      </c>
      <c r="D1576" t="inlineStr">
        <is>
          <t>DALARNAS LÄN</t>
        </is>
      </c>
      <c r="E1576" t="inlineStr">
        <is>
          <t>RÄTTVIK</t>
        </is>
      </c>
      <c r="F1576" t="inlineStr">
        <is>
          <t>Bergvik skog väst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35900-2025</t>
        </is>
      </c>
      <c r="B1577" s="1" t="n">
        <v>45862</v>
      </c>
      <c r="C1577" s="1" t="n">
        <v>45877</v>
      </c>
      <c r="D1577" t="inlineStr">
        <is>
          <t>DALARNAS LÄN</t>
        </is>
      </c>
      <c r="E1577" t="inlineStr">
        <is>
          <t>RÄTTVIK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35918-2025</t>
        </is>
      </c>
      <c r="B1578" s="1" t="n">
        <v>45862</v>
      </c>
      <c r="C1578" s="1" t="n">
        <v>45877</v>
      </c>
      <c r="D1578" t="inlineStr">
        <is>
          <t>DALARNAS LÄN</t>
        </is>
      </c>
      <c r="E1578" t="inlineStr">
        <is>
          <t>RÄTTVIK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36033-2025</t>
        </is>
      </c>
      <c r="B1579" s="1" t="n">
        <v>45865</v>
      </c>
      <c r="C1579" s="1" t="n">
        <v>45877</v>
      </c>
      <c r="D1579" t="inlineStr">
        <is>
          <t>DALARNAS LÄN</t>
        </is>
      </c>
      <c r="E1579" t="inlineStr">
        <is>
          <t>RÄTTVIK</t>
        </is>
      </c>
      <c r="F1579" t="inlineStr">
        <is>
          <t>Bergvik skog väst AB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36748-2025</t>
        </is>
      </c>
      <c r="B1580" s="1" t="n">
        <v>45873</v>
      </c>
      <c r="C1580" s="1" t="n">
        <v>45877</v>
      </c>
      <c r="D1580" t="inlineStr">
        <is>
          <t>DALARNAS LÄN</t>
        </is>
      </c>
      <c r="E1580" t="inlineStr">
        <is>
          <t>RÄTTVIK</t>
        </is>
      </c>
      <c r="G1580" t="n">
        <v>10.9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36889-2025</t>
        </is>
      </c>
      <c r="B1581" s="1" t="n">
        <v>45874</v>
      </c>
      <c r="C1581" s="1" t="n">
        <v>45877</v>
      </c>
      <c r="D1581" t="inlineStr">
        <is>
          <t>DALARNAS LÄN</t>
        </is>
      </c>
      <c r="E1581" t="inlineStr">
        <is>
          <t>RÄTTVIK</t>
        </is>
      </c>
      <c r="F1581" t="inlineStr">
        <is>
          <t>Bergvik skog väst AB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36897-2025</t>
        </is>
      </c>
      <c r="B1582" s="1" t="n">
        <v>45874</v>
      </c>
      <c r="C1582" s="1" t="n">
        <v>45877</v>
      </c>
      <c r="D1582" t="inlineStr">
        <is>
          <t>DALARNAS LÄN</t>
        </is>
      </c>
      <c r="E1582" t="inlineStr">
        <is>
          <t>RÄTTVIK</t>
        </is>
      </c>
      <c r="F1582" t="inlineStr">
        <is>
          <t>Bergvik skog väst AB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36879-2025</t>
        </is>
      </c>
      <c r="B1583" s="1" t="n">
        <v>45874</v>
      </c>
      <c r="C1583" s="1" t="n">
        <v>45877</v>
      </c>
      <c r="D1583" t="inlineStr">
        <is>
          <t>DALARNAS LÄN</t>
        </is>
      </c>
      <c r="E1583" t="inlineStr">
        <is>
          <t>RÄTTVIK</t>
        </is>
      </c>
      <c r="F1583" t="inlineStr">
        <is>
          <t>Bergvik skog väst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>
      <c r="A1584" t="inlineStr">
        <is>
          <t>A 37341-2025</t>
        </is>
      </c>
      <c r="B1584" s="1" t="n">
        <v>45876</v>
      </c>
      <c r="C1584" s="1" t="n">
        <v>45877</v>
      </c>
      <c r="D1584" t="inlineStr">
        <is>
          <t>DALARNAS LÄN</t>
        </is>
      </c>
      <c r="E1584" t="inlineStr">
        <is>
          <t>RÄTTVIK</t>
        </is>
      </c>
      <c r="F1584" t="inlineStr">
        <is>
          <t>Bergvik skog väst AB</t>
        </is>
      </c>
      <c r="G1584" t="n">
        <v>20.1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2025-08-09T01:01:11Z</dcterms:created>
  <dcterms:modified xmlns:dcterms="http://purl.org/dc/terms/" xmlns:xsi="http://www.w3.org/2001/XMLSchema-instance" xsi:type="dcterms:W3CDTF">2025-08-09T01:01:13Z</dcterms:modified>
</cp:coreProperties>
</file>