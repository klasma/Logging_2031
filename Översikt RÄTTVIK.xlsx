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</v>
      </c>
      <c r="C2" s="1" t="n">
        <v>46191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1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Lammticka
Rotfingersvamp
Skrovlig taggsvamp
Torrmusseron
Blå taggsvamp
Dropptaggsvamp
Gelatinfingersvamp
Motaggsvamp
Orange taggsvamp
Skarp dropptaggsvamp
Såpfingersvamp
Tallfingersvamp
Tallriska
Talltaggsvamp
Ramaria subtilis
Plattlummer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</v>
      </c>
      <c r="C3" s="1" t="n">
        <v>46191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29429-2025</t>
        </is>
      </c>
      <c r="B4" s="1" t="n">
        <v>45824</v>
      </c>
      <c r="C4" s="1" t="n">
        <v>46191</v>
      </c>
      <c r="D4" t="inlineStr">
        <is>
          <t>DALARNAS LÄN</t>
        </is>
      </c>
      <c r="E4" t="inlineStr">
        <is>
          <t>RÄTTVIK</t>
        </is>
      </c>
      <c r="G4" t="n">
        <v>5.6</v>
      </c>
      <c r="H4" t="n">
        <v>4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Garnlav
Knärot
Rosenticka
Ullticka
Björksplintborre
Tibast
Vedticka
Blåsippa
Spillkråka
Nattviol</t>
        </is>
      </c>
      <c r="S4">
        <f>HYPERLINK("https://klasma.github.io/Logging_2031/artfynd/A 29429-2025 artfynd.xlsx", "A 29429-2025")</f>
        <v/>
      </c>
      <c r="T4">
        <f>HYPERLINK("https://klasma.github.io/Logging_2031/kartor/A 29429-2025 karta.png", "A 29429-2025")</f>
        <v/>
      </c>
      <c r="U4">
        <f>HYPERLINK("https://klasma.github.io/Logging_2031/knärot/A 29429-2025 karta knärot.png", "A 29429-2025")</f>
        <v/>
      </c>
      <c r="V4">
        <f>HYPERLINK("https://klasma.github.io/Logging_2031/klagomål/A 29429-2025 FSC-klagomål.docx", "A 29429-2025")</f>
        <v/>
      </c>
      <c r="W4">
        <f>HYPERLINK("https://klasma.github.io/Logging_2031/klagomålsmail/A 29429-2025 FSC-klagomål mail.docx", "A 29429-2025")</f>
        <v/>
      </c>
      <c r="X4">
        <f>HYPERLINK("https://klasma.github.io/Logging_2031/tillsyn/A 29429-2025 tillsynsbegäran.docx", "A 29429-2025")</f>
        <v/>
      </c>
      <c r="Y4">
        <f>HYPERLINK("https://klasma.github.io/Logging_2031/tillsynsmail/A 29429-2025 tillsynsbegäran mail.docx", "A 29429-2025")</f>
        <v/>
      </c>
      <c r="Z4">
        <f>HYPERLINK("https://klasma.github.io/Logging_2031/fåglar/A 29429-2025 prioriterade fågelarter.docx", "A 29429-2025")</f>
        <v/>
      </c>
    </row>
    <row r="5" ht="15" customHeight="1">
      <c r="A5" t="inlineStr">
        <is>
          <t>A 60129-2022</t>
        </is>
      </c>
      <c r="B5" s="1" t="n">
        <v>44909</v>
      </c>
      <c r="C5" s="1" t="n">
        <v>46191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0.6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Lunglav
Skrovellav
Bårdlav
Stuplav
Gråspett
Spillkråka
Tjäder
Kungsfågel</t>
        </is>
      </c>
      <c r="S5">
        <f>HYPERLINK("https://klasma.github.io/Logging_2031/artfynd/A 60129-2022 artfynd.xlsx", "A 60129-2022")</f>
        <v/>
      </c>
      <c r="T5">
        <f>HYPERLINK("https://klasma.github.io/Logging_2031/kartor/A 60129-2022 karta.png", "A 60129-2022")</f>
        <v/>
      </c>
      <c r="V5">
        <f>HYPERLINK("https://klasma.github.io/Logging_2031/klagomål/A 60129-2022 FSC-klagomål.docx", "A 60129-2022")</f>
        <v/>
      </c>
      <c r="W5">
        <f>HYPERLINK("https://klasma.github.io/Logging_2031/klagomålsmail/A 60129-2022 FSC-klagomål mail.docx", "A 60129-2022")</f>
        <v/>
      </c>
      <c r="X5">
        <f>HYPERLINK("https://klasma.github.io/Logging_2031/tillsyn/A 60129-2022 tillsynsbegäran.docx", "A 60129-2022")</f>
        <v/>
      </c>
      <c r="Y5">
        <f>HYPERLINK("https://klasma.github.io/Logging_2031/tillsynsmail/A 60129-2022 tillsynsbegäran mail.docx", "A 60129-2022")</f>
        <v/>
      </c>
      <c r="Z5">
        <f>HYPERLINK("https://klasma.github.io/Logging_2031/fåglar/A 60129-2022 prioriterade fågelarter.docx", "A 60129-2022")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46191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Garnlav
Fyrflikig jordstjärna
Rosenticka
Rynkskinn
Ullticka
Bronshjon
Svavelriska
Trådticka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46191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Garnlav
Blanksvart spiklav
Blågrå svartspik
Tretåig hackspett
Plattlummer
Mattlummer
Tjäder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46191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61983-2022</t>
        </is>
      </c>
      <c r="B9" s="1" t="n">
        <v>44918</v>
      </c>
      <c r="C9" s="1" t="n">
        <v>46191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1.1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Garnlav
Dropptaggsvamp
Dvärgbägarlav
Lunglav
Bronshjon
Tjäder</t>
        </is>
      </c>
      <c r="S9">
        <f>HYPERLINK("https://klasma.github.io/Logging_2031/artfynd/A 61983-2022 artfynd.xlsx", "A 61983-2022")</f>
        <v/>
      </c>
      <c r="T9">
        <f>HYPERLINK("https://klasma.github.io/Logging_2031/kartor/A 61983-2022 karta.png", "A 61983-2022")</f>
        <v/>
      </c>
      <c r="V9">
        <f>HYPERLINK("https://klasma.github.io/Logging_2031/klagomål/A 61983-2022 FSC-klagomål.docx", "A 61983-2022")</f>
        <v/>
      </c>
      <c r="W9">
        <f>HYPERLINK("https://klasma.github.io/Logging_2031/klagomålsmail/A 61983-2022 FSC-klagomål mail.docx", "A 61983-2022")</f>
        <v/>
      </c>
      <c r="X9">
        <f>HYPERLINK("https://klasma.github.io/Logging_2031/tillsyn/A 61983-2022 tillsynsbegäran.docx", "A 61983-2022")</f>
        <v/>
      </c>
      <c r="Y9">
        <f>HYPERLINK("https://klasma.github.io/Logging_2031/tillsynsmail/A 61983-2022 tillsynsbegäran mail.docx", "A 61983-2022")</f>
        <v/>
      </c>
      <c r="Z9">
        <f>HYPERLINK("https://klasma.github.io/Logging_2031/fåglar/A 61983-2022 prioriterade fågelarter.docx", "A 61983-2022")</f>
        <v/>
      </c>
    </row>
    <row r="10" ht="15" customHeight="1">
      <c r="A10" t="inlineStr">
        <is>
          <t>A 14209-2024</t>
        </is>
      </c>
      <c r="B10" s="1" t="n">
        <v>45393</v>
      </c>
      <c r="C10" s="1" t="n">
        <v>46191</v>
      </c>
      <c r="D10" t="inlineStr">
        <is>
          <t>DALARNAS LÄN</t>
        </is>
      </c>
      <c r="E10" t="inlineStr">
        <is>
          <t>RÄTTVIK</t>
        </is>
      </c>
      <c r="G10" t="n">
        <v>0.6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Rosenticka
Rynkskinn
Ullticka
Svavelriska
Vedticka</t>
        </is>
      </c>
      <c r="S10">
        <f>HYPERLINK("https://klasma.github.io/Logging_2031/artfynd/A 14209-2024 artfynd.xlsx", "A 14209-2024")</f>
        <v/>
      </c>
      <c r="T10">
        <f>HYPERLINK("https://klasma.github.io/Logging_2031/kartor/A 14209-2024 karta.png", "A 14209-2024")</f>
        <v/>
      </c>
      <c r="V10">
        <f>HYPERLINK("https://klasma.github.io/Logging_2031/klagomål/A 14209-2024 FSC-klagomål.docx", "A 14209-2024")</f>
        <v/>
      </c>
      <c r="W10">
        <f>HYPERLINK("https://klasma.github.io/Logging_2031/klagomålsmail/A 14209-2024 FSC-klagomål mail.docx", "A 14209-2024")</f>
        <v/>
      </c>
      <c r="X10">
        <f>HYPERLINK("https://klasma.github.io/Logging_2031/tillsyn/A 14209-2024 tillsynsbegäran.docx", "A 14209-2024")</f>
        <v/>
      </c>
      <c r="Y10">
        <f>HYPERLINK("https://klasma.github.io/Logging_2031/tillsynsmail/A 14209-2024 tillsynsbegäran mail.docx", "A 14209-2024")</f>
        <v/>
      </c>
    </row>
    <row r="11" ht="15" customHeight="1">
      <c r="A11" t="inlineStr">
        <is>
          <t>A 8764-2026</t>
        </is>
      </c>
      <c r="B11" s="1" t="n">
        <v>46066</v>
      </c>
      <c r="C11" s="1" t="n">
        <v>46191</v>
      </c>
      <c r="D11" t="inlineStr">
        <is>
          <t>DALARNAS LÄN</t>
        </is>
      </c>
      <c r="E11" t="inlineStr">
        <is>
          <t>RÄTTVIK</t>
        </is>
      </c>
      <c r="G11" t="n">
        <v>0.2</v>
      </c>
      <c r="H11" t="n">
        <v>0</v>
      </c>
      <c r="I11" t="n">
        <v>1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4</v>
      </c>
      <c r="P11" t="n">
        <v>3</v>
      </c>
      <c r="Q11" t="n">
        <v>5</v>
      </c>
      <c r="R11" s="2" t="inlineStr">
        <is>
          <t>Bitter taggsvamp
Kopparspindling
Skrovlig taggsvamp
Stor vårtrattskivling
Zontaggsvamp</t>
        </is>
      </c>
      <c r="S11">
        <f>HYPERLINK("https://klasma.github.io/Logging_2031/artfynd/A 8764-2026 artfynd.xlsx", "A 8764-2026")</f>
        <v/>
      </c>
      <c r="T11">
        <f>HYPERLINK("https://klasma.github.io/Logging_2031/kartor/A 8764-2026 karta.png", "A 8764-2026")</f>
        <v/>
      </c>
      <c r="V11">
        <f>HYPERLINK("https://klasma.github.io/Logging_2031/klagomål/A 8764-2026 FSC-klagomål.docx", "A 8764-2026")</f>
        <v/>
      </c>
      <c r="W11">
        <f>HYPERLINK("https://klasma.github.io/Logging_2031/klagomålsmail/A 8764-2026 FSC-klagomål mail.docx", "A 8764-2026")</f>
        <v/>
      </c>
      <c r="X11">
        <f>HYPERLINK("https://klasma.github.io/Logging_2031/tillsyn/A 8764-2026 tillsynsbegäran.docx", "A 8764-2026")</f>
        <v/>
      </c>
      <c r="Y11">
        <f>HYPERLINK("https://klasma.github.io/Logging_2031/tillsynsmail/A 8764-2026 tillsynsbegäran mail.docx", "A 8764-2026")</f>
        <v/>
      </c>
    </row>
    <row r="12" ht="15" customHeight="1">
      <c r="A12" t="inlineStr">
        <is>
          <t>A 35789-2021</t>
        </is>
      </c>
      <c r="B12" s="1" t="n">
        <v>44386</v>
      </c>
      <c r="C12" s="1" t="n">
        <v>46191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5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35789-2021 artfynd.xlsx", "A 35789-2021")</f>
        <v/>
      </c>
      <c r="T12">
        <f>HYPERLINK("https://klasma.github.io/Logging_2031/kartor/A 35789-2021 karta.png", "A 35789-2021")</f>
        <v/>
      </c>
      <c r="V12">
        <f>HYPERLINK("https://klasma.github.io/Logging_2031/klagomål/A 35789-2021 FSC-klagomål.docx", "A 35789-2021")</f>
        <v/>
      </c>
      <c r="W12">
        <f>HYPERLINK("https://klasma.github.io/Logging_2031/klagomålsmail/A 35789-2021 FSC-klagomål mail.docx", "A 35789-2021")</f>
        <v/>
      </c>
      <c r="X12">
        <f>HYPERLINK("https://klasma.github.io/Logging_2031/tillsyn/A 35789-2021 tillsynsbegäran.docx", "A 35789-2021")</f>
        <v/>
      </c>
      <c r="Y12">
        <f>HYPERLINK("https://klasma.github.io/Logging_2031/tillsynsmail/A 35789-2021 tillsynsbegäran mail.docx", "A 35789-2021")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46191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28119-2024</t>
        </is>
      </c>
      <c r="B14" s="1" t="n">
        <v>45476</v>
      </c>
      <c r="C14" s="1" t="n">
        <v>46191</v>
      </c>
      <c r="D14" t="inlineStr">
        <is>
          <t>DALARNAS LÄN</t>
        </is>
      </c>
      <c r="E14" t="inlineStr">
        <is>
          <t>RÄTTVIK</t>
        </is>
      </c>
      <c r="G14" t="n">
        <v>4.5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Garnlav
Ullticka
Bronshjon
Plattlummer</t>
        </is>
      </c>
      <c r="S14">
        <f>HYPERLINK("https://klasma.github.io/Logging_2031/artfynd/A 28119-2024 artfynd.xlsx", "A 28119-2024")</f>
        <v/>
      </c>
      <c r="T14">
        <f>HYPERLINK("https://klasma.github.io/Logging_2031/kartor/A 28119-2024 karta.png", "A 28119-2024")</f>
        <v/>
      </c>
      <c r="V14">
        <f>HYPERLINK("https://klasma.github.io/Logging_2031/klagomål/A 28119-2024 FSC-klagomål.docx", "A 28119-2024")</f>
        <v/>
      </c>
      <c r="W14">
        <f>HYPERLINK("https://klasma.github.io/Logging_2031/klagomålsmail/A 28119-2024 FSC-klagomål mail.docx", "A 28119-2024")</f>
        <v/>
      </c>
      <c r="X14">
        <f>HYPERLINK("https://klasma.github.io/Logging_2031/tillsyn/A 28119-2024 tillsynsbegäran.docx", "A 28119-2024")</f>
        <v/>
      </c>
      <c r="Y14">
        <f>HYPERLINK("https://klasma.github.io/Logging_2031/tillsynsmail/A 28119-2024 tillsynsbegäran mail.docx", "A 28119-2024")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46191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Sparvuggla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2089-2026</t>
        </is>
      </c>
      <c r="B16" s="1" t="n">
        <v>46036</v>
      </c>
      <c r="C16" s="1" t="n">
        <v>46191</v>
      </c>
      <c r="D16" t="inlineStr">
        <is>
          <t>DALARNAS LÄN</t>
        </is>
      </c>
      <c r="E16" t="inlineStr">
        <is>
          <t>RÄTTVIK</t>
        </is>
      </c>
      <c r="G16" t="n">
        <v>0.6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Spillkråka
Tjäder
Orre
Ärtsångare</t>
        </is>
      </c>
      <c r="S16">
        <f>HYPERLINK("https://klasma.github.io/Logging_2031/artfynd/A 2089-2026 artfynd.xlsx", "A 2089-2026")</f>
        <v/>
      </c>
      <c r="T16">
        <f>HYPERLINK("https://klasma.github.io/Logging_2031/kartor/A 2089-2026 karta.png", "A 2089-2026")</f>
        <v/>
      </c>
      <c r="V16">
        <f>HYPERLINK("https://klasma.github.io/Logging_2031/klagomål/A 2089-2026 FSC-klagomål.docx", "A 2089-2026")</f>
        <v/>
      </c>
      <c r="W16">
        <f>HYPERLINK("https://klasma.github.io/Logging_2031/klagomålsmail/A 2089-2026 FSC-klagomål mail.docx", "A 2089-2026")</f>
        <v/>
      </c>
      <c r="X16">
        <f>HYPERLINK("https://klasma.github.io/Logging_2031/tillsyn/A 2089-2026 tillsynsbegäran.docx", "A 2089-2026")</f>
        <v/>
      </c>
      <c r="Y16">
        <f>HYPERLINK("https://klasma.github.io/Logging_2031/tillsynsmail/A 2089-2026 tillsynsbegäran mail.docx", "A 2089-2026")</f>
        <v/>
      </c>
      <c r="Z16">
        <f>HYPERLINK("https://klasma.github.io/Logging_2031/fåglar/A 2089-2026 prioriterade fågelarter.docx", "A 2089-2026")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46191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Svavelriska
Vedticka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46191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58675-2025</t>
        </is>
      </c>
      <c r="B19" s="1" t="n">
        <v>45986</v>
      </c>
      <c r="C19" s="1" t="n">
        <v>46191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18.1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Vedskivlav
Bollvitmossa</t>
        </is>
      </c>
      <c r="S19">
        <f>HYPERLINK("https://klasma.github.io/Logging_2031/artfynd/A 58675-2025 artfynd.xlsx", "A 58675-2025")</f>
        <v/>
      </c>
      <c r="T19">
        <f>HYPERLINK("https://klasma.github.io/Logging_2031/kartor/A 58675-2025 karta.png", "A 58675-2025")</f>
        <v/>
      </c>
      <c r="U19">
        <f>HYPERLINK("https://klasma.github.io/Logging_2031/knärot/A 58675-2025 karta knärot.png", "A 58675-2025")</f>
        <v/>
      </c>
      <c r="V19">
        <f>HYPERLINK("https://klasma.github.io/Logging_2031/klagomål/A 58675-2025 FSC-klagomål.docx", "A 58675-2025")</f>
        <v/>
      </c>
      <c r="W19">
        <f>HYPERLINK("https://klasma.github.io/Logging_2031/klagomålsmail/A 58675-2025 FSC-klagomål mail.docx", "A 58675-2025")</f>
        <v/>
      </c>
      <c r="X19">
        <f>HYPERLINK("https://klasma.github.io/Logging_2031/tillsyn/A 58675-2025 tillsynsbegäran.docx", "A 58675-2025")</f>
        <v/>
      </c>
      <c r="Y19">
        <f>HYPERLINK("https://klasma.github.io/Logging_2031/tillsynsmail/A 58675-2025 tillsynsbegäran mail.docx", "A 58675-2025")</f>
        <v/>
      </c>
    </row>
    <row r="20" ht="15" customHeight="1">
      <c r="A20" t="inlineStr">
        <is>
          <t>A 33079-2024</t>
        </is>
      </c>
      <c r="B20" s="1" t="n">
        <v>45517</v>
      </c>
      <c r="C20" s="1" t="n">
        <v>46191</v>
      </c>
      <c r="D20" t="inlineStr">
        <is>
          <t>DALARNAS LÄN</t>
        </is>
      </c>
      <c r="E20" t="inlineStr">
        <is>
          <t>RÄTTVIK</t>
        </is>
      </c>
      <c r="F20" t="inlineStr">
        <is>
          <t>Övriga statliga verk och myndigheter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Talltagel
Bronshjon
Mindre märgborre</t>
        </is>
      </c>
      <c r="S20">
        <f>HYPERLINK("https://klasma.github.io/Logging_2031/artfynd/A 33079-2024 artfynd.xlsx", "A 33079-2024")</f>
        <v/>
      </c>
      <c r="T20">
        <f>HYPERLINK("https://klasma.github.io/Logging_2031/kartor/A 33079-2024 karta.png", "A 33079-2024")</f>
        <v/>
      </c>
      <c r="V20">
        <f>HYPERLINK("https://klasma.github.io/Logging_2031/klagomål/A 33079-2024 FSC-klagomål.docx", "A 33079-2024")</f>
        <v/>
      </c>
      <c r="W20">
        <f>HYPERLINK("https://klasma.github.io/Logging_2031/klagomålsmail/A 33079-2024 FSC-klagomål mail.docx", "A 33079-2024")</f>
        <v/>
      </c>
      <c r="X20">
        <f>HYPERLINK("https://klasma.github.io/Logging_2031/tillsyn/A 33079-2024 tillsynsbegäran.docx", "A 33079-2024")</f>
        <v/>
      </c>
      <c r="Y20">
        <f>HYPERLINK("https://klasma.github.io/Logging_2031/tillsynsmail/A 33079-2024 tillsynsbegäran mail.docx", "A 33079-2024")</f>
        <v/>
      </c>
    </row>
    <row r="21" ht="15" customHeight="1">
      <c r="A21" t="inlineStr">
        <is>
          <t>A 5890-2026</t>
        </is>
      </c>
      <c r="B21" s="1" t="n">
        <v>46052</v>
      </c>
      <c r="C21" s="1" t="n">
        <v>46191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Vedflamlav
Sotlav
Stor aspticka</t>
        </is>
      </c>
      <c r="S21">
        <f>HYPERLINK("https://klasma.github.io/Logging_2031/artfynd/A 5890-2026 artfynd.xlsx", "A 5890-2026")</f>
        <v/>
      </c>
      <c r="T21">
        <f>HYPERLINK("https://klasma.github.io/Logging_2031/kartor/A 5890-2026 karta.png", "A 5890-2026")</f>
        <v/>
      </c>
      <c r="V21">
        <f>HYPERLINK("https://klasma.github.io/Logging_2031/klagomål/A 5890-2026 FSC-klagomål.docx", "A 5890-2026")</f>
        <v/>
      </c>
      <c r="W21">
        <f>HYPERLINK("https://klasma.github.io/Logging_2031/klagomålsmail/A 5890-2026 FSC-klagomål mail.docx", "A 5890-2026")</f>
        <v/>
      </c>
      <c r="X21">
        <f>HYPERLINK("https://klasma.github.io/Logging_2031/tillsyn/A 5890-2026 tillsynsbegäran.docx", "A 5890-2026")</f>
        <v/>
      </c>
      <c r="Y21">
        <f>HYPERLINK("https://klasma.github.io/Logging_2031/tillsynsmail/A 5890-2026 tillsynsbegäran mail.docx", "A 5890-2026")</f>
        <v/>
      </c>
    </row>
    <row r="22" ht="15" customHeight="1">
      <c r="A22" t="inlineStr">
        <is>
          <t>A 36315-2024</t>
        </is>
      </c>
      <c r="B22" s="1" t="n">
        <v>45534</v>
      </c>
      <c r="C22" s="1" t="n">
        <v>46191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Rosenticka
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60556-2022</t>
        </is>
      </c>
      <c r="B23" s="1" t="n">
        <v>44911</v>
      </c>
      <c r="C23" s="1" t="n">
        <v>46191</v>
      </c>
      <c r="D23" t="inlineStr">
        <is>
          <t>DALARNAS LÄN</t>
        </is>
      </c>
      <c r="E23" t="inlineStr">
        <is>
          <t>RÄTTVIK</t>
        </is>
      </c>
      <c r="G23" t="n">
        <v>7.4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Scharlakansvårskål agg.
Skogsknipprot
Svart trolldruva</t>
        </is>
      </c>
      <c r="S23">
        <f>HYPERLINK("https://klasma.github.io/Logging_2031/artfynd/A 60556-2022 artfynd.xlsx", "A 60556-2022")</f>
        <v/>
      </c>
      <c r="T23">
        <f>HYPERLINK("https://klasma.github.io/Logging_2031/kartor/A 60556-2022 karta.png", "A 60556-2022")</f>
        <v/>
      </c>
      <c r="V23">
        <f>HYPERLINK("https://klasma.github.io/Logging_2031/klagomål/A 60556-2022 FSC-klagomål.docx", "A 60556-2022")</f>
        <v/>
      </c>
      <c r="W23">
        <f>HYPERLINK("https://klasma.github.io/Logging_2031/klagomålsmail/A 60556-2022 FSC-klagomål mail.docx", "A 60556-2022")</f>
        <v/>
      </c>
      <c r="X23">
        <f>HYPERLINK("https://klasma.github.io/Logging_2031/tillsyn/A 60556-2022 tillsynsbegäran.docx", "A 60556-2022")</f>
        <v/>
      </c>
      <c r="Y23">
        <f>HYPERLINK("https://klasma.github.io/Logging_2031/tillsynsmail/A 60556-2022 tillsynsbegäran mail.docx", "A 60556-2022")</f>
        <v/>
      </c>
    </row>
    <row r="24" ht="15" customHeight="1">
      <c r="A24" t="inlineStr">
        <is>
          <t>A 53468-2023</t>
        </is>
      </c>
      <c r="B24" s="1" t="n">
        <v>45230</v>
      </c>
      <c r="C24" s="1" t="n">
        <v>46191</v>
      </c>
      <c r="D24" t="inlineStr">
        <is>
          <t>DALARNAS LÄN</t>
        </is>
      </c>
      <c r="E24" t="inlineStr">
        <is>
          <t>RÄTTVIK</t>
        </is>
      </c>
      <c r="G24" t="n">
        <v>4.8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Flodpärlmussla
Knärot
Mindre märgborre</t>
        </is>
      </c>
      <c r="S24">
        <f>HYPERLINK("https://klasma.github.io/Logging_2031/artfynd/A 53468-2023 artfynd.xlsx", "A 53468-2023")</f>
        <v/>
      </c>
      <c r="T24">
        <f>HYPERLINK("https://klasma.github.io/Logging_2031/kartor/A 53468-2023 karta.png", "A 53468-2023")</f>
        <v/>
      </c>
      <c r="U24">
        <f>HYPERLINK("https://klasma.github.io/Logging_2031/knärot/A 53468-2023 karta knärot.png", "A 53468-2023")</f>
        <v/>
      </c>
      <c r="V24">
        <f>HYPERLINK("https://klasma.github.io/Logging_2031/klagomål/A 53468-2023 FSC-klagomål.docx", "A 53468-2023")</f>
        <v/>
      </c>
      <c r="W24">
        <f>HYPERLINK("https://klasma.github.io/Logging_2031/klagomålsmail/A 53468-2023 FSC-klagomål mail.docx", "A 53468-2023")</f>
        <v/>
      </c>
      <c r="X24">
        <f>HYPERLINK("https://klasma.github.io/Logging_2031/tillsyn/A 53468-2023 tillsynsbegäran.docx", "A 53468-2023")</f>
        <v/>
      </c>
      <c r="Y24">
        <f>HYPERLINK("https://klasma.github.io/Logging_2031/tillsynsmail/A 53468-2023 tillsynsbegäran mail.docx", "A 53468-2023")</f>
        <v/>
      </c>
    </row>
    <row r="25" ht="15" customHeight="1">
      <c r="A25" t="inlineStr">
        <is>
          <t>A 40498-2021</t>
        </is>
      </c>
      <c r="B25" s="1" t="n">
        <v>44420</v>
      </c>
      <c r="C25" s="1" t="n">
        <v>46191</v>
      </c>
      <c r="D25" t="inlineStr">
        <is>
          <t>DALARNAS LÄN</t>
        </is>
      </c>
      <c r="E25" t="inlineStr">
        <is>
          <t>RÄTTVIK</t>
        </is>
      </c>
      <c r="G25" t="n">
        <v>1.2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HYPERLINK("https://klasma.github.io/Logging_2031/artfynd/A 40498-2021 artfynd.xlsx", "A 40498-2021")</f>
        <v/>
      </c>
      <c r="T25">
        <f>HYPERLINK("https://klasma.github.io/Logging_2031/kartor/A 40498-2021 karta.png", "A 40498-2021")</f>
        <v/>
      </c>
      <c r="V25">
        <f>HYPERLINK("https://klasma.github.io/Logging_2031/klagomål/A 40498-2021 FSC-klagomål.docx", "A 40498-2021")</f>
        <v/>
      </c>
      <c r="W25">
        <f>HYPERLINK("https://klasma.github.io/Logging_2031/klagomålsmail/A 40498-2021 FSC-klagomål mail.docx", "A 40498-2021")</f>
        <v/>
      </c>
      <c r="X25">
        <f>HYPERLINK("https://klasma.github.io/Logging_2031/tillsyn/A 40498-2021 tillsynsbegäran.docx", "A 40498-2021")</f>
        <v/>
      </c>
      <c r="Y25">
        <f>HYPERLINK("https://klasma.github.io/Logging_2031/tillsynsmail/A 40498-2021 tillsynsbegäran mail.docx", "A 40498-2021")</f>
        <v/>
      </c>
    </row>
    <row r="26" ht="15" customHeight="1">
      <c r="A26" t="inlineStr">
        <is>
          <t>A 16832-2023</t>
        </is>
      </c>
      <c r="B26" s="1" t="n">
        <v>45033</v>
      </c>
      <c r="C26" s="1" t="n">
        <v>46191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Garnlav
Ullticka</t>
        </is>
      </c>
      <c r="S26">
        <f>HYPERLINK("https://klasma.github.io/Logging_2031/artfynd/A 16832-2023 artfynd.xlsx", "A 16832-2023")</f>
        <v/>
      </c>
      <c r="T26">
        <f>HYPERLINK("https://klasma.github.io/Logging_2031/kartor/A 16832-2023 karta.png", "A 16832-2023")</f>
        <v/>
      </c>
      <c r="V26">
        <f>HYPERLINK("https://klasma.github.io/Logging_2031/klagomål/A 16832-2023 FSC-klagomål.docx", "A 16832-2023")</f>
        <v/>
      </c>
      <c r="W26">
        <f>HYPERLINK("https://klasma.github.io/Logging_2031/klagomålsmail/A 16832-2023 FSC-klagomål mail.docx", "A 16832-2023")</f>
        <v/>
      </c>
      <c r="X26">
        <f>HYPERLINK("https://klasma.github.io/Logging_2031/tillsyn/A 16832-2023 tillsynsbegäran.docx", "A 16832-2023")</f>
        <v/>
      </c>
      <c r="Y26">
        <f>HYPERLINK("https://klasma.github.io/Logging_2031/tillsynsmail/A 16832-2023 tillsynsbegäran mail.docx", "A 16832-2023")</f>
        <v/>
      </c>
    </row>
    <row r="27" ht="15" customHeight="1">
      <c r="A27" t="inlineStr">
        <is>
          <t>A 12034-2024</t>
        </is>
      </c>
      <c r="B27" s="1" t="n">
        <v>45377</v>
      </c>
      <c r="C27" s="1" t="n">
        <v>46191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Brun gräsfjäril
Violettkantad guldvinge</t>
        </is>
      </c>
      <c r="S27">
        <f>HYPERLINK("https://klasma.github.io/Logging_2031/artfynd/A 12034-2024 artfynd.xlsx", "A 12034-2024")</f>
        <v/>
      </c>
      <c r="T27">
        <f>HYPERLINK("https://klasma.github.io/Logging_2031/kartor/A 12034-2024 karta.png", "A 12034-2024")</f>
        <v/>
      </c>
      <c r="V27">
        <f>HYPERLINK("https://klasma.github.io/Logging_2031/klagomål/A 12034-2024 FSC-klagomål.docx", "A 12034-2024")</f>
        <v/>
      </c>
      <c r="W27">
        <f>HYPERLINK("https://klasma.github.io/Logging_2031/klagomålsmail/A 12034-2024 FSC-klagomål mail.docx", "A 12034-2024")</f>
        <v/>
      </c>
      <c r="X27">
        <f>HYPERLINK("https://klasma.github.io/Logging_2031/tillsyn/A 12034-2024 tillsynsbegäran.docx", "A 12034-2024")</f>
        <v/>
      </c>
      <c r="Y27">
        <f>HYPERLINK("https://klasma.github.io/Logging_2031/tillsynsmail/A 12034-2024 tillsynsbegäran mail.docx", "A 12034-2024")</f>
        <v/>
      </c>
    </row>
    <row r="28" ht="15" customHeight="1">
      <c r="A28" t="inlineStr">
        <is>
          <t>A 23707-2023</t>
        </is>
      </c>
      <c r="B28" s="1" t="n">
        <v>45077</v>
      </c>
      <c r="C28" s="1" t="n">
        <v>46191</v>
      </c>
      <c r="D28" t="inlineStr">
        <is>
          <t>DALARNAS LÄN</t>
        </is>
      </c>
      <c r="E28" t="inlineStr">
        <is>
          <t>RÄTTVIK</t>
        </is>
      </c>
      <c r="G28" t="n">
        <v>3.4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Vedticka</t>
        </is>
      </c>
      <c r="S28">
        <f>HYPERLINK("https://klasma.github.io/Logging_2031/artfynd/A 23707-2023 artfynd.xlsx", "A 23707-2023")</f>
        <v/>
      </c>
      <c r="T28">
        <f>HYPERLINK("https://klasma.github.io/Logging_2031/kartor/A 23707-2023 karta.png", "A 23707-2023")</f>
        <v/>
      </c>
      <c r="V28">
        <f>HYPERLINK("https://klasma.github.io/Logging_2031/klagomål/A 23707-2023 FSC-klagomål.docx", "A 23707-2023")</f>
        <v/>
      </c>
      <c r="W28">
        <f>HYPERLINK("https://klasma.github.io/Logging_2031/klagomålsmail/A 23707-2023 FSC-klagomål mail.docx", "A 23707-2023")</f>
        <v/>
      </c>
      <c r="X28">
        <f>HYPERLINK("https://klasma.github.io/Logging_2031/tillsyn/A 23707-2023 tillsynsbegäran.docx", "A 23707-2023")</f>
        <v/>
      </c>
      <c r="Y28">
        <f>HYPERLINK("https://klasma.github.io/Logging_2031/tillsynsmail/A 23707-2023 tillsynsbegäran mail.docx", "A 23707-2023")</f>
        <v/>
      </c>
    </row>
    <row r="29" ht="15" customHeight="1">
      <c r="A29" t="inlineStr">
        <is>
          <t>A 47781-2025</t>
        </is>
      </c>
      <c r="B29" s="1" t="n">
        <v>45931</v>
      </c>
      <c r="C29" s="1" t="n">
        <v>46191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14.4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Grönsiska</t>
        </is>
      </c>
      <c r="S29">
        <f>HYPERLINK("https://klasma.github.io/Logging_2031/artfynd/A 47781-2025 artfynd.xlsx", "A 47781-2025")</f>
        <v/>
      </c>
      <c r="T29">
        <f>HYPERLINK("https://klasma.github.io/Logging_2031/kartor/A 47781-2025 karta.png", "A 47781-2025")</f>
        <v/>
      </c>
      <c r="V29">
        <f>HYPERLINK("https://klasma.github.io/Logging_2031/klagomål/A 47781-2025 FSC-klagomål.docx", "A 47781-2025")</f>
        <v/>
      </c>
      <c r="W29">
        <f>HYPERLINK("https://klasma.github.io/Logging_2031/klagomålsmail/A 47781-2025 FSC-klagomål mail.docx", "A 47781-2025")</f>
        <v/>
      </c>
      <c r="X29">
        <f>HYPERLINK("https://klasma.github.io/Logging_2031/tillsyn/A 47781-2025 tillsynsbegäran.docx", "A 47781-2025")</f>
        <v/>
      </c>
      <c r="Y29">
        <f>HYPERLINK("https://klasma.github.io/Logging_2031/tillsynsmail/A 47781-2025 tillsynsbegäran mail.docx", "A 47781-2025")</f>
        <v/>
      </c>
      <c r="Z29">
        <f>HYPERLINK("https://klasma.github.io/Logging_2031/fåglar/A 47781-2025 prioriterade fågelarter.docx", "A 47781-2025")</f>
        <v/>
      </c>
    </row>
    <row r="30" ht="15" customHeight="1">
      <c r="A30" t="inlineStr">
        <is>
          <t>A 54310-2025</t>
        </is>
      </c>
      <c r="B30" s="1" t="n">
        <v>45965</v>
      </c>
      <c r="C30" s="1" t="n">
        <v>46191</v>
      </c>
      <c r="D30" t="inlineStr">
        <is>
          <t>DALARNAS LÄN</t>
        </is>
      </c>
      <c r="E30" t="inlineStr">
        <is>
          <t>RÄTTVIK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Rosenticka</t>
        </is>
      </c>
      <c r="S30">
        <f>HYPERLINK("https://klasma.github.io/Logging_2031/artfynd/A 54310-2025 artfynd.xlsx", "A 54310-2025")</f>
        <v/>
      </c>
      <c r="T30">
        <f>HYPERLINK("https://klasma.github.io/Logging_2031/kartor/A 54310-2025 karta.png", "A 54310-2025")</f>
        <v/>
      </c>
      <c r="V30">
        <f>HYPERLINK("https://klasma.github.io/Logging_2031/klagomål/A 54310-2025 FSC-klagomål.docx", "A 54310-2025")</f>
        <v/>
      </c>
      <c r="W30">
        <f>HYPERLINK("https://klasma.github.io/Logging_2031/klagomålsmail/A 54310-2025 FSC-klagomål mail.docx", "A 54310-2025")</f>
        <v/>
      </c>
      <c r="X30">
        <f>HYPERLINK("https://klasma.github.io/Logging_2031/tillsyn/A 54310-2025 tillsynsbegäran.docx", "A 54310-2025")</f>
        <v/>
      </c>
      <c r="Y30">
        <f>HYPERLINK("https://klasma.github.io/Logging_2031/tillsynsmail/A 54310-2025 tillsynsbegäran mail.docx", "A 54310-2025")</f>
        <v/>
      </c>
    </row>
    <row r="31" ht="15" customHeight="1">
      <c r="A31" t="inlineStr">
        <is>
          <t>A 22019-2026</t>
        </is>
      </c>
      <c r="B31" s="1" t="n">
        <v>46153</v>
      </c>
      <c r="C31" s="1" t="n">
        <v>46191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Kortskaftad ärgspik
Ullticka</t>
        </is>
      </c>
      <c r="S31">
        <f>HYPERLINK("https://klasma.github.io/Logging_2031/artfynd/A 22019-2026 artfynd.xlsx", "A 22019-2026")</f>
        <v/>
      </c>
      <c r="T31">
        <f>HYPERLINK("https://klasma.github.io/Logging_2031/kartor/A 22019-2026 karta.png", "A 22019-2026")</f>
        <v/>
      </c>
      <c r="V31">
        <f>HYPERLINK("https://klasma.github.io/Logging_2031/klagomål/A 22019-2026 FSC-klagomål.docx", "A 22019-2026")</f>
        <v/>
      </c>
      <c r="W31">
        <f>HYPERLINK("https://klasma.github.io/Logging_2031/klagomålsmail/A 22019-2026 FSC-klagomål mail.docx", "A 22019-2026")</f>
        <v/>
      </c>
      <c r="X31">
        <f>HYPERLINK("https://klasma.github.io/Logging_2031/tillsyn/A 22019-2026 tillsynsbegäran.docx", "A 22019-2026")</f>
        <v/>
      </c>
      <c r="Y31">
        <f>HYPERLINK("https://klasma.github.io/Logging_2031/tillsynsmail/A 22019-2026 tillsynsbegäran mail.docx", "A 22019-2026")</f>
        <v/>
      </c>
    </row>
    <row r="32" ht="15" customHeight="1">
      <c r="A32" t="inlineStr">
        <is>
          <t>A 55975-2025</t>
        </is>
      </c>
      <c r="B32" s="1" t="n">
        <v>45973</v>
      </c>
      <c r="C32" s="1" t="n">
        <v>46191</v>
      </c>
      <c r="D32" t="inlineStr">
        <is>
          <t>DALARNAS LÄN</t>
        </is>
      </c>
      <c r="E32" t="inlineStr">
        <is>
          <t>RÄTTVIK</t>
        </is>
      </c>
      <c r="G32" t="n">
        <v>1.9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Rosenticka
Ullticka</t>
        </is>
      </c>
      <c r="S32">
        <f>HYPERLINK("https://klasma.github.io/Logging_2031/artfynd/A 55975-2025 artfynd.xlsx", "A 55975-2025")</f>
        <v/>
      </c>
      <c r="T32">
        <f>HYPERLINK("https://klasma.github.io/Logging_2031/kartor/A 55975-2025 karta.png", "A 55975-2025")</f>
        <v/>
      </c>
      <c r="V32">
        <f>HYPERLINK("https://klasma.github.io/Logging_2031/klagomål/A 55975-2025 FSC-klagomål.docx", "A 55975-2025")</f>
        <v/>
      </c>
      <c r="W32">
        <f>HYPERLINK("https://klasma.github.io/Logging_2031/klagomålsmail/A 55975-2025 FSC-klagomål mail.docx", "A 55975-2025")</f>
        <v/>
      </c>
      <c r="X32">
        <f>HYPERLINK("https://klasma.github.io/Logging_2031/tillsyn/A 55975-2025 tillsynsbegäran.docx", "A 55975-2025")</f>
        <v/>
      </c>
      <c r="Y32">
        <f>HYPERLINK("https://klasma.github.io/Logging_2031/tillsynsmail/A 55975-2025 tillsynsbegäran mail.docx", "A 55975-2025")</f>
        <v/>
      </c>
    </row>
    <row r="33" ht="15" customHeight="1">
      <c r="A33" t="inlineStr">
        <is>
          <t>A 58555-2025</t>
        </is>
      </c>
      <c r="B33" s="1" t="n">
        <v>45986</v>
      </c>
      <c r="C33" s="1" t="n">
        <v>46191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Garnlav
Rynkskinn</t>
        </is>
      </c>
      <c r="S33">
        <f>HYPERLINK("https://klasma.github.io/Logging_2031/artfynd/A 58555-2025 artfynd.xlsx", "A 58555-2025")</f>
        <v/>
      </c>
      <c r="T33">
        <f>HYPERLINK("https://klasma.github.io/Logging_2031/kartor/A 58555-2025 karta.png", "A 58555-2025")</f>
        <v/>
      </c>
      <c r="V33">
        <f>HYPERLINK("https://klasma.github.io/Logging_2031/klagomål/A 58555-2025 FSC-klagomål.docx", "A 58555-2025")</f>
        <v/>
      </c>
      <c r="W33">
        <f>HYPERLINK("https://klasma.github.io/Logging_2031/klagomålsmail/A 58555-2025 FSC-klagomål mail.docx", "A 58555-2025")</f>
        <v/>
      </c>
      <c r="X33">
        <f>HYPERLINK("https://klasma.github.io/Logging_2031/tillsyn/A 58555-2025 tillsynsbegäran.docx", "A 58555-2025")</f>
        <v/>
      </c>
      <c r="Y33">
        <f>HYPERLINK("https://klasma.github.io/Logging_2031/tillsynsmail/A 58555-2025 tillsynsbegäran mail.docx", "A 58555-2025")</f>
        <v/>
      </c>
    </row>
    <row r="34" ht="15" customHeight="1">
      <c r="A34" t="inlineStr">
        <is>
          <t>A 62540-2025</t>
        </is>
      </c>
      <c r="B34" s="1" t="n">
        <v>46007</v>
      </c>
      <c r="C34" s="1" t="n">
        <v>46191</v>
      </c>
      <c r="D34" t="inlineStr">
        <is>
          <t>DALARNAS LÄN</t>
        </is>
      </c>
      <c r="E34" t="inlineStr">
        <is>
          <t>RÄTTVIK</t>
        </is>
      </c>
      <c r="G34" t="n">
        <v>2.1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HYPERLINK("https://klasma.github.io/Logging_2031/artfynd/A 62540-2025 artfynd.xlsx", "A 62540-2025")</f>
        <v/>
      </c>
      <c r="T34">
        <f>HYPERLINK("https://klasma.github.io/Logging_2031/kartor/A 62540-2025 karta.png", "A 62540-2025")</f>
        <v/>
      </c>
      <c r="V34">
        <f>HYPERLINK("https://klasma.github.io/Logging_2031/klagomål/A 62540-2025 FSC-klagomål.docx", "A 62540-2025")</f>
        <v/>
      </c>
      <c r="W34">
        <f>HYPERLINK("https://klasma.github.io/Logging_2031/klagomålsmail/A 62540-2025 FSC-klagomål mail.docx", "A 62540-2025")</f>
        <v/>
      </c>
      <c r="X34">
        <f>HYPERLINK("https://klasma.github.io/Logging_2031/tillsyn/A 62540-2025 tillsynsbegäran.docx", "A 62540-2025")</f>
        <v/>
      </c>
      <c r="Y34">
        <f>HYPERLINK("https://klasma.github.io/Logging_2031/tillsynsmail/A 62540-2025 tillsynsbegäran mail.docx", "A 62540-2025")</f>
        <v/>
      </c>
    </row>
    <row r="35" ht="15" customHeight="1">
      <c r="A35" t="inlineStr">
        <is>
          <t>A 51519-2023</t>
        </is>
      </c>
      <c r="B35" s="1" t="n">
        <v>45222</v>
      </c>
      <c r="C35" s="1" t="n">
        <v>46191</v>
      </c>
      <c r="D35" t="inlineStr">
        <is>
          <t>DALARNAS LÄN</t>
        </is>
      </c>
      <c r="E35" t="inlineStr">
        <is>
          <t>RÄTTVIK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Garnlav
Bronshjon</t>
        </is>
      </c>
      <c r="S35">
        <f>HYPERLINK("https://klasma.github.io/Logging_2031/artfynd/A 51519-2023 artfynd.xlsx", "A 51519-2023")</f>
        <v/>
      </c>
      <c r="T35">
        <f>HYPERLINK("https://klasma.github.io/Logging_2031/kartor/A 51519-2023 karta.png", "A 51519-2023")</f>
        <v/>
      </c>
      <c r="V35">
        <f>HYPERLINK("https://klasma.github.io/Logging_2031/klagomål/A 51519-2023 FSC-klagomål.docx", "A 51519-2023")</f>
        <v/>
      </c>
      <c r="W35">
        <f>HYPERLINK("https://klasma.github.io/Logging_2031/klagomålsmail/A 51519-2023 FSC-klagomål mail.docx", "A 51519-2023")</f>
        <v/>
      </c>
      <c r="X35">
        <f>HYPERLINK("https://klasma.github.io/Logging_2031/tillsyn/A 51519-2023 tillsynsbegäran.docx", "A 51519-2023")</f>
        <v/>
      </c>
      <c r="Y35">
        <f>HYPERLINK("https://klasma.github.io/Logging_2031/tillsynsmail/A 51519-2023 tillsynsbegäran mail.docx", "A 51519-2023")</f>
        <v/>
      </c>
    </row>
    <row r="36" ht="15" customHeight="1">
      <c r="A36" t="inlineStr">
        <is>
          <t>A 821-2025</t>
        </is>
      </c>
      <c r="B36" s="1" t="n">
        <v>45665</v>
      </c>
      <c r="C36" s="1" t="n">
        <v>46191</v>
      </c>
      <c r="D36" t="inlineStr">
        <is>
          <t>DALARNAS LÄN</t>
        </is>
      </c>
      <c r="E36" t="inlineStr">
        <is>
          <t>RÄTTVIK</t>
        </is>
      </c>
      <c r="G36" t="n">
        <v>6.4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Tvåblad
Huggorm</t>
        </is>
      </c>
      <c r="S36">
        <f>HYPERLINK("https://klasma.github.io/Logging_2031/artfynd/A 821-2025 artfynd.xlsx", "A 821-2025")</f>
        <v/>
      </c>
      <c r="T36">
        <f>HYPERLINK("https://klasma.github.io/Logging_2031/kartor/A 821-2025 karta.png", "A 821-2025")</f>
        <v/>
      </c>
      <c r="V36">
        <f>HYPERLINK("https://klasma.github.io/Logging_2031/klagomål/A 821-2025 FSC-klagomål.docx", "A 821-2025")</f>
        <v/>
      </c>
      <c r="W36">
        <f>HYPERLINK("https://klasma.github.io/Logging_2031/klagomålsmail/A 821-2025 FSC-klagomål mail.docx", "A 821-2025")</f>
        <v/>
      </c>
      <c r="X36">
        <f>HYPERLINK("https://klasma.github.io/Logging_2031/tillsyn/A 821-2025 tillsynsbegäran.docx", "A 821-2025")</f>
        <v/>
      </c>
      <c r="Y36">
        <f>HYPERLINK("https://klasma.github.io/Logging_2031/tillsynsmail/A 821-2025 tillsynsbegäran mail.docx", "A 821-2025")</f>
        <v/>
      </c>
    </row>
    <row r="37" ht="15" customHeight="1">
      <c r="A37" t="inlineStr">
        <is>
          <t>A 19958-2025</t>
        </is>
      </c>
      <c r="B37" s="1" t="n">
        <v>45771</v>
      </c>
      <c r="C37" s="1" t="n">
        <v>46191</v>
      </c>
      <c r="D37" t="inlineStr">
        <is>
          <t>DALARNAS LÄN</t>
        </is>
      </c>
      <c r="E37" t="inlineStr">
        <is>
          <t>RÄTTVIK</t>
        </is>
      </c>
      <c r="G37" t="n">
        <v>2.5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Orange taggsvamp</t>
        </is>
      </c>
      <c r="S37">
        <f>HYPERLINK("https://klasma.github.io/Logging_2031/artfynd/A 19958-2025 artfynd.xlsx", "A 19958-2025")</f>
        <v/>
      </c>
      <c r="T37">
        <f>HYPERLINK("https://klasma.github.io/Logging_2031/kartor/A 19958-2025 karta.png", "A 19958-2025")</f>
        <v/>
      </c>
      <c r="U37">
        <f>HYPERLINK("https://klasma.github.io/Logging_2031/knärot/A 19958-2025 karta knärot.png", "A 19958-2025")</f>
        <v/>
      </c>
      <c r="V37">
        <f>HYPERLINK("https://klasma.github.io/Logging_2031/klagomål/A 19958-2025 FSC-klagomål.docx", "A 19958-2025")</f>
        <v/>
      </c>
      <c r="W37">
        <f>HYPERLINK("https://klasma.github.io/Logging_2031/klagomålsmail/A 19958-2025 FSC-klagomål mail.docx", "A 19958-2025")</f>
        <v/>
      </c>
      <c r="X37">
        <f>HYPERLINK("https://klasma.github.io/Logging_2031/tillsyn/A 19958-2025 tillsynsbegäran.docx", "A 19958-2025")</f>
        <v/>
      </c>
      <c r="Y37">
        <f>HYPERLINK("https://klasma.github.io/Logging_2031/tillsynsmail/A 19958-2025 tillsynsbegäran mail.docx", "A 19958-2025")</f>
        <v/>
      </c>
    </row>
    <row r="38" ht="15" customHeight="1">
      <c r="A38" t="inlineStr">
        <is>
          <t>A 27338-2026</t>
        </is>
      </c>
      <c r="B38" s="1" t="n">
        <v>46188</v>
      </c>
      <c r="C38" s="1" t="n">
        <v>46191</v>
      </c>
      <c r="D38" t="inlineStr">
        <is>
          <t>DALARNAS LÄN</t>
        </is>
      </c>
      <c r="E38" t="inlineStr">
        <is>
          <t>RÄTTVIK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Mörk kolflarnlav
Vedskivlav</t>
        </is>
      </c>
      <c r="S38">
        <f>HYPERLINK("https://klasma.github.io/Logging_2031/artfynd/A 27338-2026 artfynd.xlsx", "A 27338-2026")</f>
        <v/>
      </c>
      <c r="T38">
        <f>HYPERLINK("https://klasma.github.io/Logging_2031/kartor/A 27338-2026 karta.png", "A 27338-2026")</f>
        <v/>
      </c>
      <c r="V38">
        <f>HYPERLINK("https://klasma.github.io/Logging_2031/klagomål/A 27338-2026 FSC-klagomål.docx", "A 27338-2026")</f>
        <v/>
      </c>
      <c r="W38">
        <f>HYPERLINK("https://klasma.github.io/Logging_2031/klagomålsmail/A 27338-2026 FSC-klagomål mail.docx", "A 27338-2026")</f>
        <v/>
      </c>
      <c r="X38">
        <f>HYPERLINK("https://klasma.github.io/Logging_2031/tillsyn/A 27338-2026 tillsynsbegäran.docx", "A 27338-2026")</f>
        <v/>
      </c>
      <c r="Y38">
        <f>HYPERLINK("https://klasma.github.io/Logging_2031/tillsynsmail/A 27338-2026 tillsynsbegäran mail.docx", "A 27338-2026")</f>
        <v/>
      </c>
    </row>
    <row r="39" ht="15" customHeight="1">
      <c r="A39" t="inlineStr">
        <is>
          <t>A 29511-2025</t>
        </is>
      </c>
      <c r="B39" s="1" t="n">
        <v>45825</v>
      </c>
      <c r="C39" s="1" t="n">
        <v>46191</v>
      </c>
      <c r="D39" t="inlineStr">
        <is>
          <t>DALARNAS LÄN</t>
        </is>
      </c>
      <c r="E39" t="inlineStr">
        <is>
          <t>RÄTTVIK</t>
        </is>
      </c>
      <c r="G39" t="n">
        <v>1.3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Tvåblad
Nattviol</t>
        </is>
      </c>
      <c r="S39">
        <f>HYPERLINK("https://klasma.github.io/Logging_2031/artfynd/A 29511-2025 artfynd.xlsx", "A 29511-2025")</f>
        <v/>
      </c>
      <c r="T39">
        <f>HYPERLINK("https://klasma.github.io/Logging_2031/kartor/A 29511-2025 karta.png", "A 29511-2025")</f>
        <v/>
      </c>
      <c r="V39">
        <f>HYPERLINK("https://klasma.github.io/Logging_2031/klagomål/A 29511-2025 FSC-klagomål.docx", "A 29511-2025")</f>
        <v/>
      </c>
      <c r="W39">
        <f>HYPERLINK("https://klasma.github.io/Logging_2031/klagomålsmail/A 29511-2025 FSC-klagomål mail.docx", "A 29511-2025")</f>
        <v/>
      </c>
      <c r="X39">
        <f>HYPERLINK("https://klasma.github.io/Logging_2031/tillsyn/A 29511-2025 tillsynsbegäran.docx", "A 29511-2025")</f>
        <v/>
      </c>
      <c r="Y39">
        <f>HYPERLINK("https://klasma.github.io/Logging_2031/tillsynsmail/A 29511-2025 tillsynsbegäran mail.docx", "A 29511-2025")</f>
        <v/>
      </c>
    </row>
    <row r="40" ht="15" customHeight="1">
      <c r="A40" t="inlineStr">
        <is>
          <t>A 30707-2025</t>
        </is>
      </c>
      <c r="B40" s="1" t="n">
        <v>45831</v>
      </c>
      <c r="C40" s="1" t="n">
        <v>46191</v>
      </c>
      <c r="D40" t="inlineStr">
        <is>
          <t>DALARNAS LÄN</t>
        </is>
      </c>
      <c r="E40" t="inlineStr">
        <is>
          <t>RÄTTVIK</t>
        </is>
      </c>
      <c r="G40" t="n">
        <v>2.5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HYPERLINK("https://klasma.github.io/Logging_2031/artfynd/A 30707-2025 artfynd.xlsx", "A 30707-2025")</f>
        <v/>
      </c>
      <c r="T40">
        <f>HYPERLINK("https://klasma.github.io/Logging_2031/kartor/A 30707-2025 karta.png", "A 30707-2025")</f>
        <v/>
      </c>
      <c r="V40">
        <f>HYPERLINK("https://klasma.github.io/Logging_2031/klagomål/A 30707-2025 FSC-klagomål.docx", "A 30707-2025")</f>
        <v/>
      </c>
      <c r="W40">
        <f>HYPERLINK("https://klasma.github.io/Logging_2031/klagomålsmail/A 30707-2025 FSC-klagomål mail.docx", "A 30707-2025")</f>
        <v/>
      </c>
      <c r="X40">
        <f>HYPERLINK("https://klasma.github.io/Logging_2031/tillsyn/A 30707-2025 tillsynsbegäran.docx", "A 30707-2025")</f>
        <v/>
      </c>
      <c r="Y40">
        <f>HYPERLINK("https://klasma.github.io/Logging_2031/tillsynsmail/A 30707-2025 tillsynsbegäran mail.docx", "A 30707-2025")</f>
        <v/>
      </c>
    </row>
    <row r="41" ht="15" customHeight="1">
      <c r="A41" t="inlineStr">
        <is>
          <t>A 34241-2025</t>
        </is>
      </c>
      <c r="B41" s="1" t="n">
        <v>45845</v>
      </c>
      <c r="C41" s="1" t="n">
        <v>46191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23.4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Mörk kolflarnlav</t>
        </is>
      </c>
      <c r="S41">
        <f>HYPERLINK("https://klasma.github.io/Logging_2031/artfynd/A 34241-2025 artfynd.xlsx", "A 34241-2025")</f>
        <v/>
      </c>
      <c r="T41">
        <f>HYPERLINK("https://klasma.github.io/Logging_2031/kartor/A 34241-2025 karta.png", "A 34241-2025")</f>
        <v/>
      </c>
      <c r="V41">
        <f>HYPERLINK("https://klasma.github.io/Logging_2031/klagomål/A 34241-2025 FSC-klagomål.docx", "A 34241-2025")</f>
        <v/>
      </c>
      <c r="W41">
        <f>HYPERLINK("https://klasma.github.io/Logging_2031/klagomålsmail/A 34241-2025 FSC-klagomål mail.docx", "A 34241-2025")</f>
        <v/>
      </c>
      <c r="X41">
        <f>HYPERLINK("https://klasma.github.io/Logging_2031/tillsyn/A 34241-2025 tillsynsbegäran.docx", "A 34241-2025")</f>
        <v/>
      </c>
      <c r="Y41">
        <f>HYPERLINK("https://klasma.github.io/Logging_2031/tillsynsmail/A 34241-2025 tillsynsbegäran mail.docx", "A 34241-2025")</f>
        <v/>
      </c>
    </row>
    <row r="42" ht="15" customHeight="1">
      <c r="A42" t="inlineStr">
        <is>
          <t>A 16116-2024</t>
        </is>
      </c>
      <c r="B42" s="1" t="n">
        <v>45406</v>
      </c>
      <c r="C42" s="1" t="n">
        <v>46191</v>
      </c>
      <c r="D42" t="inlineStr">
        <is>
          <t>DALARNAS LÄN</t>
        </is>
      </c>
      <c r="E42" t="inlineStr">
        <is>
          <t>RÄTTVIK</t>
        </is>
      </c>
      <c r="G42" t="n">
        <v>19.1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Majviva
Korallblylav</t>
        </is>
      </c>
      <c r="S42">
        <f>HYPERLINK("https://klasma.github.io/Logging_2031/artfynd/A 16116-2024 artfynd.xlsx", "A 16116-2024")</f>
        <v/>
      </c>
      <c r="T42">
        <f>HYPERLINK("https://klasma.github.io/Logging_2031/kartor/A 16116-2024 karta.png", "A 16116-2024")</f>
        <v/>
      </c>
      <c r="V42">
        <f>HYPERLINK("https://klasma.github.io/Logging_2031/klagomål/A 16116-2024 FSC-klagomål.docx", "A 16116-2024")</f>
        <v/>
      </c>
      <c r="W42">
        <f>HYPERLINK("https://klasma.github.io/Logging_2031/klagomålsmail/A 16116-2024 FSC-klagomål mail.docx", "A 16116-2024")</f>
        <v/>
      </c>
      <c r="X42">
        <f>HYPERLINK("https://klasma.github.io/Logging_2031/tillsyn/A 16116-2024 tillsynsbegäran.docx", "A 16116-2024")</f>
        <v/>
      </c>
      <c r="Y42">
        <f>HYPERLINK("https://klasma.github.io/Logging_2031/tillsynsmail/A 16116-2024 tillsynsbegäran mail.docx", "A 16116-2024")</f>
        <v/>
      </c>
    </row>
    <row r="43" ht="15" customHeight="1">
      <c r="A43" t="inlineStr">
        <is>
          <t>A 54173-2021</t>
        </is>
      </c>
      <c r="B43" s="1" t="n">
        <v>44470</v>
      </c>
      <c r="C43" s="1" t="n">
        <v>46191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HYPERLINK("https://klasma.github.io/Logging_2031/artfynd/A 54173-2021 artfynd.xlsx", "A 54173-2021")</f>
        <v/>
      </c>
      <c r="T43">
        <f>HYPERLINK("https://klasma.github.io/Logging_2031/kartor/A 54173-2021 karta.png", "A 54173-2021")</f>
        <v/>
      </c>
      <c r="V43">
        <f>HYPERLINK("https://klasma.github.io/Logging_2031/klagomål/A 54173-2021 FSC-klagomål.docx", "A 54173-2021")</f>
        <v/>
      </c>
      <c r="W43">
        <f>HYPERLINK("https://klasma.github.io/Logging_2031/klagomålsmail/A 54173-2021 FSC-klagomål mail.docx", "A 54173-2021")</f>
        <v/>
      </c>
      <c r="X43">
        <f>HYPERLINK("https://klasma.github.io/Logging_2031/tillsyn/A 54173-2021 tillsynsbegäran.docx", "A 54173-2021")</f>
        <v/>
      </c>
      <c r="Y43">
        <f>HYPERLINK("https://klasma.github.io/Logging_2031/tillsynsmail/A 54173-2021 tillsynsbegäran mail.docx", "A 54173-2021")</f>
        <v/>
      </c>
    </row>
    <row r="44" ht="15" customHeight="1">
      <c r="A44" t="inlineStr">
        <is>
          <t>A 53546-2021</t>
        </is>
      </c>
      <c r="B44" s="1" t="n">
        <v>44469</v>
      </c>
      <c r="C44" s="1" t="n">
        <v>46191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Skrovlig taggsvamp</t>
        </is>
      </c>
      <c r="S44">
        <f>HYPERLINK("https://klasma.github.io/Logging_2031/artfynd/A 53546-2021 artfynd.xlsx", "A 53546-2021")</f>
        <v/>
      </c>
      <c r="T44">
        <f>HYPERLINK("https://klasma.github.io/Logging_2031/kartor/A 53546-2021 karta.png", "A 53546-2021")</f>
        <v/>
      </c>
      <c r="V44">
        <f>HYPERLINK("https://klasma.github.io/Logging_2031/klagomål/A 53546-2021 FSC-klagomål.docx", "A 53546-2021")</f>
        <v/>
      </c>
      <c r="W44">
        <f>HYPERLINK("https://klasma.github.io/Logging_2031/klagomålsmail/A 53546-2021 FSC-klagomål mail.docx", "A 53546-2021")</f>
        <v/>
      </c>
      <c r="X44">
        <f>HYPERLINK("https://klasma.github.io/Logging_2031/tillsyn/A 53546-2021 tillsynsbegäran.docx", "A 53546-2021")</f>
        <v/>
      </c>
      <c r="Y44">
        <f>HYPERLINK("https://klasma.github.io/Logging_2031/tillsynsmail/A 53546-2021 tillsynsbegäran mail.docx", "A 53546-2021")</f>
        <v/>
      </c>
    </row>
    <row r="45" ht="15" customHeight="1">
      <c r="A45" t="inlineStr">
        <is>
          <t>A 9803-2022</t>
        </is>
      </c>
      <c r="B45" s="1" t="n">
        <v>44620</v>
      </c>
      <c r="C45" s="1" t="n">
        <v>46191</v>
      </c>
      <c r="D45" t="inlineStr">
        <is>
          <t>DALARNAS LÄN</t>
        </is>
      </c>
      <c r="E45" t="inlineStr">
        <is>
          <t>RÄTTVIK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9803-2022 artfynd.xlsx", "A 9803-2022")</f>
        <v/>
      </c>
      <c r="T45">
        <f>HYPERLINK("https://klasma.github.io/Logging_2031/kartor/A 9803-2022 karta.png", "A 9803-2022")</f>
        <v/>
      </c>
      <c r="V45">
        <f>HYPERLINK("https://klasma.github.io/Logging_2031/klagomål/A 9803-2022 FSC-klagomål.docx", "A 9803-2022")</f>
        <v/>
      </c>
      <c r="W45">
        <f>HYPERLINK("https://klasma.github.io/Logging_2031/klagomålsmail/A 9803-2022 FSC-klagomål mail.docx", "A 9803-2022")</f>
        <v/>
      </c>
      <c r="X45">
        <f>HYPERLINK("https://klasma.github.io/Logging_2031/tillsyn/A 9803-2022 tillsynsbegäran.docx", "A 9803-2022")</f>
        <v/>
      </c>
      <c r="Y45">
        <f>HYPERLINK("https://klasma.github.io/Logging_2031/tillsynsmail/A 9803-2022 tillsynsbegäran mail.docx", "A 9803-2022")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46191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734-2022</t>
        </is>
      </c>
      <c r="B47" s="1" t="n">
        <v>44568</v>
      </c>
      <c r="C47" s="1" t="n">
        <v>46191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HYPERLINK("https://klasma.github.io/Logging_2031/artfynd/A 734-2022 artfynd.xlsx", "A 734-2022")</f>
        <v/>
      </c>
      <c r="T47">
        <f>HYPERLINK("https://klasma.github.io/Logging_2031/kartor/A 734-2022 karta.png", "A 734-2022")</f>
        <v/>
      </c>
      <c r="U47">
        <f>HYPERLINK("https://klasma.github.io/Logging_2031/knärot/A 734-2022 karta knärot.png", "A 734-2022")</f>
        <v/>
      </c>
      <c r="V47">
        <f>HYPERLINK("https://klasma.github.io/Logging_2031/klagomål/A 734-2022 FSC-klagomål.docx", "A 734-2022")</f>
        <v/>
      </c>
      <c r="W47">
        <f>HYPERLINK("https://klasma.github.io/Logging_2031/klagomålsmail/A 734-2022 FSC-klagomål mail.docx", "A 734-2022")</f>
        <v/>
      </c>
      <c r="X47">
        <f>HYPERLINK("https://klasma.github.io/Logging_2031/tillsyn/A 734-2022 tillsynsbegäran.docx", "A 734-2022")</f>
        <v/>
      </c>
      <c r="Y47">
        <f>HYPERLINK("https://klasma.github.io/Logging_2031/tillsynsmail/A 734-2022 tillsynsbegäran mail.docx", "A 734-2022")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46191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68996-2021</t>
        </is>
      </c>
      <c r="B49" s="1" t="n">
        <v>44529</v>
      </c>
      <c r="C49" s="1" t="n">
        <v>46191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68996-2021 artfynd.xlsx", "A 68996-2021")</f>
        <v/>
      </c>
      <c r="T49">
        <f>HYPERLINK("https://klasma.github.io/Logging_2031/kartor/A 68996-2021 karta.png", "A 68996-2021")</f>
        <v/>
      </c>
      <c r="V49">
        <f>HYPERLINK("https://klasma.github.io/Logging_2031/klagomål/A 68996-2021 FSC-klagomål.docx", "A 68996-2021")</f>
        <v/>
      </c>
      <c r="W49">
        <f>HYPERLINK("https://klasma.github.io/Logging_2031/klagomålsmail/A 68996-2021 FSC-klagomål mail.docx", "A 68996-2021")</f>
        <v/>
      </c>
      <c r="X49">
        <f>HYPERLINK("https://klasma.github.io/Logging_2031/tillsyn/A 68996-2021 tillsynsbegäran.docx", "A 68996-2021")</f>
        <v/>
      </c>
      <c r="Y49">
        <f>HYPERLINK("https://klasma.github.io/Logging_2031/tillsynsmail/A 68996-2021 tillsynsbegäran mail.docx", "A 68996-2021")</f>
        <v/>
      </c>
    </row>
    <row r="50" ht="15" customHeight="1">
      <c r="A50" t="inlineStr">
        <is>
          <t>A 45622-2022</t>
        </is>
      </c>
      <c r="B50" s="1" t="n">
        <v>44845</v>
      </c>
      <c r="C50" s="1" t="n">
        <v>46191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45622-2022 artfynd.xlsx", "A 45622-2022")</f>
        <v/>
      </c>
      <c r="T50">
        <f>HYPERLINK("https://klasma.github.io/Logging_2031/kartor/A 45622-2022 karta.png", "A 45622-2022")</f>
        <v/>
      </c>
      <c r="V50">
        <f>HYPERLINK("https://klasma.github.io/Logging_2031/klagomål/A 45622-2022 FSC-klagomål.docx", "A 45622-2022")</f>
        <v/>
      </c>
      <c r="W50">
        <f>HYPERLINK("https://klasma.github.io/Logging_2031/klagomålsmail/A 45622-2022 FSC-klagomål mail.docx", "A 45622-2022")</f>
        <v/>
      </c>
      <c r="X50">
        <f>HYPERLINK("https://klasma.github.io/Logging_2031/tillsyn/A 45622-2022 tillsynsbegäran.docx", "A 45622-2022")</f>
        <v/>
      </c>
      <c r="Y50">
        <f>HYPERLINK("https://klasma.github.io/Logging_2031/tillsynsmail/A 45622-2022 tillsynsbegäran mail.docx", "A 45622-2022")</f>
        <v/>
      </c>
    </row>
    <row r="51" ht="15" customHeight="1">
      <c r="A51" t="inlineStr">
        <is>
          <t>A 40212-2025</t>
        </is>
      </c>
      <c r="B51" s="1" t="n">
        <v>45894</v>
      </c>
      <c r="C51" s="1" t="n">
        <v>46191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HYPERLINK("https://klasma.github.io/Logging_2031/artfynd/A 40212-2025 artfynd.xlsx", "A 40212-2025")</f>
        <v/>
      </c>
      <c r="T51">
        <f>HYPERLINK("https://klasma.github.io/Logging_2031/kartor/A 40212-2025 karta.png", "A 40212-2025")</f>
        <v/>
      </c>
      <c r="V51">
        <f>HYPERLINK("https://klasma.github.io/Logging_2031/klagomål/A 40212-2025 FSC-klagomål.docx", "A 40212-2025")</f>
        <v/>
      </c>
      <c r="W51">
        <f>HYPERLINK("https://klasma.github.io/Logging_2031/klagomålsmail/A 40212-2025 FSC-klagomål mail.docx", "A 40212-2025")</f>
        <v/>
      </c>
      <c r="X51">
        <f>HYPERLINK("https://klasma.github.io/Logging_2031/tillsyn/A 40212-2025 tillsynsbegäran.docx", "A 40212-2025")</f>
        <v/>
      </c>
      <c r="Y51">
        <f>HYPERLINK("https://klasma.github.io/Logging_2031/tillsynsmail/A 40212-2025 tillsynsbegäran mail.docx", "A 40212-2025")</f>
        <v/>
      </c>
    </row>
    <row r="52" ht="15" customHeight="1">
      <c r="A52" t="inlineStr">
        <is>
          <t>A 40405-2025</t>
        </is>
      </c>
      <c r="B52" s="1" t="n">
        <v>45895</v>
      </c>
      <c r="C52" s="1" t="n">
        <v>46191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Garnlav</t>
        </is>
      </c>
      <c r="S52">
        <f>HYPERLINK("https://klasma.github.io/Logging_2031/artfynd/A 40405-2025 artfynd.xlsx", "A 40405-2025")</f>
        <v/>
      </c>
      <c r="T52">
        <f>HYPERLINK("https://klasma.github.io/Logging_2031/kartor/A 40405-2025 karta.png", "A 40405-2025")</f>
        <v/>
      </c>
      <c r="V52">
        <f>HYPERLINK("https://klasma.github.io/Logging_2031/klagomål/A 40405-2025 FSC-klagomål.docx", "A 40405-2025")</f>
        <v/>
      </c>
      <c r="W52">
        <f>HYPERLINK("https://klasma.github.io/Logging_2031/klagomålsmail/A 40405-2025 FSC-klagomål mail.docx", "A 40405-2025")</f>
        <v/>
      </c>
      <c r="X52">
        <f>HYPERLINK("https://klasma.github.io/Logging_2031/tillsyn/A 40405-2025 tillsynsbegäran.docx", "A 40405-2025")</f>
        <v/>
      </c>
      <c r="Y52">
        <f>HYPERLINK("https://klasma.github.io/Logging_2031/tillsynsmail/A 40405-2025 tillsynsbegäran mail.docx", "A 40405-2025")</f>
        <v/>
      </c>
    </row>
    <row r="53" ht="15" customHeight="1">
      <c r="A53" t="inlineStr">
        <is>
          <t>A 3472-2026</t>
        </is>
      </c>
      <c r="B53" s="1" t="n">
        <v>46042</v>
      </c>
      <c r="C53" s="1" t="n">
        <v>46191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3472-2026 artfynd.xlsx", "A 3472-2026")</f>
        <v/>
      </c>
      <c r="T53">
        <f>HYPERLINK("https://klasma.github.io/Logging_2031/kartor/A 3472-2026 karta.png", "A 3472-2026")</f>
        <v/>
      </c>
      <c r="V53">
        <f>HYPERLINK("https://klasma.github.io/Logging_2031/klagomål/A 3472-2026 FSC-klagomål.docx", "A 3472-2026")</f>
        <v/>
      </c>
      <c r="W53">
        <f>HYPERLINK("https://klasma.github.io/Logging_2031/klagomålsmail/A 3472-2026 FSC-klagomål mail.docx", "A 3472-2026")</f>
        <v/>
      </c>
      <c r="X53">
        <f>HYPERLINK("https://klasma.github.io/Logging_2031/tillsyn/A 3472-2026 tillsynsbegäran.docx", "A 3472-2026")</f>
        <v/>
      </c>
      <c r="Y53">
        <f>HYPERLINK("https://klasma.github.io/Logging_2031/tillsynsmail/A 3472-2026 tillsynsbegäran mail.docx", "A 3472-2026")</f>
        <v/>
      </c>
    </row>
    <row r="54" ht="15" customHeight="1">
      <c r="A54" t="inlineStr">
        <is>
          <t>A 16818-2024</t>
        </is>
      </c>
      <c r="B54" s="1" t="n">
        <v>45411</v>
      </c>
      <c r="C54" s="1" t="n">
        <v>46191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2.5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HYPERLINK("https://klasma.github.io/Logging_2031/artfynd/A 16818-2024 artfynd.xlsx", "A 16818-2024")</f>
        <v/>
      </c>
      <c r="T54">
        <f>HYPERLINK("https://klasma.github.io/Logging_2031/kartor/A 16818-2024 karta.png", "A 16818-2024")</f>
        <v/>
      </c>
      <c r="V54">
        <f>HYPERLINK("https://klasma.github.io/Logging_2031/klagomål/A 16818-2024 FSC-klagomål.docx", "A 16818-2024")</f>
        <v/>
      </c>
      <c r="W54">
        <f>HYPERLINK("https://klasma.github.io/Logging_2031/klagomålsmail/A 16818-2024 FSC-klagomål mail.docx", "A 16818-2024")</f>
        <v/>
      </c>
      <c r="X54">
        <f>HYPERLINK("https://klasma.github.io/Logging_2031/tillsyn/A 16818-2024 tillsynsbegäran.docx", "A 16818-2024")</f>
        <v/>
      </c>
      <c r="Y54">
        <f>HYPERLINK("https://klasma.github.io/Logging_2031/tillsynsmail/A 16818-2024 tillsynsbegäran mail.docx", "A 16818-2024")</f>
        <v/>
      </c>
    </row>
    <row r="55" ht="15" customHeight="1">
      <c r="A55" t="inlineStr">
        <is>
          <t>A 10317-2024</t>
        </is>
      </c>
      <c r="B55" s="1" t="n">
        <v>45365</v>
      </c>
      <c r="C55" s="1" t="n">
        <v>46191</v>
      </c>
      <c r="D55" t="inlineStr">
        <is>
          <t>DALARNAS LÄN</t>
        </is>
      </c>
      <c r="E55" t="inlineStr">
        <is>
          <t>RÄTTVIK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HYPERLINK("https://klasma.github.io/Logging_2031/artfynd/A 10317-2024 artfynd.xlsx", "A 10317-2024")</f>
        <v/>
      </c>
      <c r="T55">
        <f>HYPERLINK("https://klasma.github.io/Logging_2031/kartor/A 10317-2024 karta.png", "A 10317-2024")</f>
        <v/>
      </c>
      <c r="V55">
        <f>HYPERLINK("https://klasma.github.io/Logging_2031/klagomål/A 10317-2024 FSC-klagomål.docx", "A 10317-2024")</f>
        <v/>
      </c>
      <c r="W55">
        <f>HYPERLINK("https://klasma.github.io/Logging_2031/klagomålsmail/A 10317-2024 FSC-klagomål mail.docx", "A 10317-2024")</f>
        <v/>
      </c>
      <c r="X55">
        <f>HYPERLINK("https://klasma.github.io/Logging_2031/tillsyn/A 10317-2024 tillsynsbegäran.docx", "A 10317-2024")</f>
        <v/>
      </c>
      <c r="Y55">
        <f>HYPERLINK("https://klasma.github.io/Logging_2031/tillsynsmail/A 10317-2024 tillsynsbegäran mail.docx", "A 10317-2024")</f>
        <v/>
      </c>
    </row>
    <row r="56" ht="15" customHeight="1">
      <c r="A56" t="inlineStr">
        <is>
          <t>A 43450-2025</t>
        </is>
      </c>
      <c r="B56" s="1" t="n">
        <v>45911</v>
      </c>
      <c r="C56" s="1" t="n">
        <v>46191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HYPERLINK("https://klasma.github.io/Logging_2031/artfynd/A 43450-2025 artfynd.xlsx", "A 43450-2025")</f>
        <v/>
      </c>
      <c r="T56">
        <f>HYPERLINK("https://klasma.github.io/Logging_2031/kartor/A 43450-2025 karta.png", "A 43450-2025")</f>
        <v/>
      </c>
      <c r="V56">
        <f>HYPERLINK("https://klasma.github.io/Logging_2031/klagomål/A 43450-2025 FSC-klagomål.docx", "A 43450-2025")</f>
        <v/>
      </c>
      <c r="W56">
        <f>HYPERLINK("https://klasma.github.io/Logging_2031/klagomålsmail/A 43450-2025 FSC-klagomål mail.docx", "A 43450-2025")</f>
        <v/>
      </c>
      <c r="X56">
        <f>HYPERLINK("https://klasma.github.io/Logging_2031/tillsyn/A 43450-2025 tillsynsbegäran.docx", "A 43450-2025")</f>
        <v/>
      </c>
      <c r="Y56">
        <f>HYPERLINK("https://klasma.github.io/Logging_2031/tillsynsmail/A 43450-2025 tillsynsbegäran mail.docx", "A 43450-2025")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46191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46646-2025</t>
        </is>
      </c>
      <c r="B58" s="1" t="n">
        <v>45926</v>
      </c>
      <c r="C58" s="1" t="n">
        <v>46191</v>
      </c>
      <c r="D58" t="inlineStr">
        <is>
          <t>DALARNAS LÄN</t>
        </is>
      </c>
      <c r="E58" t="inlineStr">
        <is>
          <t>RÄTTVIK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Garnlav</t>
        </is>
      </c>
      <c r="S58">
        <f>HYPERLINK("https://klasma.github.io/Logging_2031/artfynd/A 46646-2025 artfynd.xlsx", "A 46646-2025")</f>
        <v/>
      </c>
      <c r="T58">
        <f>HYPERLINK("https://klasma.github.io/Logging_2031/kartor/A 46646-2025 karta.png", "A 46646-2025")</f>
        <v/>
      </c>
      <c r="V58">
        <f>HYPERLINK("https://klasma.github.io/Logging_2031/klagomål/A 46646-2025 FSC-klagomål.docx", "A 46646-2025")</f>
        <v/>
      </c>
      <c r="W58">
        <f>HYPERLINK("https://klasma.github.io/Logging_2031/klagomålsmail/A 46646-2025 FSC-klagomål mail.docx", "A 46646-2025")</f>
        <v/>
      </c>
      <c r="X58">
        <f>HYPERLINK("https://klasma.github.io/Logging_2031/tillsyn/A 46646-2025 tillsynsbegäran.docx", "A 46646-2025")</f>
        <v/>
      </c>
      <c r="Y58">
        <f>HYPERLINK("https://klasma.github.io/Logging_2031/tillsynsmail/A 46646-2025 tillsynsbegäran mail.docx", "A 46646-2025")</f>
        <v/>
      </c>
    </row>
    <row r="59" ht="15" customHeight="1">
      <c r="A59" t="inlineStr">
        <is>
          <t>A 11956-2026</t>
        </is>
      </c>
      <c r="B59" s="1" t="n">
        <v>46085</v>
      </c>
      <c r="C59" s="1" t="n">
        <v>46191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48.8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HYPERLINK("https://klasma.github.io/Logging_2031/artfynd/A 11956-2026 artfynd.xlsx", "A 11956-2026")</f>
        <v/>
      </c>
      <c r="T59">
        <f>HYPERLINK("https://klasma.github.io/Logging_2031/kartor/A 11956-2026 karta.png", "A 11956-2026")</f>
        <v/>
      </c>
      <c r="V59">
        <f>HYPERLINK("https://klasma.github.io/Logging_2031/klagomål/A 11956-2026 FSC-klagomål.docx", "A 11956-2026")</f>
        <v/>
      </c>
      <c r="W59">
        <f>HYPERLINK("https://klasma.github.io/Logging_2031/klagomålsmail/A 11956-2026 FSC-klagomål mail.docx", "A 11956-2026")</f>
        <v/>
      </c>
      <c r="X59">
        <f>HYPERLINK("https://klasma.github.io/Logging_2031/tillsyn/A 11956-2026 tillsynsbegäran.docx", "A 11956-2026")</f>
        <v/>
      </c>
      <c r="Y59">
        <f>HYPERLINK("https://klasma.github.io/Logging_2031/tillsynsmail/A 11956-2026 tillsynsbegäran mail.docx", "A 11956-2026")</f>
        <v/>
      </c>
    </row>
    <row r="60" ht="15" customHeight="1">
      <c r="A60" t="inlineStr">
        <is>
          <t>A 12391-2026</t>
        </is>
      </c>
      <c r="B60" s="1" t="n">
        <v>46090</v>
      </c>
      <c r="C60" s="1" t="n">
        <v>46191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HYPERLINK("https://klasma.github.io/Logging_2031/artfynd/A 12391-2026 artfynd.xlsx", "A 12391-2026")</f>
        <v/>
      </c>
      <c r="T60">
        <f>HYPERLINK("https://klasma.github.io/Logging_2031/kartor/A 12391-2026 karta.png", "A 12391-2026")</f>
        <v/>
      </c>
      <c r="V60">
        <f>HYPERLINK("https://klasma.github.io/Logging_2031/klagomål/A 12391-2026 FSC-klagomål.docx", "A 12391-2026")</f>
        <v/>
      </c>
      <c r="W60">
        <f>HYPERLINK("https://klasma.github.io/Logging_2031/klagomålsmail/A 12391-2026 FSC-klagomål mail.docx", "A 12391-2026")</f>
        <v/>
      </c>
      <c r="X60">
        <f>HYPERLINK("https://klasma.github.io/Logging_2031/tillsyn/A 12391-2026 tillsynsbegäran.docx", "A 12391-2026")</f>
        <v/>
      </c>
      <c r="Y60">
        <f>HYPERLINK("https://klasma.github.io/Logging_2031/tillsynsmail/A 12391-2026 tillsynsbegäran mail.docx", "A 12391-2026")</f>
        <v/>
      </c>
    </row>
    <row r="61" ht="15" customHeight="1">
      <c r="A61" t="inlineStr">
        <is>
          <t>A 15164-2026</t>
        </is>
      </c>
      <c r="B61" s="1" t="n">
        <v>46105</v>
      </c>
      <c r="C61" s="1" t="n">
        <v>46191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15.9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HYPERLINK("https://klasma.github.io/Logging_2031/artfynd/A 15164-2026 artfynd.xlsx", "A 15164-2026")</f>
        <v/>
      </c>
      <c r="T61">
        <f>HYPERLINK("https://klasma.github.io/Logging_2031/kartor/A 15164-2026 karta.png", "A 15164-2026")</f>
        <v/>
      </c>
      <c r="V61">
        <f>HYPERLINK("https://klasma.github.io/Logging_2031/klagomål/A 15164-2026 FSC-klagomål.docx", "A 15164-2026")</f>
        <v/>
      </c>
      <c r="W61">
        <f>HYPERLINK("https://klasma.github.io/Logging_2031/klagomålsmail/A 15164-2026 FSC-klagomål mail.docx", "A 15164-2026")</f>
        <v/>
      </c>
      <c r="X61">
        <f>HYPERLINK("https://klasma.github.io/Logging_2031/tillsyn/A 15164-2026 tillsynsbegäran.docx", "A 15164-2026")</f>
        <v/>
      </c>
      <c r="Y61">
        <f>HYPERLINK("https://klasma.github.io/Logging_2031/tillsynsmail/A 15164-2026 tillsynsbegäran mail.docx", "A 15164-2026")</f>
        <v/>
      </c>
    </row>
    <row r="62" ht="15" customHeight="1">
      <c r="A62" t="inlineStr">
        <is>
          <t>A 55268-2023</t>
        </is>
      </c>
      <c r="B62" s="1" t="n">
        <v>45231</v>
      </c>
      <c r="C62" s="1" t="n">
        <v>46191</v>
      </c>
      <c r="D62" t="inlineStr">
        <is>
          <t>DALARNAS LÄN</t>
        </is>
      </c>
      <c r="E62" t="inlineStr">
        <is>
          <t>RÄTTVIK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HYPERLINK("https://klasma.github.io/Logging_2031/artfynd/A 55268-2023 artfynd.xlsx", "A 55268-2023")</f>
        <v/>
      </c>
      <c r="T62">
        <f>HYPERLINK("https://klasma.github.io/Logging_2031/kartor/A 55268-2023 karta.png", "A 55268-2023")</f>
        <v/>
      </c>
      <c r="V62">
        <f>HYPERLINK("https://klasma.github.io/Logging_2031/klagomål/A 55268-2023 FSC-klagomål.docx", "A 55268-2023")</f>
        <v/>
      </c>
      <c r="W62">
        <f>HYPERLINK("https://klasma.github.io/Logging_2031/klagomålsmail/A 55268-2023 FSC-klagomål mail.docx", "A 55268-2023")</f>
        <v/>
      </c>
      <c r="X62">
        <f>HYPERLINK("https://klasma.github.io/Logging_2031/tillsyn/A 55268-2023 tillsynsbegäran.docx", "A 55268-2023")</f>
        <v/>
      </c>
      <c r="Y62">
        <f>HYPERLINK("https://klasma.github.io/Logging_2031/tillsynsmail/A 55268-2023 tillsynsbegäran mail.docx", "A 55268-2023")</f>
        <v/>
      </c>
    </row>
    <row r="63" ht="15" customHeight="1">
      <c r="A63" t="inlineStr">
        <is>
          <t>A 38384-2024</t>
        </is>
      </c>
      <c r="B63" s="1" t="n">
        <v>45546</v>
      </c>
      <c r="C63" s="1" t="n">
        <v>46191</v>
      </c>
      <c r="D63" t="inlineStr">
        <is>
          <t>DALARNAS LÄN</t>
        </is>
      </c>
      <c r="E63" t="inlineStr">
        <is>
          <t>RÄTTVIK</t>
        </is>
      </c>
      <c r="G63" t="n">
        <v>2.6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Väddnätfjäril</t>
        </is>
      </c>
      <c r="S63">
        <f>HYPERLINK("https://klasma.github.io/Logging_2031/artfynd/A 38384-2024 artfynd.xlsx", "A 38384-2024")</f>
        <v/>
      </c>
      <c r="T63">
        <f>HYPERLINK("https://klasma.github.io/Logging_2031/kartor/A 38384-2024 karta.png", "A 38384-2024")</f>
        <v/>
      </c>
      <c r="V63">
        <f>HYPERLINK("https://klasma.github.io/Logging_2031/klagomål/A 38384-2024 FSC-klagomål.docx", "A 38384-2024")</f>
        <v/>
      </c>
      <c r="W63">
        <f>HYPERLINK("https://klasma.github.io/Logging_2031/klagomålsmail/A 38384-2024 FSC-klagomål mail.docx", "A 38384-2024")</f>
        <v/>
      </c>
      <c r="X63">
        <f>HYPERLINK("https://klasma.github.io/Logging_2031/tillsyn/A 38384-2024 tillsynsbegäran.docx", "A 38384-2024")</f>
        <v/>
      </c>
      <c r="Y63">
        <f>HYPERLINK("https://klasma.github.io/Logging_2031/tillsynsmail/A 38384-2024 tillsynsbegäran mail.docx", "A 38384-2024")</f>
        <v/>
      </c>
    </row>
    <row r="64" ht="15" customHeight="1">
      <c r="A64" t="inlineStr">
        <is>
          <t>A 22518-2026</t>
        </is>
      </c>
      <c r="B64" s="1" t="n">
        <v>46155</v>
      </c>
      <c r="C64" s="1" t="n">
        <v>46191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HYPERLINK("https://klasma.github.io/Logging_2031/artfynd/A 22518-2026 artfynd.xlsx", "A 22518-2026")</f>
        <v/>
      </c>
      <c r="T64">
        <f>HYPERLINK("https://klasma.github.io/Logging_2031/kartor/A 22518-2026 karta.png", "A 22518-2026")</f>
        <v/>
      </c>
      <c r="V64">
        <f>HYPERLINK("https://klasma.github.io/Logging_2031/klagomål/A 22518-2026 FSC-klagomål.docx", "A 22518-2026")</f>
        <v/>
      </c>
      <c r="W64">
        <f>HYPERLINK("https://klasma.github.io/Logging_2031/klagomålsmail/A 22518-2026 FSC-klagomål mail.docx", "A 22518-2026")</f>
        <v/>
      </c>
      <c r="X64">
        <f>HYPERLINK("https://klasma.github.io/Logging_2031/tillsyn/A 22518-2026 tillsynsbegäran.docx", "A 22518-2026")</f>
        <v/>
      </c>
      <c r="Y64">
        <f>HYPERLINK("https://klasma.github.io/Logging_2031/tillsynsmail/A 22518-2026 tillsynsbegäran mail.docx", "A 22518-2026")</f>
        <v/>
      </c>
      <c r="Z64">
        <f>HYPERLINK("https://klasma.github.io/Logging_2031/fåglar/A 22518-2026 prioriterade fågelarter.docx", "A 22518-2026")</f>
        <v/>
      </c>
    </row>
    <row r="65" ht="15" customHeight="1">
      <c r="A65" t="inlineStr">
        <is>
          <t>A 16626-2026</t>
        </is>
      </c>
      <c r="B65" s="1" t="n">
        <v>46112</v>
      </c>
      <c r="C65" s="1" t="n">
        <v>46191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12.1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HYPERLINK("https://klasma.github.io/Logging_2031/artfynd/A 16626-2026 artfynd.xlsx", "A 16626-2026")</f>
        <v/>
      </c>
      <c r="T65">
        <f>HYPERLINK("https://klasma.github.io/Logging_2031/kartor/A 16626-2026 karta.png", "A 16626-2026")</f>
        <v/>
      </c>
      <c r="V65">
        <f>HYPERLINK("https://klasma.github.io/Logging_2031/klagomål/A 16626-2026 FSC-klagomål.docx", "A 16626-2026")</f>
        <v/>
      </c>
      <c r="W65">
        <f>HYPERLINK("https://klasma.github.io/Logging_2031/klagomålsmail/A 16626-2026 FSC-klagomål mail.docx", "A 16626-2026")</f>
        <v/>
      </c>
      <c r="X65">
        <f>HYPERLINK("https://klasma.github.io/Logging_2031/tillsyn/A 16626-2026 tillsynsbegäran.docx", "A 16626-2026")</f>
        <v/>
      </c>
      <c r="Y65">
        <f>HYPERLINK("https://klasma.github.io/Logging_2031/tillsynsmail/A 16626-2026 tillsynsbegäran mail.docx", "A 16626-2026")</f>
        <v/>
      </c>
    </row>
    <row r="66" ht="15" customHeight="1">
      <c r="A66" t="inlineStr">
        <is>
          <t>A 60710-2025</t>
        </is>
      </c>
      <c r="B66" s="1" t="n">
        <v>45996</v>
      </c>
      <c r="C66" s="1" t="n">
        <v>46191</v>
      </c>
      <c r="D66" t="inlineStr">
        <is>
          <t>DALARNAS LÄN</t>
        </is>
      </c>
      <c r="E66" t="inlineStr">
        <is>
          <t>RÄTTVIK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Garnlav</t>
        </is>
      </c>
      <c r="S66">
        <f>HYPERLINK("https://klasma.github.io/Logging_2031/artfynd/A 60710-2025 artfynd.xlsx", "A 60710-2025")</f>
        <v/>
      </c>
      <c r="T66">
        <f>HYPERLINK("https://klasma.github.io/Logging_2031/kartor/A 60710-2025 karta.png", "A 60710-2025")</f>
        <v/>
      </c>
      <c r="V66">
        <f>HYPERLINK("https://klasma.github.io/Logging_2031/klagomål/A 60710-2025 FSC-klagomål.docx", "A 60710-2025")</f>
        <v/>
      </c>
      <c r="W66">
        <f>HYPERLINK("https://klasma.github.io/Logging_2031/klagomålsmail/A 60710-2025 FSC-klagomål mail.docx", "A 60710-2025")</f>
        <v/>
      </c>
      <c r="X66">
        <f>HYPERLINK("https://klasma.github.io/Logging_2031/tillsyn/A 60710-2025 tillsynsbegäran.docx", "A 60710-2025")</f>
        <v/>
      </c>
      <c r="Y66">
        <f>HYPERLINK("https://klasma.github.io/Logging_2031/tillsynsmail/A 60710-2025 tillsynsbegäran mail.docx", "A 60710-2025")</f>
        <v/>
      </c>
    </row>
    <row r="67" ht="15" customHeight="1">
      <c r="A67" t="inlineStr">
        <is>
          <t>A 18527-2026</t>
        </is>
      </c>
      <c r="B67" s="1" t="n">
        <v>46127</v>
      </c>
      <c r="C67" s="1" t="n">
        <v>46191</v>
      </c>
      <c r="D67" t="inlineStr">
        <is>
          <t>DALARNAS LÄN</t>
        </is>
      </c>
      <c r="E67" t="inlineStr">
        <is>
          <t>RÄTTVIK</t>
        </is>
      </c>
      <c r="G67" t="n">
        <v>3.2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18527-2026 artfynd.xlsx", "A 18527-2026")</f>
        <v/>
      </c>
      <c r="T67">
        <f>HYPERLINK("https://klasma.github.io/Logging_2031/kartor/A 18527-2026 karta.png", "A 18527-2026")</f>
        <v/>
      </c>
      <c r="V67">
        <f>HYPERLINK("https://klasma.github.io/Logging_2031/klagomål/A 18527-2026 FSC-klagomål.docx", "A 18527-2026")</f>
        <v/>
      </c>
      <c r="W67">
        <f>HYPERLINK("https://klasma.github.io/Logging_2031/klagomålsmail/A 18527-2026 FSC-klagomål mail.docx", "A 18527-2026")</f>
        <v/>
      </c>
      <c r="X67">
        <f>HYPERLINK("https://klasma.github.io/Logging_2031/tillsyn/A 18527-2026 tillsynsbegäran.docx", "A 18527-2026")</f>
        <v/>
      </c>
      <c r="Y67">
        <f>HYPERLINK("https://klasma.github.io/Logging_2031/tillsynsmail/A 18527-2026 tillsynsbegäran mail.docx", "A 18527-2026")</f>
        <v/>
      </c>
    </row>
    <row r="68" ht="15" customHeight="1">
      <c r="A68" t="inlineStr">
        <is>
          <t>A 18535-2026</t>
        </is>
      </c>
      <c r="B68" s="1" t="n">
        <v>46127</v>
      </c>
      <c r="C68" s="1" t="n">
        <v>46191</v>
      </c>
      <c r="D68" t="inlineStr">
        <is>
          <t>DALARNAS LÄN</t>
        </is>
      </c>
      <c r="E68" t="inlineStr">
        <is>
          <t>RÄTTVIK</t>
        </is>
      </c>
      <c r="G68" t="n">
        <v>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Väddnätfjäril</t>
        </is>
      </c>
      <c r="S68">
        <f>HYPERLINK("https://klasma.github.io/Logging_2031/artfynd/A 18535-2026 artfynd.xlsx", "A 18535-2026")</f>
        <v/>
      </c>
      <c r="T68">
        <f>HYPERLINK("https://klasma.github.io/Logging_2031/kartor/A 18535-2026 karta.png", "A 18535-2026")</f>
        <v/>
      </c>
      <c r="V68">
        <f>HYPERLINK("https://klasma.github.io/Logging_2031/klagomål/A 18535-2026 FSC-klagomål.docx", "A 18535-2026")</f>
        <v/>
      </c>
      <c r="W68">
        <f>HYPERLINK("https://klasma.github.io/Logging_2031/klagomålsmail/A 18535-2026 FSC-klagomål mail.docx", "A 18535-2026")</f>
        <v/>
      </c>
      <c r="X68">
        <f>HYPERLINK("https://klasma.github.io/Logging_2031/tillsyn/A 18535-2026 tillsynsbegäran.docx", "A 18535-2026")</f>
        <v/>
      </c>
      <c r="Y68">
        <f>HYPERLINK("https://klasma.github.io/Logging_2031/tillsynsmail/A 18535-2026 tillsynsbegäran mail.docx", "A 18535-2026")</f>
        <v/>
      </c>
    </row>
    <row r="69" ht="15" customHeight="1">
      <c r="A69" t="inlineStr">
        <is>
          <t>A 19243-2026</t>
        </is>
      </c>
      <c r="B69" s="1" t="n">
        <v>46132</v>
      </c>
      <c r="C69" s="1" t="n">
        <v>46191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HYPERLINK("https://klasma.github.io/Logging_2031/artfynd/A 19243-2026 artfynd.xlsx", "A 19243-2026")</f>
        <v/>
      </c>
      <c r="T69">
        <f>HYPERLINK("https://klasma.github.io/Logging_2031/kartor/A 19243-2026 karta.png", "A 19243-2026")</f>
        <v/>
      </c>
      <c r="V69">
        <f>HYPERLINK("https://klasma.github.io/Logging_2031/klagomål/A 19243-2026 FSC-klagomål.docx", "A 19243-2026")</f>
        <v/>
      </c>
      <c r="W69">
        <f>HYPERLINK("https://klasma.github.io/Logging_2031/klagomålsmail/A 19243-2026 FSC-klagomål mail.docx", "A 19243-2026")</f>
        <v/>
      </c>
      <c r="X69">
        <f>HYPERLINK("https://klasma.github.io/Logging_2031/tillsyn/A 19243-2026 tillsynsbegäran.docx", "A 19243-2026")</f>
        <v/>
      </c>
      <c r="Y69">
        <f>HYPERLINK("https://klasma.github.io/Logging_2031/tillsynsmail/A 19243-2026 tillsynsbegäran mail.docx", "A 19243-2026")</f>
        <v/>
      </c>
      <c r="Z69">
        <f>HYPERLINK("https://klasma.github.io/Logging_2031/fåglar/A 19243-2026 prioriterade fågelarter.docx", "A 19243-2026")</f>
        <v/>
      </c>
    </row>
    <row r="70" ht="15" customHeight="1">
      <c r="A70" t="inlineStr">
        <is>
          <t>A 41153-2021</t>
        </is>
      </c>
      <c r="B70" s="1" t="n">
        <v>44424</v>
      </c>
      <c r="C70" s="1" t="n">
        <v>46191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HYPERLINK("https://klasma.github.io/Logging_2031/artfynd/A 41153-2021 artfynd.xlsx", "A 41153-2021")</f>
        <v/>
      </c>
      <c r="T70">
        <f>HYPERLINK("https://klasma.github.io/Logging_2031/kartor/A 41153-2021 karta.png", "A 41153-2021")</f>
        <v/>
      </c>
      <c r="V70">
        <f>HYPERLINK("https://klasma.github.io/Logging_2031/klagomål/A 41153-2021 FSC-klagomål.docx", "A 41153-2021")</f>
        <v/>
      </c>
      <c r="W70">
        <f>HYPERLINK("https://klasma.github.io/Logging_2031/klagomålsmail/A 41153-2021 FSC-klagomål mail.docx", "A 41153-2021")</f>
        <v/>
      </c>
      <c r="X70">
        <f>HYPERLINK("https://klasma.github.io/Logging_2031/tillsyn/A 41153-2021 tillsynsbegäran.docx", "A 41153-2021")</f>
        <v/>
      </c>
      <c r="Y70">
        <f>HYPERLINK("https://klasma.github.io/Logging_2031/tillsynsmail/A 41153-2021 tillsynsbegäran mail.docx", "A 41153-2021")</f>
        <v/>
      </c>
      <c r="Z70">
        <f>HYPERLINK("https://klasma.github.io/Logging_2031/fåglar/A 41153-2021 prioriterade fågelarter.docx", "A 41153-2021")</f>
        <v/>
      </c>
    </row>
    <row r="71" ht="15" customHeight="1">
      <c r="A71" t="inlineStr">
        <is>
          <t>A 56438-2023</t>
        </is>
      </c>
      <c r="B71" s="1" t="n">
        <v>45243</v>
      </c>
      <c r="C71" s="1" t="n">
        <v>46191</v>
      </c>
      <c r="D71" t="inlineStr">
        <is>
          <t>DALARNAS LÄN</t>
        </is>
      </c>
      <c r="E71" t="inlineStr">
        <is>
          <t>RÄTTVIK</t>
        </is>
      </c>
      <c r="G71" t="n">
        <v>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Vedticka</t>
        </is>
      </c>
      <c r="S71">
        <f>HYPERLINK("https://klasma.github.io/Logging_2031/artfynd/A 56438-2023 artfynd.xlsx", "A 56438-2023")</f>
        <v/>
      </c>
      <c r="T71">
        <f>HYPERLINK("https://klasma.github.io/Logging_2031/kartor/A 56438-2023 karta.png", "A 56438-2023")</f>
        <v/>
      </c>
      <c r="V71">
        <f>HYPERLINK("https://klasma.github.io/Logging_2031/klagomål/A 56438-2023 FSC-klagomål.docx", "A 56438-2023")</f>
        <v/>
      </c>
      <c r="W71">
        <f>HYPERLINK("https://klasma.github.io/Logging_2031/klagomålsmail/A 56438-2023 FSC-klagomål mail.docx", "A 56438-2023")</f>
        <v/>
      </c>
      <c r="X71">
        <f>HYPERLINK("https://klasma.github.io/Logging_2031/tillsyn/A 56438-2023 tillsynsbegäran.docx", "A 56438-2023")</f>
        <v/>
      </c>
      <c r="Y71">
        <f>HYPERLINK("https://klasma.github.io/Logging_2031/tillsynsmail/A 56438-2023 tillsynsbegäran mail.docx", "A 56438-2023")</f>
        <v/>
      </c>
    </row>
    <row r="72" ht="15" customHeight="1">
      <c r="A72" t="inlineStr">
        <is>
          <t>A 19775-2026</t>
        </is>
      </c>
      <c r="B72" s="1" t="n">
        <v>46135</v>
      </c>
      <c r="C72" s="1" t="n">
        <v>46191</v>
      </c>
      <c r="D72" t="inlineStr">
        <is>
          <t>DALARNAS LÄN</t>
        </is>
      </c>
      <c r="E72" t="inlineStr">
        <is>
          <t>RÄTTVIK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HYPERLINK("https://klasma.github.io/Logging_2031/artfynd/A 19775-2026 artfynd.xlsx", "A 19775-2026")</f>
        <v/>
      </c>
      <c r="T72">
        <f>HYPERLINK("https://klasma.github.io/Logging_2031/kartor/A 19775-2026 karta.png", "A 19775-2026")</f>
        <v/>
      </c>
      <c r="V72">
        <f>HYPERLINK("https://klasma.github.io/Logging_2031/klagomål/A 19775-2026 FSC-klagomål.docx", "A 19775-2026")</f>
        <v/>
      </c>
      <c r="W72">
        <f>HYPERLINK("https://klasma.github.io/Logging_2031/klagomålsmail/A 19775-2026 FSC-klagomål mail.docx", "A 19775-2026")</f>
        <v/>
      </c>
      <c r="X72">
        <f>HYPERLINK("https://klasma.github.io/Logging_2031/tillsyn/A 19775-2026 tillsynsbegäran.docx", "A 19775-2026")</f>
        <v/>
      </c>
      <c r="Y72">
        <f>HYPERLINK("https://klasma.github.io/Logging_2031/tillsynsmail/A 19775-2026 tillsynsbegäran mail.docx", "A 19775-2026")</f>
        <v/>
      </c>
    </row>
    <row r="73" ht="15" customHeight="1">
      <c r="A73" t="inlineStr">
        <is>
          <t>A 11710-2026</t>
        </is>
      </c>
      <c r="B73" s="1" t="n">
        <v>46084</v>
      </c>
      <c r="C73" s="1" t="n">
        <v>46191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62.7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Lavskrika</t>
        </is>
      </c>
      <c r="S73">
        <f>HYPERLINK("https://klasma.github.io/Logging_2031/artfynd/A 11710-2026 artfynd.xlsx", "A 11710-2026")</f>
        <v/>
      </c>
      <c r="T73">
        <f>HYPERLINK("https://klasma.github.io/Logging_2031/kartor/A 11710-2026 karta.png", "A 11710-2026")</f>
        <v/>
      </c>
      <c r="V73">
        <f>HYPERLINK("https://klasma.github.io/Logging_2031/klagomål/A 11710-2026 FSC-klagomål.docx", "A 11710-2026")</f>
        <v/>
      </c>
      <c r="W73">
        <f>HYPERLINK("https://klasma.github.io/Logging_2031/klagomålsmail/A 11710-2026 FSC-klagomål mail.docx", "A 11710-2026")</f>
        <v/>
      </c>
      <c r="X73">
        <f>HYPERLINK("https://klasma.github.io/Logging_2031/tillsyn/A 11710-2026 tillsynsbegäran.docx", "A 11710-2026")</f>
        <v/>
      </c>
      <c r="Y73">
        <f>HYPERLINK("https://klasma.github.io/Logging_2031/tillsynsmail/A 11710-2026 tillsynsbegäran mail.docx", "A 11710-2026")</f>
        <v/>
      </c>
      <c r="Z73">
        <f>HYPERLINK("https://klasma.github.io/Logging_2031/fåglar/A 11710-2026 prioriterade fågelarter.docx", "A 11710-2026")</f>
        <v/>
      </c>
    </row>
    <row r="74" ht="15" customHeight="1">
      <c r="A74" t="inlineStr">
        <is>
          <t>A 34368-2024</t>
        </is>
      </c>
      <c r="B74" s="1" t="n">
        <v>45525</v>
      </c>
      <c r="C74" s="1" t="n">
        <v>46191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Väddnätfjäril</t>
        </is>
      </c>
      <c r="S74">
        <f>HYPERLINK("https://klasma.github.io/Logging_2031/artfynd/A 34368-2024 artfynd.xlsx", "A 34368-2024")</f>
        <v/>
      </c>
      <c r="T74">
        <f>HYPERLINK("https://klasma.github.io/Logging_2031/kartor/A 34368-2024 karta.png", "A 34368-2024")</f>
        <v/>
      </c>
      <c r="V74">
        <f>HYPERLINK("https://klasma.github.io/Logging_2031/klagomål/A 34368-2024 FSC-klagomål.docx", "A 34368-2024")</f>
        <v/>
      </c>
      <c r="W74">
        <f>HYPERLINK("https://klasma.github.io/Logging_2031/klagomålsmail/A 34368-2024 FSC-klagomål mail.docx", "A 34368-2024")</f>
        <v/>
      </c>
      <c r="X74">
        <f>HYPERLINK("https://klasma.github.io/Logging_2031/tillsyn/A 34368-2024 tillsynsbegäran.docx", "A 34368-2024")</f>
        <v/>
      </c>
      <c r="Y74">
        <f>HYPERLINK("https://klasma.github.io/Logging_2031/tillsynsmail/A 34368-2024 tillsynsbegäran mail.docx", "A 34368-2024")</f>
        <v/>
      </c>
    </row>
    <row r="75" ht="15" customHeight="1">
      <c r="A75" t="inlineStr">
        <is>
          <t>A 352-2026</t>
        </is>
      </c>
      <c r="B75" s="1" t="n">
        <v>46027</v>
      </c>
      <c r="C75" s="1" t="n">
        <v>46191</v>
      </c>
      <c r="D75" t="inlineStr">
        <is>
          <t>DALARNAS LÄN</t>
        </is>
      </c>
      <c r="E75" t="inlineStr">
        <is>
          <t>RÄTTVIK</t>
        </is>
      </c>
      <c r="G75" t="n">
        <v>3.7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Väddnätfjäril</t>
        </is>
      </c>
      <c r="S75">
        <f>HYPERLINK("https://klasma.github.io/Logging_2031/artfynd/A 352-2026 artfynd.xlsx", "A 352-2026")</f>
        <v/>
      </c>
      <c r="T75">
        <f>HYPERLINK("https://klasma.github.io/Logging_2031/kartor/A 352-2026 karta.png", "A 352-2026")</f>
        <v/>
      </c>
      <c r="V75">
        <f>HYPERLINK("https://klasma.github.io/Logging_2031/klagomål/A 352-2026 FSC-klagomål.docx", "A 352-2026")</f>
        <v/>
      </c>
      <c r="W75">
        <f>HYPERLINK("https://klasma.github.io/Logging_2031/klagomålsmail/A 352-2026 FSC-klagomål mail.docx", "A 352-2026")</f>
        <v/>
      </c>
      <c r="X75">
        <f>HYPERLINK("https://klasma.github.io/Logging_2031/tillsyn/A 352-2026 tillsynsbegäran.docx", "A 352-2026")</f>
        <v/>
      </c>
      <c r="Y75">
        <f>HYPERLINK("https://klasma.github.io/Logging_2031/tillsynsmail/A 352-2026 tillsynsbegäran mail.docx", "A 352-2026")</f>
        <v/>
      </c>
    </row>
    <row r="76" ht="15" customHeight="1">
      <c r="A76" t="inlineStr">
        <is>
          <t>A 58233-2025</t>
        </is>
      </c>
      <c r="B76" s="1" t="n">
        <v>45985</v>
      </c>
      <c r="C76" s="1" t="n">
        <v>46191</v>
      </c>
      <c r="D76" t="inlineStr">
        <is>
          <t>DALARNAS LÄN</t>
        </is>
      </c>
      <c r="E76" t="inlineStr">
        <is>
          <t>RÄTTVIK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Rynkskinn</t>
        </is>
      </c>
      <c r="S76">
        <f>HYPERLINK("https://klasma.github.io/Logging_2031/artfynd/A 58233-2025 artfynd.xlsx", "A 58233-2025")</f>
        <v/>
      </c>
      <c r="T76">
        <f>HYPERLINK("https://klasma.github.io/Logging_2031/kartor/A 58233-2025 karta.png", "A 58233-2025")</f>
        <v/>
      </c>
      <c r="V76">
        <f>HYPERLINK("https://klasma.github.io/Logging_2031/klagomål/A 58233-2025 FSC-klagomål.docx", "A 58233-2025")</f>
        <v/>
      </c>
      <c r="W76">
        <f>HYPERLINK("https://klasma.github.io/Logging_2031/klagomålsmail/A 58233-2025 FSC-klagomål mail.docx", "A 58233-2025")</f>
        <v/>
      </c>
      <c r="X76">
        <f>HYPERLINK("https://klasma.github.io/Logging_2031/tillsyn/A 58233-2025 tillsynsbegäran.docx", "A 58233-2025")</f>
        <v/>
      </c>
      <c r="Y76">
        <f>HYPERLINK("https://klasma.github.io/Logging_2031/tillsynsmail/A 58233-2025 tillsynsbegäran mail.docx", "A 58233-2025")</f>
        <v/>
      </c>
    </row>
    <row r="77" ht="15" customHeight="1">
      <c r="A77" t="inlineStr">
        <is>
          <t>A 49974-2024</t>
        </is>
      </c>
      <c r="B77" s="1" t="n">
        <v>45597</v>
      </c>
      <c r="C77" s="1" t="n">
        <v>46191</v>
      </c>
      <c r="D77" t="inlineStr">
        <is>
          <t>DALARNAS LÄN</t>
        </is>
      </c>
      <c r="E77" t="inlineStr">
        <is>
          <t>RÄTTVIK</t>
        </is>
      </c>
      <c r="G77" t="n">
        <v>6.4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Väddnätfjäril</t>
        </is>
      </c>
      <c r="S77">
        <f>HYPERLINK("https://klasma.github.io/Logging_2031/artfynd/A 49974-2024 artfynd.xlsx", "A 49974-2024")</f>
        <v/>
      </c>
      <c r="T77">
        <f>HYPERLINK("https://klasma.github.io/Logging_2031/kartor/A 49974-2024 karta.png", "A 49974-2024")</f>
        <v/>
      </c>
      <c r="V77">
        <f>HYPERLINK("https://klasma.github.io/Logging_2031/klagomål/A 49974-2024 FSC-klagomål.docx", "A 49974-2024")</f>
        <v/>
      </c>
      <c r="W77">
        <f>HYPERLINK("https://klasma.github.io/Logging_2031/klagomålsmail/A 49974-2024 FSC-klagomål mail.docx", "A 49974-2024")</f>
        <v/>
      </c>
      <c r="X77">
        <f>HYPERLINK("https://klasma.github.io/Logging_2031/tillsyn/A 49974-2024 tillsynsbegäran.docx", "A 49974-2024")</f>
        <v/>
      </c>
      <c r="Y77">
        <f>HYPERLINK("https://klasma.github.io/Logging_2031/tillsynsmail/A 49974-2024 tillsynsbegäran mail.docx", "A 49974-2024")</f>
        <v/>
      </c>
    </row>
    <row r="78" ht="15" customHeight="1">
      <c r="A78" t="inlineStr">
        <is>
          <t>A 2112-2026</t>
        </is>
      </c>
      <c r="B78" s="1" t="n">
        <v>46036</v>
      </c>
      <c r="C78" s="1" t="n">
        <v>46191</v>
      </c>
      <c r="D78" t="inlineStr">
        <is>
          <t>DALARNAS LÄN</t>
        </is>
      </c>
      <c r="E78" t="inlineStr">
        <is>
          <t>RÄTTVIK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Axag</t>
        </is>
      </c>
      <c r="S78">
        <f>HYPERLINK("https://klasma.github.io/Logging_2031/artfynd/A 2112-2026 artfynd.xlsx", "A 2112-2026")</f>
        <v/>
      </c>
      <c r="T78">
        <f>HYPERLINK("https://klasma.github.io/Logging_2031/kartor/A 2112-2026 karta.png", "A 2112-2026")</f>
        <v/>
      </c>
      <c r="V78">
        <f>HYPERLINK("https://klasma.github.io/Logging_2031/klagomål/A 2112-2026 FSC-klagomål.docx", "A 2112-2026")</f>
        <v/>
      </c>
      <c r="W78">
        <f>HYPERLINK("https://klasma.github.io/Logging_2031/klagomålsmail/A 2112-2026 FSC-klagomål mail.docx", "A 2112-2026")</f>
        <v/>
      </c>
      <c r="X78">
        <f>HYPERLINK("https://klasma.github.io/Logging_2031/tillsyn/A 2112-2026 tillsynsbegäran.docx", "A 2112-2026")</f>
        <v/>
      </c>
      <c r="Y78">
        <f>HYPERLINK("https://klasma.github.io/Logging_2031/tillsynsmail/A 2112-2026 tillsynsbegäran mail.docx", "A 2112-2026")</f>
        <v/>
      </c>
    </row>
    <row r="79" ht="15" customHeight="1">
      <c r="A79" t="inlineStr">
        <is>
          <t>A 3651-2024</t>
        </is>
      </c>
      <c r="B79" s="1" t="n">
        <v>45321</v>
      </c>
      <c r="C79" s="1" t="n">
        <v>46191</v>
      </c>
      <c r="D79" t="inlineStr">
        <is>
          <t>DALARNAS LÄN</t>
        </is>
      </c>
      <c r="E79" t="inlineStr">
        <is>
          <t>RÄTTVIK</t>
        </is>
      </c>
      <c r="G79" t="n">
        <v>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Tvåblad</t>
        </is>
      </c>
      <c r="S79">
        <f>HYPERLINK("https://klasma.github.io/Logging_2031/artfynd/A 3651-2024 artfynd.xlsx", "A 3651-2024")</f>
        <v/>
      </c>
      <c r="T79">
        <f>HYPERLINK("https://klasma.github.io/Logging_2031/kartor/A 3651-2024 karta.png", "A 3651-2024")</f>
        <v/>
      </c>
      <c r="V79">
        <f>HYPERLINK("https://klasma.github.io/Logging_2031/klagomål/A 3651-2024 FSC-klagomål.docx", "A 3651-2024")</f>
        <v/>
      </c>
      <c r="W79">
        <f>HYPERLINK("https://klasma.github.io/Logging_2031/klagomålsmail/A 3651-2024 FSC-klagomål mail.docx", "A 3651-2024")</f>
        <v/>
      </c>
      <c r="X79">
        <f>HYPERLINK("https://klasma.github.io/Logging_2031/tillsyn/A 3651-2024 tillsynsbegäran.docx", "A 3651-2024")</f>
        <v/>
      </c>
      <c r="Y79">
        <f>HYPERLINK("https://klasma.github.io/Logging_2031/tillsynsmail/A 3651-2024 tillsynsbegäran mail.docx", "A 3651-2024")</f>
        <v/>
      </c>
    </row>
    <row r="80" ht="15" customHeight="1">
      <c r="A80" t="inlineStr">
        <is>
          <t>A 22026-2025</t>
        </is>
      </c>
      <c r="B80" s="1" t="n">
        <v>45784</v>
      </c>
      <c r="C80" s="1" t="n">
        <v>46191</v>
      </c>
      <c r="D80" t="inlineStr">
        <is>
          <t>DALARNAS LÄN</t>
        </is>
      </c>
      <c r="E80" t="inlineStr">
        <is>
          <t>RÄTTVIK</t>
        </is>
      </c>
      <c r="G80" t="n">
        <v>6.7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Garnlav</t>
        </is>
      </c>
      <c r="S80">
        <f>HYPERLINK("https://klasma.github.io/Logging_2031/artfynd/A 22026-2025 artfynd.xlsx", "A 22026-2025")</f>
        <v/>
      </c>
      <c r="T80">
        <f>HYPERLINK("https://klasma.github.io/Logging_2031/kartor/A 22026-2025 karta.png", "A 22026-2025")</f>
        <v/>
      </c>
      <c r="V80">
        <f>HYPERLINK("https://klasma.github.io/Logging_2031/klagomål/A 22026-2025 FSC-klagomål.docx", "A 22026-2025")</f>
        <v/>
      </c>
      <c r="W80">
        <f>HYPERLINK("https://klasma.github.io/Logging_2031/klagomålsmail/A 22026-2025 FSC-klagomål mail.docx", "A 22026-2025")</f>
        <v/>
      </c>
      <c r="X80">
        <f>HYPERLINK("https://klasma.github.io/Logging_2031/tillsyn/A 22026-2025 tillsynsbegäran.docx", "A 22026-2025")</f>
        <v/>
      </c>
      <c r="Y80">
        <f>HYPERLINK("https://klasma.github.io/Logging_2031/tillsynsmail/A 22026-2025 tillsynsbegäran mail.docx", "A 22026-2025")</f>
        <v/>
      </c>
    </row>
    <row r="81" ht="15" customHeight="1">
      <c r="A81" t="inlineStr">
        <is>
          <t>A 30368-2024</t>
        </is>
      </c>
      <c r="B81" s="1" t="n">
        <v>45490</v>
      </c>
      <c r="C81" s="1" t="n">
        <v>46191</v>
      </c>
      <c r="D81" t="inlineStr">
        <is>
          <t>DALARNAS LÄN</t>
        </is>
      </c>
      <c r="E81" t="inlineStr">
        <is>
          <t>RÄTTVIK</t>
        </is>
      </c>
      <c r="G81" t="n">
        <v>16.5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HYPERLINK("https://klasma.github.io/Logging_2031/artfynd/A 30368-2024 artfynd.xlsx", "A 30368-2024")</f>
        <v/>
      </c>
      <c r="T81">
        <f>HYPERLINK("https://klasma.github.io/Logging_2031/kartor/A 30368-2024 karta.png", "A 30368-2024")</f>
        <v/>
      </c>
      <c r="V81">
        <f>HYPERLINK("https://klasma.github.io/Logging_2031/klagomål/A 30368-2024 FSC-klagomål.docx", "A 30368-2024")</f>
        <v/>
      </c>
      <c r="W81">
        <f>HYPERLINK("https://klasma.github.io/Logging_2031/klagomålsmail/A 30368-2024 FSC-klagomål mail.docx", "A 30368-2024")</f>
        <v/>
      </c>
      <c r="X81">
        <f>HYPERLINK("https://klasma.github.io/Logging_2031/tillsyn/A 30368-2024 tillsynsbegäran.docx", "A 30368-2024")</f>
        <v/>
      </c>
      <c r="Y81">
        <f>HYPERLINK("https://klasma.github.io/Logging_2031/tillsynsmail/A 30368-2024 tillsynsbegäran mail.docx", "A 30368-2024")</f>
        <v/>
      </c>
    </row>
    <row r="82" ht="15" customHeight="1">
      <c r="A82" t="inlineStr">
        <is>
          <t>A 34305-2024</t>
        </is>
      </c>
      <c r="B82" s="1" t="n">
        <v>45524</v>
      </c>
      <c r="C82" s="1" t="n">
        <v>46191</v>
      </c>
      <c r="D82" t="inlineStr">
        <is>
          <t>DALARNAS LÄN</t>
        </is>
      </c>
      <c r="E82" t="inlineStr">
        <is>
          <t>RÄTTVIK</t>
        </is>
      </c>
      <c r="G82" t="n">
        <v>18.1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märgborre</t>
        </is>
      </c>
      <c r="S82">
        <f>HYPERLINK("https://klasma.github.io/Logging_2031/artfynd/A 34305-2024 artfynd.xlsx", "A 34305-2024")</f>
        <v/>
      </c>
      <c r="T82">
        <f>HYPERLINK("https://klasma.github.io/Logging_2031/kartor/A 34305-2024 karta.png", "A 34305-2024")</f>
        <v/>
      </c>
      <c r="V82">
        <f>HYPERLINK("https://klasma.github.io/Logging_2031/klagomål/A 34305-2024 FSC-klagomål.docx", "A 34305-2024")</f>
        <v/>
      </c>
      <c r="W82">
        <f>HYPERLINK("https://klasma.github.io/Logging_2031/klagomålsmail/A 34305-2024 FSC-klagomål mail.docx", "A 34305-2024")</f>
        <v/>
      </c>
      <c r="X82">
        <f>HYPERLINK("https://klasma.github.io/Logging_2031/tillsyn/A 34305-2024 tillsynsbegäran.docx", "A 34305-2024")</f>
        <v/>
      </c>
      <c r="Y82">
        <f>HYPERLINK("https://klasma.github.io/Logging_2031/tillsynsmail/A 34305-2024 tillsynsbegäran mail.docx", "A 34305-2024")</f>
        <v/>
      </c>
    </row>
    <row r="83" ht="15" customHeight="1">
      <c r="A83" t="inlineStr">
        <is>
          <t>A 5690-2025</t>
        </is>
      </c>
      <c r="B83" s="1" t="n">
        <v>45694</v>
      </c>
      <c r="C83" s="1" t="n">
        <v>46191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HYPERLINK("https://klasma.github.io/Logging_2031/artfynd/A 5690-2025 artfynd.xlsx", "A 5690-2025")</f>
        <v/>
      </c>
      <c r="T83">
        <f>HYPERLINK("https://klasma.github.io/Logging_2031/kartor/A 5690-2025 karta.png", "A 5690-2025")</f>
        <v/>
      </c>
      <c r="V83">
        <f>HYPERLINK("https://klasma.github.io/Logging_2031/klagomål/A 5690-2025 FSC-klagomål.docx", "A 5690-2025")</f>
        <v/>
      </c>
      <c r="W83">
        <f>HYPERLINK("https://klasma.github.io/Logging_2031/klagomålsmail/A 5690-2025 FSC-klagomål mail.docx", "A 5690-2025")</f>
        <v/>
      </c>
      <c r="X83">
        <f>HYPERLINK("https://klasma.github.io/Logging_2031/tillsyn/A 5690-2025 tillsynsbegäran.docx", "A 5690-2025")</f>
        <v/>
      </c>
      <c r="Y83">
        <f>HYPERLINK("https://klasma.github.io/Logging_2031/tillsynsmail/A 5690-2025 tillsynsbegäran mail.docx", "A 5690-2025")</f>
        <v/>
      </c>
      <c r="Z83">
        <f>HYPERLINK("https://klasma.github.io/Logging_2031/fåglar/A 5690-2025 prioriterade fågelarter.docx", "A 5690-2025")</f>
        <v/>
      </c>
    </row>
    <row r="84" ht="15" customHeight="1">
      <c r="A84" t="inlineStr">
        <is>
          <t>A 69061-2021</t>
        </is>
      </c>
      <c r="B84" s="1" t="n">
        <v>44529</v>
      </c>
      <c r="C84" s="1" t="n">
        <v>46191</v>
      </c>
      <c r="D84" t="inlineStr">
        <is>
          <t>DALARNAS LÄN</t>
        </is>
      </c>
      <c r="E84" t="inlineStr">
        <is>
          <t>RÄTTVIK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HYPERLINK("https://klasma.github.io/Logging_2031/artfynd/A 69061-2021 artfynd.xlsx", "A 69061-2021")</f>
        <v/>
      </c>
      <c r="T84">
        <f>HYPERLINK("https://klasma.github.io/Logging_2031/kartor/A 69061-2021 karta.png", "A 69061-2021")</f>
        <v/>
      </c>
      <c r="U84">
        <f>HYPERLINK("https://klasma.github.io/Logging_2031/knärot/A 69061-2021 karta knärot.png", "A 69061-2021")</f>
        <v/>
      </c>
      <c r="V84">
        <f>HYPERLINK("https://klasma.github.io/Logging_2031/klagomål/A 69061-2021 FSC-klagomål.docx", "A 69061-2021")</f>
        <v/>
      </c>
      <c r="W84">
        <f>HYPERLINK("https://klasma.github.io/Logging_2031/klagomålsmail/A 69061-2021 FSC-klagomål mail.docx", "A 69061-2021")</f>
        <v/>
      </c>
      <c r="X84">
        <f>HYPERLINK("https://klasma.github.io/Logging_2031/tillsyn/A 69061-2021 tillsynsbegäran.docx", "A 69061-2021")</f>
        <v/>
      </c>
      <c r="Y84">
        <f>HYPERLINK("https://klasma.github.io/Logging_2031/tillsynsmail/A 69061-2021 tillsynsbegäran mail.docx", "A 69061-2021")</f>
        <v/>
      </c>
    </row>
    <row r="85" ht="15" customHeight="1">
      <c r="A85" t="inlineStr">
        <is>
          <t>A 64451-2021</t>
        </is>
      </c>
      <c r="B85" s="1" t="n">
        <v>44511</v>
      </c>
      <c r="C85" s="1" t="n">
        <v>46191</v>
      </c>
      <c r="D85" t="inlineStr">
        <is>
          <t>DALARNAS LÄN</t>
        </is>
      </c>
      <c r="E85" t="inlineStr">
        <is>
          <t>RÄTTVIK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Kandelabersvamp</t>
        </is>
      </c>
      <c r="S85">
        <f>HYPERLINK("https://klasma.github.io/Logging_2031/artfynd/A 64451-2021 artfynd.xlsx", "A 64451-2021")</f>
        <v/>
      </c>
      <c r="T85">
        <f>HYPERLINK("https://klasma.github.io/Logging_2031/kartor/A 64451-2021 karta.png", "A 64451-2021")</f>
        <v/>
      </c>
      <c r="V85">
        <f>HYPERLINK("https://klasma.github.io/Logging_2031/klagomål/A 64451-2021 FSC-klagomål.docx", "A 64451-2021")</f>
        <v/>
      </c>
      <c r="W85">
        <f>HYPERLINK("https://klasma.github.io/Logging_2031/klagomålsmail/A 64451-2021 FSC-klagomål mail.docx", "A 64451-2021")</f>
        <v/>
      </c>
      <c r="X85">
        <f>HYPERLINK("https://klasma.github.io/Logging_2031/tillsyn/A 64451-2021 tillsynsbegäran.docx", "A 64451-2021")</f>
        <v/>
      </c>
      <c r="Y85">
        <f>HYPERLINK("https://klasma.github.io/Logging_2031/tillsynsmail/A 64451-2021 tillsynsbegäran mail.docx", "A 64451-2021")</f>
        <v/>
      </c>
    </row>
    <row r="86" ht="15" customHeight="1">
      <c r="A86" t="inlineStr">
        <is>
          <t>A 64299-2023</t>
        </is>
      </c>
      <c r="B86" s="1" t="n">
        <v>45279</v>
      </c>
      <c r="C86" s="1" t="n">
        <v>46191</v>
      </c>
      <c r="D86" t="inlineStr">
        <is>
          <t>DALARNAS LÄN</t>
        </is>
      </c>
      <c r="E86" t="inlineStr">
        <is>
          <t>RÄTTVIK</t>
        </is>
      </c>
      <c r="G86" t="n">
        <v>4.7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Grönsiska</t>
        </is>
      </c>
      <c r="S86">
        <f>HYPERLINK("https://klasma.github.io/Logging_2031/artfynd/A 64299-2023 artfynd.xlsx", "A 64299-2023")</f>
        <v/>
      </c>
      <c r="T86">
        <f>HYPERLINK("https://klasma.github.io/Logging_2031/kartor/A 64299-2023 karta.png", "A 64299-2023")</f>
        <v/>
      </c>
      <c r="V86">
        <f>HYPERLINK("https://klasma.github.io/Logging_2031/klagomål/A 64299-2023 FSC-klagomål.docx", "A 64299-2023")</f>
        <v/>
      </c>
      <c r="W86">
        <f>HYPERLINK("https://klasma.github.io/Logging_2031/klagomålsmail/A 64299-2023 FSC-klagomål mail.docx", "A 64299-2023")</f>
        <v/>
      </c>
      <c r="X86">
        <f>HYPERLINK("https://klasma.github.io/Logging_2031/tillsyn/A 64299-2023 tillsynsbegäran.docx", "A 64299-2023")</f>
        <v/>
      </c>
      <c r="Y86">
        <f>HYPERLINK("https://klasma.github.io/Logging_2031/tillsynsmail/A 64299-2023 tillsynsbegäran mail.docx", "A 64299-2023")</f>
        <v/>
      </c>
      <c r="Z86">
        <f>HYPERLINK("https://klasma.github.io/Logging_2031/fåglar/A 64299-2023 prioriterade fågelarter.docx", "A 64299-2023")</f>
        <v/>
      </c>
    </row>
    <row r="87" ht="15" customHeight="1">
      <c r="A87" t="inlineStr">
        <is>
          <t>A 33392-2025</t>
        </is>
      </c>
      <c r="B87" s="1" t="n">
        <v>45841</v>
      </c>
      <c r="C87" s="1" t="n">
        <v>46191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Brunklöver</t>
        </is>
      </c>
      <c r="S87">
        <f>HYPERLINK("https://klasma.github.io/Logging_2031/artfynd/A 33392-2025 artfynd.xlsx", "A 33392-2025")</f>
        <v/>
      </c>
      <c r="T87">
        <f>HYPERLINK("https://klasma.github.io/Logging_2031/kartor/A 33392-2025 karta.png", "A 33392-2025")</f>
        <v/>
      </c>
      <c r="V87">
        <f>HYPERLINK("https://klasma.github.io/Logging_2031/klagomål/A 33392-2025 FSC-klagomål.docx", "A 33392-2025")</f>
        <v/>
      </c>
      <c r="W87">
        <f>HYPERLINK("https://klasma.github.io/Logging_2031/klagomålsmail/A 33392-2025 FSC-klagomål mail.docx", "A 33392-2025")</f>
        <v/>
      </c>
      <c r="X87">
        <f>HYPERLINK("https://klasma.github.io/Logging_2031/tillsyn/A 33392-2025 tillsynsbegäran.docx", "A 33392-2025")</f>
        <v/>
      </c>
      <c r="Y87">
        <f>HYPERLINK("https://klasma.github.io/Logging_2031/tillsynsmail/A 33392-2025 tillsynsbegäran mail.docx", "A 33392-2025")</f>
        <v/>
      </c>
    </row>
    <row r="88" ht="15" customHeight="1">
      <c r="A88" t="inlineStr">
        <is>
          <t>A 45776-2021</t>
        </is>
      </c>
      <c r="B88" s="1" t="n">
        <v>44441</v>
      </c>
      <c r="C88" s="1" t="n">
        <v>46191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34396-2022</t>
        </is>
      </c>
      <c r="B89" s="1" t="n">
        <v>44792</v>
      </c>
      <c r="C89" s="1" t="n">
        <v>46191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50565-2021</t>
        </is>
      </c>
      <c r="B90" s="1" t="n">
        <v>44459</v>
      </c>
      <c r="C90" s="1" t="n">
        <v>46191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60205-2021</t>
        </is>
      </c>
      <c r="B91" s="1" t="n">
        <v>44495</v>
      </c>
      <c r="C91" s="1" t="n">
        <v>46191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60206-2021</t>
        </is>
      </c>
      <c r="B92" s="1" t="n">
        <v>44495</v>
      </c>
      <c r="C92" s="1" t="n">
        <v>46191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70472-2021</t>
        </is>
      </c>
      <c r="B93" s="1" t="n">
        <v>44536</v>
      </c>
      <c r="C93" s="1" t="n">
        <v>46191</v>
      </c>
      <c r="D93" t="inlineStr">
        <is>
          <t>DALARNAS LÄN</t>
        </is>
      </c>
      <c r="E93" t="inlineStr">
        <is>
          <t>RÄTTVIK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61083-2021</t>
        </is>
      </c>
      <c r="B94" s="1" t="n">
        <v>44497</v>
      </c>
      <c r="C94" s="1" t="n">
        <v>46191</v>
      </c>
      <c r="D94" t="inlineStr">
        <is>
          <t>DALARNAS LÄN</t>
        </is>
      </c>
      <c r="E94" t="inlineStr">
        <is>
          <t>RÄTTVIK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60207-2021</t>
        </is>
      </c>
      <c r="B95" s="1" t="n">
        <v>44495</v>
      </c>
      <c r="C95" s="1" t="n">
        <v>46191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37560-2021</t>
        </is>
      </c>
      <c r="B96" s="1" t="n">
        <v>44399</v>
      </c>
      <c r="C96" s="1" t="n">
        <v>46191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8376-2022</t>
        </is>
      </c>
      <c r="B97" s="1" t="n">
        <v>44610</v>
      </c>
      <c r="C97" s="1" t="n">
        <v>46191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50923-2021</t>
        </is>
      </c>
      <c r="B98" s="1" t="n">
        <v>44460</v>
      </c>
      <c r="C98" s="1" t="n">
        <v>46191</v>
      </c>
      <c r="D98" t="inlineStr">
        <is>
          <t>DALARNAS LÄN</t>
        </is>
      </c>
      <c r="E98" t="inlineStr">
        <is>
          <t>RÄTTVIK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48098-2021</t>
        </is>
      </c>
      <c r="B99" s="1" t="n">
        <v>44449</v>
      </c>
      <c r="C99" s="1" t="n">
        <v>46191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40791-2021</t>
        </is>
      </c>
      <c r="B100" s="1" t="n">
        <v>44421</v>
      </c>
      <c r="C100" s="1" t="n">
        <v>46191</v>
      </c>
      <c r="D100" t="inlineStr">
        <is>
          <t>DALARNAS LÄN</t>
        </is>
      </c>
      <c r="E100" t="inlineStr">
        <is>
          <t>RÄTTVIK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58314-2021</t>
        </is>
      </c>
      <c r="B101" s="1" t="n">
        <v>44488</v>
      </c>
      <c r="C101" s="1" t="n">
        <v>46191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30632-2022</t>
        </is>
      </c>
      <c r="B102" s="1" t="n">
        <v>44763</v>
      </c>
      <c r="C102" s="1" t="n">
        <v>46191</v>
      </c>
      <c r="D102" t="inlineStr">
        <is>
          <t>DALARNAS LÄN</t>
        </is>
      </c>
      <c r="E102" t="inlineStr">
        <is>
          <t>RÄTTVIK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30694-2022</t>
        </is>
      </c>
      <c r="B103" s="1" t="n">
        <v>44763</v>
      </c>
      <c r="C103" s="1" t="n">
        <v>46191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41039-2021</t>
        </is>
      </c>
      <c r="B104" s="1" t="n">
        <v>44421</v>
      </c>
      <c r="C104" s="1" t="n">
        <v>46191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29087-2022</t>
        </is>
      </c>
      <c r="B105" s="1" t="n">
        <v>44749</v>
      </c>
      <c r="C105" s="1" t="n">
        <v>46191</v>
      </c>
      <c r="D105" t="inlineStr">
        <is>
          <t>DALARNAS LÄN</t>
        </is>
      </c>
      <c r="E105" t="inlineStr">
        <is>
          <t>RÄTTVIK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54281-2021</t>
        </is>
      </c>
      <c r="B106" s="1" t="n">
        <v>44470</v>
      </c>
      <c r="C106" s="1" t="n">
        <v>46191</v>
      </c>
      <c r="D106" t="inlineStr">
        <is>
          <t>DALARNAS LÄN</t>
        </is>
      </c>
      <c r="E106" t="inlineStr">
        <is>
          <t>RÄTTVIK</t>
        </is>
      </c>
      <c r="G106" t="n">
        <v>14.8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44434-2021</t>
        </is>
      </c>
      <c r="B107" s="1" t="n">
        <v>44435</v>
      </c>
      <c r="C107" s="1" t="n">
        <v>46191</v>
      </c>
      <c r="D107" t="inlineStr">
        <is>
          <t>DALARNAS LÄN</t>
        </is>
      </c>
      <c r="E107" t="inlineStr">
        <is>
          <t>RÄTTVIK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12477-2022</t>
        </is>
      </c>
      <c r="B108" s="1" t="n">
        <v>44638</v>
      </c>
      <c r="C108" s="1" t="n">
        <v>46191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54182-2021</t>
        </is>
      </c>
      <c r="B109" s="1" t="n">
        <v>44470</v>
      </c>
      <c r="C109" s="1" t="n">
        <v>46191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26879-2022</t>
        </is>
      </c>
      <c r="B110" s="1" t="n">
        <v>44740</v>
      </c>
      <c r="C110" s="1" t="n">
        <v>46191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33771-2022</t>
        </is>
      </c>
      <c r="B111" s="1" t="n">
        <v>44790</v>
      </c>
      <c r="C111" s="1" t="n">
        <v>46191</v>
      </c>
      <c r="D111" t="inlineStr">
        <is>
          <t>DALARNAS LÄN</t>
        </is>
      </c>
      <c r="E111" t="inlineStr">
        <is>
          <t>RÄTTVIK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34567-2022</t>
        </is>
      </c>
      <c r="B112" s="1" t="n">
        <v>44795</v>
      </c>
      <c r="C112" s="1" t="n">
        <v>46191</v>
      </c>
      <c r="D112" t="inlineStr">
        <is>
          <t>DALARNAS LÄN</t>
        </is>
      </c>
      <c r="E112" t="inlineStr">
        <is>
          <t>RÄTTVIK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34570-2022</t>
        </is>
      </c>
      <c r="B113" s="1" t="n">
        <v>44795</v>
      </c>
      <c r="C113" s="1" t="n">
        <v>46191</v>
      </c>
      <c r="D113" t="inlineStr">
        <is>
          <t>DALARNAS LÄN</t>
        </is>
      </c>
      <c r="E113" t="inlineStr">
        <is>
          <t>RÄTTVIK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33404-2021</t>
        </is>
      </c>
      <c r="B114" s="1" t="n">
        <v>44377</v>
      </c>
      <c r="C114" s="1" t="n">
        <v>46191</v>
      </c>
      <c r="D114" t="inlineStr">
        <is>
          <t>DALARNAS LÄN</t>
        </is>
      </c>
      <c r="E114" t="inlineStr">
        <is>
          <t>RÄTTVIK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34137-2022</t>
        </is>
      </c>
      <c r="B115" s="1" t="n">
        <v>44791</v>
      </c>
      <c r="C115" s="1" t="n">
        <v>46191</v>
      </c>
      <c r="D115" t="inlineStr">
        <is>
          <t>DALARNAS LÄN</t>
        </is>
      </c>
      <c r="E115" t="inlineStr">
        <is>
          <t>RÄTTVIK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40973-2022</t>
        </is>
      </c>
      <c r="B116" s="1" t="n">
        <v>44824</v>
      </c>
      <c r="C116" s="1" t="n">
        <v>46191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50599-2021</t>
        </is>
      </c>
      <c r="B117" s="1" t="n">
        <v>44459</v>
      </c>
      <c r="C117" s="1" t="n">
        <v>46191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50610-2021</t>
        </is>
      </c>
      <c r="B118" s="1" t="n">
        <v>44459</v>
      </c>
      <c r="C118" s="1" t="n">
        <v>46191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</v>
      </c>
      <c r="C119" s="1" t="n">
        <v>46191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46191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</v>
      </c>
      <c r="C121" s="1" t="n">
        <v>46191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36617-2021</t>
        </is>
      </c>
      <c r="B122" s="1" t="n">
        <v>44391</v>
      </c>
      <c r="C122" s="1" t="n">
        <v>46191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</v>
      </c>
      <c r="C123" s="1" t="n">
        <v>46191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</v>
      </c>
      <c r="C124" s="1" t="n">
        <v>46191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37774-2021</t>
        </is>
      </c>
      <c r="B125" s="1" t="n">
        <v>44400</v>
      </c>
      <c r="C125" s="1" t="n">
        <v>46191</v>
      </c>
      <c r="D125" t="inlineStr">
        <is>
          <t>DALARNAS LÄN</t>
        </is>
      </c>
      <c r="E125" t="inlineStr">
        <is>
          <t>RÄTTVIK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50531-2021</t>
        </is>
      </c>
      <c r="B126" s="1" t="n">
        <v>44459</v>
      </c>
      <c r="C126" s="1" t="n">
        <v>46191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57834-2021</t>
        </is>
      </c>
      <c r="B127" s="1" t="n">
        <v>44484</v>
      </c>
      <c r="C127" s="1" t="n">
        <v>46191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</v>
      </c>
      <c r="C128" s="1" t="n">
        <v>46191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48382-2021</t>
        </is>
      </c>
      <c r="B129" s="1" t="n">
        <v>44451</v>
      </c>
      <c r="C129" s="1" t="n">
        <v>46191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</v>
      </c>
      <c r="C130" s="1" t="n">
        <v>46191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</v>
      </c>
      <c r="C131" s="1" t="n">
        <v>46191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46191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46191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</v>
      </c>
      <c r="C134" s="1" t="n">
        <v>46191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46191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46191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</v>
      </c>
      <c r="C137" s="1" t="n">
        <v>46191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46191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</v>
      </c>
      <c r="C139" s="1" t="n">
        <v>46191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</v>
      </c>
      <c r="C140" s="1" t="n">
        <v>46191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46191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46191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46191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</v>
      </c>
      <c r="C144" s="1" t="n">
        <v>46191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</v>
      </c>
      <c r="C145" s="1" t="n">
        <v>46191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46191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57827-2021</t>
        </is>
      </c>
      <c r="B147" s="1" t="n">
        <v>44484</v>
      </c>
      <c r="C147" s="1" t="n">
        <v>46191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44142-2022</t>
        </is>
      </c>
      <c r="B148" s="1" t="n">
        <v>44839</v>
      </c>
      <c r="C148" s="1" t="n">
        <v>46191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44148-2022</t>
        </is>
      </c>
      <c r="B149" s="1" t="n">
        <v>44839</v>
      </c>
      <c r="C149" s="1" t="n">
        <v>46191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39433-2021</t>
        </is>
      </c>
      <c r="B150" s="1" t="n">
        <v>44414</v>
      </c>
      <c r="C150" s="1" t="n">
        <v>46191</v>
      </c>
      <c r="D150" t="inlineStr">
        <is>
          <t>DALARNAS LÄN</t>
        </is>
      </c>
      <c r="E150" t="inlineStr">
        <is>
          <t>RÄTTVIK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73899-2021</t>
        </is>
      </c>
      <c r="B151" s="1" t="n">
        <v>44552</v>
      </c>
      <c r="C151" s="1" t="n">
        <v>46191</v>
      </c>
      <c r="D151" t="inlineStr">
        <is>
          <t>DALARNAS LÄN</t>
        </is>
      </c>
      <c r="E151" t="inlineStr">
        <is>
          <t>RÄTTVIK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74333-2021</t>
        </is>
      </c>
      <c r="B152" s="1" t="n">
        <v>44559</v>
      </c>
      <c r="C152" s="1" t="n">
        <v>46191</v>
      </c>
      <c r="D152" t="inlineStr">
        <is>
          <t>DALARNAS LÄN</t>
        </is>
      </c>
      <c r="E152" t="inlineStr">
        <is>
          <t>RÄTTVIK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35123-2022</t>
        </is>
      </c>
      <c r="B153" s="1" t="n">
        <v>44797</v>
      </c>
      <c r="C153" s="1" t="n">
        <v>46191</v>
      </c>
      <c r="D153" t="inlineStr">
        <is>
          <t>DALARNAS LÄN</t>
        </is>
      </c>
      <c r="E153" t="inlineStr">
        <is>
          <t>RÄTTVIK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72010-2021</t>
        </is>
      </c>
      <c r="B154" s="1" t="n">
        <v>44544</v>
      </c>
      <c r="C154" s="1" t="n">
        <v>46191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44985-2022</t>
        </is>
      </c>
      <c r="B155" s="1" t="n">
        <v>44841</v>
      </c>
      <c r="C155" s="1" t="n">
        <v>46191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58829-2021</t>
        </is>
      </c>
      <c r="B156" s="1" t="n">
        <v>44489</v>
      </c>
      <c r="C156" s="1" t="n">
        <v>46191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17461-2022</t>
        </is>
      </c>
      <c r="B157" s="1" t="n">
        <v>44679</v>
      </c>
      <c r="C157" s="1" t="n">
        <v>46191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17462-2022</t>
        </is>
      </c>
      <c r="B158" s="1" t="n">
        <v>44679</v>
      </c>
      <c r="C158" s="1" t="n">
        <v>46191</v>
      </c>
      <c r="D158" t="inlineStr">
        <is>
          <t>DALARNAS LÄN</t>
        </is>
      </c>
      <c r="E158" t="inlineStr">
        <is>
          <t>RÄTTVIK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2390-2022</t>
        </is>
      </c>
      <c r="B159" s="1" t="n">
        <v>44579</v>
      </c>
      <c r="C159" s="1" t="n">
        <v>46191</v>
      </c>
      <c r="D159" t="inlineStr">
        <is>
          <t>DALARNAS LÄN</t>
        </is>
      </c>
      <c r="E159" t="inlineStr">
        <is>
          <t>RÄTTVIK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25697-2022</t>
        </is>
      </c>
      <c r="B160" s="1" t="n">
        <v>44732</v>
      </c>
      <c r="C160" s="1" t="n">
        <v>46191</v>
      </c>
      <c r="D160" t="inlineStr">
        <is>
          <t>DALARNAS LÄN</t>
        </is>
      </c>
      <c r="E160" t="inlineStr">
        <is>
          <t>RÄTTVIK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37852-2021</t>
        </is>
      </c>
      <c r="B161" s="1" t="n">
        <v>44403</v>
      </c>
      <c r="C161" s="1" t="n">
        <v>46191</v>
      </c>
      <c r="D161" t="inlineStr">
        <is>
          <t>DALARNAS LÄN</t>
        </is>
      </c>
      <c r="E161" t="inlineStr">
        <is>
          <t>RÄTTVIK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45983-2021</t>
        </is>
      </c>
      <c r="B162" s="1" t="n">
        <v>44441</v>
      </c>
      <c r="C162" s="1" t="n">
        <v>46191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70544-2021</t>
        </is>
      </c>
      <c r="B163" s="1" t="n">
        <v>44537</v>
      </c>
      <c r="C163" s="1" t="n">
        <v>46191</v>
      </c>
      <c r="D163" t="inlineStr">
        <is>
          <t>DALARNAS LÄN</t>
        </is>
      </c>
      <c r="E163" t="inlineStr">
        <is>
          <t>RÄTTVIK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70730-2021</t>
        </is>
      </c>
      <c r="B164" s="1" t="n">
        <v>44537</v>
      </c>
      <c r="C164" s="1" t="n">
        <v>46191</v>
      </c>
      <c r="D164" t="inlineStr">
        <is>
          <t>DALARNAS LÄN</t>
        </is>
      </c>
      <c r="E164" t="inlineStr">
        <is>
          <t>RÄTTVIK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70737-2021</t>
        </is>
      </c>
      <c r="B165" s="1" t="n">
        <v>44537</v>
      </c>
      <c r="C165" s="1" t="n">
        <v>46191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34569-2022</t>
        </is>
      </c>
      <c r="B166" s="1" t="n">
        <v>44795</v>
      </c>
      <c r="C166" s="1" t="n">
        <v>46191</v>
      </c>
      <c r="D166" t="inlineStr">
        <is>
          <t>DALARNAS LÄN</t>
        </is>
      </c>
      <c r="E166" t="inlineStr">
        <is>
          <t>RÄTTVIK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33530-2022</t>
        </is>
      </c>
      <c r="B167" s="1" t="n">
        <v>44789</v>
      </c>
      <c r="C167" s="1" t="n">
        <v>46191</v>
      </c>
      <c r="D167" t="inlineStr">
        <is>
          <t>DALARNAS LÄN</t>
        </is>
      </c>
      <c r="E167" t="inlineStr">
        <is>
          <t>RÄTTVIK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2181-2022</t>
        </is>
      </c>
      <c r="B168" s="1" t="n">
        <v>44578</v>
      </c>
      <c r="C168" s="1" t="n">
        <v>46191</v>
      </c>
      <c r="D168" t="inlineStr">
        <is>
          <t>DALARNAS LÄN</t>
        </is>
      </c>
      <c r="E168" t="inlineStr">
        <is>
          <t>RÄTTVIK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28567-2022</t>
        </is>
      </c>
      <c r="B169" s="1" t="n">
        <v>44748</v>
      </c>
      <c r="C169" s="1" t="n">
        <v>46191</v>
      </c>
      <c r="D169" t="inlineStr">
        <is>
          <t>DALARNAS LÄN</t>
        </is>
      </c>
      <c r="E169" t="inlineStr">
        <is>
          <t>RÄTTVIK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38658-2025</t>
        </is>
      </c>
      <c r="B170" s="1" t="n">
        <v>45884</v>
      </c>
      <c r="C170" s="1" t="n">
        <v>46191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36459-2024</t>
        </is>
      </c>
      <c r="B171" s="1" t="n">
        <v>45537</v>
      </c>
      <c r="C171" s="1" t="n">
        <v>46191</v>
      </c>
      <c r="D171" t="inlineStr">
        <is>
          <t>DALARNAS LÄN</t>
        </is>
      </c>
      <c r="E171" t="inlineStr">
        <is>
          <t>RÄTTVIK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38551-2025</t>
        </is>
      </c>
      <c r="B172" s="1" t="n">
        <v>45884</v>
      </c>
      <c r="C172" s="1" t="n">
        <v>46191</v>
      </c>
      <c r="D172" t="inlineStr">
        <is>
          <t>DALARNAS LÄN</t>
        </is>
      </c>
      <c r="E172" t="inlineStr">
        <is>
          <t>RÄTTVIK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41199-2021</t>
        </is>
      </c>
      <c r="B173" s="1" t="n">
        <v>44424</v>
      </c>
      <c r="C173" s="1" t="n">
        <v>46191</v>
      </c>
      <c r="D173" t="inlineStr">
        <is>
          <t>DALARNAS LÄN</t>
        </is>
      </c>
      <c r="E173" t="inlineStr">
        <is>
          <t>RÄTTVIK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13994-2024</t>
        </is>
      </c>
      <c r="B174" s="1" t="n">
        <v>45392</v>
      </c>
      <c r="C174" s="1" t="n">
        <v>46191</v>
      </c>
      <c r="D174" t="inlineStr">
        <is>
          <t>DALARNAS LÄN</t>
        </is>
      </c>
      <c r="E174" t="inlineStr">
        <is>
          <t>RÄTTVIK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32894-2023</t>
        </is>
      </c>
      <c r="B175" s="1" t="n">
        <v>45124</v>
      </c>
      <c r="C175" s="1" t="n">
        <v>46191</v>
      </c>
      <c r="D175" t="inlineStr">
        <is>
          <t>DALARNAS LÄN</t>
        </is>
      </c>
      <c r="E175" t="inlineStr">
        <is>
          <t>RÄTTVIK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10983-2023</t>
        </is>
      </c>
      <c r="B176" s="1" t="n">
        <v>44991</v>
      </c>
      <c r="C176" s="1" t="n">
        <v>46191</v>
      </c>
      <c r="D176" t="inlineStr">
        <is>
          <t>DALARNAS LÄN</t>
        </is>
      </c>
      <c r="E176" t="inlineStr">
        <is>
          <t>RÄTTVIK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2262-2024</t>
        </is>
      </c>
      <c r="B177" s="1" t="n">
        <v>45310</v>
      </c>
      <c r="C177" s="1" t="n">
        <v>46191</v>
      </c>
      <c r="D177" t="inlineStr">
        <is>
          <t>DALARNAS LÄN</t>
        </is>
      </c>
      <c r="E177" t="inlineStr">
        <is>
          <t>RÄTTVIK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48223-2024</t>
        </is>
      </c>
      <c r="B178" s="1" t="n">
        <v>45590</v>
      </c>
      <c r="C178" s="1" t="n">
        <v>46191</v>
      </c>
      <c r="D178" t="inlineStr">
        <is>
          <t>DALARNAS LÄN</t>
        </is>
      </c>
      <c r="E178" t="inlineStr">
        <is>
          <t>RÄTTVIK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43011-2024</t>
        </is>
      </c>
      <c r="B179" s="1" t="n">
        <v>45567</v>
      </c>
      <c r="C179" s="1" t="n">
        <v>46191</v>
      </c>
      <c r="D179" t="inlineStr">
        <is>
          <t>DALARNAS LÄN</t>
        </is>
      </c>
      <c r="E179" t="inlineStr">
        <is>
          <t>RÄTTVIK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40192-2022</t>
        </is>
      </c>
      <c r="B180" s="1" t="n">
        <v>44818</v>
      </c>
      <c r="C180" s="1" t="n">
        <v>46191</v>
      </c>
      <c r="D180" t="inlineStr">
        <is>
          <t>DALARNAS LÄN</t>
        </is>
      </c>
      <c r="E180" t="inlineStr">
        <is>
          <t>RÄTTVIK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64315-2021</t>
        </is>
      </c>
      <c r="B181" s="1" t="n">
        <v>44511</v>
      </c>
      <c r="C181" s="1" t="n">
        <v>46191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49232-2021</t>
        </is>
      </c>
      <c r="B182" s="1" t="n">
        <v>44454</v>
      </c>
      <c r="C182" s="1" t="n">
        <v>46191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35403-2022</t>
        </is>
      </c>
      <c r="B183" s="1" t="n">
        <v>44798</v>
      </c>
      <c r="C183" s="1" t="n">
        <v>46191</v>
      </c>
      <c r="D183" t="inlineStr">
        <is>
          <t>DALARNAS LÄN</t>
        </is>
      </c>
      <c r="E183" t="inlineStr">
        <is>
          <t>RÄTTVIK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38307-2025</t>
        </is>
      </c>
      <c r="B184" s="1" t="n">
        <v>45883</v>
      </c>
      <c r="C184" s="1" t="n">
        <v>46191</v>
      </c>
      <c r="D184" t="inlineStr">
        <is>
          <t>DALARNAS LÄN</t>
        </is>
      </c>
      <c r="E184" t="inlineStr">
        <is>
          <t>RÄTTVIK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31552-2022</t>
        </is>
      </c>
      <c r="B185" s="1" t="n">
        <v>44775</v>
      </c>
      <c r="C185" s="1" t="n">
        <v>46191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31555-2022</t>
        </is>
      </c>
      <c r="B186" s="1" t="n">
        <v>44775</v>
      </c>
      <c r="C186" s="1" t="n">
        <v>46191</v>
      </c>
      <c r="D186" t="inlineStr">
        <is>
          <t>DALARNAS LÄN</t>
        </is>
      </c>
      <c r="E186" t="inlineStr">
        <is>
          <t>RÄTTVIK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</v>
      </c>
      <c r="C187" s="1" t="n">
        <v>46191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62207-2023</t>
        </is>
      </c>
      <c r="B188" s="1" t="n">
        <v>45267</v>
      </c>
      <c r="C188" s="1" t="n">
        <v>46191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49493-2024</t>
        </is>
      </c>
      <c r="B189" s="1" t="n">
        <v>45596</v>
      </c>
      <c r="C189" s="1" t="n">
        <v>46191</v>
      </c>
      <c r="D189" t="inlineStr">
        <is>
          <t>DALARNAS LÄN</t>
        </is>
      </c>
      <c r="E189" t="inlineStr">
        <is>
          <t>RÄTTVIK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4841-2024</t>
        </is>
      </c>
      <c r="B190" s="1" t="n">
        <v>45329</v>
      </c>
      <c r="C190" s="1" t="n">
        <v>46191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54243-2024</t>
        </is>
      </c>
      <c r="B191" s="1" t="n">
        <v>45616</v>
      </c>
      <c r="C191" s="1" t="n">
        <v>46191</v>
      </c>
      <c r="D191" t="inlineStr">
        <is>
          <t>DALARNAS LÄN</t>
        </is>
      </c>
      <c r="E191" t="inlineStr">
        <is>
          <t>RÄTTVIK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54300-2024</t>
        </is>
      </c>
      <c r="B192" s="1" t="n">
        <v>45617</v>
      </c>
      <c r="C192" s="1" t="n">
        <v>46191</v>
      </c>
      <c r="D192" t="inlineStr">
        <is>
          <t>DALARNAS LÄN</t>
        </is>
      </c>
      <c r="E192" t="inlineStr">
        <is>
          <t>RÄTTVIK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58572-2024</t>
        </is>
      </c>
      <c r="B193" s="1" t="n">
        <v>45632</v>
      </c>
      <c r="C193" s="1" t="n">
        <v>46191</v>
      </c>
      <c r="D193" t="inlineStr">
        <is>
          <t>DALARNAS LÄN</t>
        </is>
      </c>
      <c r="E193" t="inlineStr">
        <is>
          <t>RÄTTVIK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61347-2023</t>
        </is>
      </c>
      <c r="B194" s="1" t="n">
        <v>45264</v>
      </c>
      <c r="C194" s="1" t="n">
        <v>46191</v>
      </c>
      <c r="D194" t="inlineStr">
        <is>
          <t>DALARNAS LÄN</t>
        </is>
      </c>
      <c r="E194" t="inlineStr">
        <is>
          <t>RÄTTVIK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61357-2023</t>
        </is>
      </c>
      <c r="B195" s="1" t="n">
        <v>45264</v>
      </c>
      <c r="C195" s="1" t="n">
        <v>46191</v>
      </c>
      <c r="D195" t="inlineStr">
        <is>
          <t>DALARNAS LÄN</t>
        </is>
      </c>
      <c r="E195" t="inlineStr">
        <is>
          <t>RÄTTVIK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32560-2024</t>
        </is>
      </c>
      <c r="B196" s="1" t="n">
        <v>45513</v>
      </c>
      <c r="C196" s="1" t="n">
        <v>46191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41869-2023</t>
        </is>
      </c>
      <c r="B197" s="1" t="n">
        <v>45176</v>
      </c>
      <c r="C197" s="1" t="n">
        <v>46191</v>
      </c>
      <c r="D197" t="inlineStr">
        <is>
          <t>DALARNAS LÄN</t>
        </is>
      </c>
      <c r="E197" t="inlineStr">
        <is>
          <t>RÄTTVIK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46428-2024</t>
        </is>
      </c>
      <c r="B198" s="1" t="n">
        <v>45582</v>
      </c>
      <c r="C198" s="1" t="n">
        <v>46191</v>
      </c>
      <c r="D198" t="inlineStr">
        <is>
          <t>DALARNAS LÄN</t>
        </is>
      </c>
      <c r="E198" t="inlineStr">
        <is>
          <t>RÄTTVIK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43563-2024</t>
        </is>
      </c>
      <c r="B199" s="1" t="n">
        <v>45569</v>
      </c>
      <c r="C199" s="1" t="n">
        <v>46191</v>
      </c>
      <c r="D199" t="inlineStr">
        <is>
          <t>DALARNAS LÄN</t>
        </is>
      </c>
      <c r="E199" t="inlineStr">
        <is>
          <t>RÄTTVIK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39098-2025</t>
        </is>
      </c>
      <c r="B200" s="1" t="n">
        <v>45888</v>
      </c>
      <c r="C200" s="1" t="n">
        <v>46191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55203-2021</t>
        </is>
      </c>
      <c r="B201" s="1" t="n">
        <v>44475</v>
      </c>
      <c r="C201" s="1" t="n">
        <v>46191</v>
      </c>
      <c r="D201" t="inlineStr">
        <is>
          <t>DALARNAS LÄN</t>
        </is>
      </c>
      <c r="E201" t="inlineStr">
        <is>
          <t>RÄTTVIK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37120-2024</t>
        </is>
      </c>
      <c r="B202" s="1" t="n">
        <v>45539</v>
      </c>
      <c r="C202" s="1" t="n">
        <v>46191</v>
      </c>
      <c r="D202" t="inlineStr">
        <is>
          <t>DALARNAS LÄN</t>
        </is>
      </c>
      <c r="E202" t="inlineStr">
        <is>
          <t>RÄTTVIK</t>
        </is>
      </c>
      <c r="G202" t="n">
        <v>13.6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37131-2024</t>
        </is>
      </c>
      <c r="B203" s="1" t="n">
        <v>45539</v>
      </c>
      <c r="C203" s="1" t="n">
        <v>46191</v>
      </c>
      <c r="D203" t="inlineStr">
        <is>
          <t>DALARNAS LÄN</t>
        </is>
      </c>
      <c r="E203" t="inlineStr">
        <is>
          <t>RÄTTVIK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55122-2024</t>
        </is>
      </c>
      <c r="B204" s="1" t="n">
        <v>45618</v>
      </c>
      <c r="C204" s="1" t="n">
        <v>46191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38671-2025</t>
        </is>
      </c>
      <c r="B205" s="1" t="n">
        <v>45884</v>
      </c>
      <c r="C205" s="1" t="n">
        <v>46191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6699-2025</t>
        </is>
      </c>
      <c r="B206" s="1" t="n">
        <v>45700</v>
      </c>
      <c r="C206" s="1" t="n">
        <v>46191</v>
      </c>
      <c r="D206" t="inlineStr">
        <is>
          <t>DALARNAS LÄN</t>
        </is>
      </c>
      <c r="E206" t="inlineStr">
        <is>
          <t>RÄTTVIK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40216-2025</t>
        </is>
      </c>
      <c r="B207" s="1" t="n">
        <v>45894</v>
      </c>
      <c r="C207" s="1" t="n">
        <v>46191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2629-2026</t>
        </is>
      </c>
      <c r="B208" s="1" t="n">
        <v>46037</v>
      </c>
      <c r="C208" s="1" t="n">
        <v>46191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40381-2025</t>
        </is>
      </c>
      <c r="B209" s="1" t="n">
        <v>45895</v>
      </c>
      <c r="C209" s="1" t="n">
        <v>46191</v>
      </c>
      <c r="D209" t="inlineStr">
        <is>
          <t>DALARNAS LÄN</t>
        </is>
      </c>
      <c r="E209" t="inlineStr">
        <is>
          <t>RÄTTVIK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40399-2025</t>
        </is>
      </c>
      <c r="B210" s="1" t="n">
        <v>45895</v>
      </c>
      <c r="C210" s="1" t="n">
        <v>46191</v>
      </c>
      <c r="D210" t="inlineStr">
        <is>
          <t>DALARNAS LÄN</t>
        </is>
      </c>
      <c r="E210" t="inlineStr">
        <is>
          <t>RÄTTVIK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40493-2025</t>
        </is>
      </c>
      <c r="B211" s="1" t="n">
        <v>45896</v>
      </c>
      <c r="C211" s="1" t="n">
        <v>46191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3449-2026</t>
        </is>
      </c>
      <c r="B212" s="1" t="n">
        <v>46042</v>
      </c>
      <c r="C212" s="1" t="n">
        <v>46191</v>
      </c>
      <c r="D212" t="inlineStr">
        <is>
          <t>DALARNAS LÄN</t>
        </is>
      </c>
      <c r="E212" t="inlineStr">
        <is>
          <t>RÄTTVIK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65176-2021</t>
        </is>
      </c>
      <c r="B213" s="1" t="n">
        <v>44515</v>
      </c>
      <c r="C213" s="1" t="n">
        <v>46191</v>
      </c>
      <c r="D213" t="inlineStr">
        <is>
          <t>DALARNAS LÄN</t>
        </is>
      </c>
      <c r="E213" t="inlineStr">
        <is>
          <t>RÄTTVIK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3466-2026</t>
        </is>
      </c>
      <c r="B214" s="1" t="n">
        <v>46042</v>
      </c>
      <c r="C214" s="1" t="n">
        <v>46191</v>
      </c>
      <c r="D214" t="inlineStr">
        <is>
          <t>DALARNAS LÄN</t>
        </is>
      </c>
      <c r="E214" t="inlineStr">
        <is>
          <t>RÄTTVIK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3476-2026</t>
        </is>
      </c>
      <c r="B215" s="1" t="n">
        <v>46042</v>
      </c>
      <c r="C215" s="1" t="n">
        <v>46191</v>
      </c>
      <c r="D215" t="inlineStr">
        <is>
          <t>DALARNAS LÄN</t>
        </is>
      </c>
      <c r="E215" t="inlineStr">
        <is>
          <t>RÄTTVIK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36172-2024</t>
        </is>
      </c>
      <c r="B216" s="1" t="n">
        <v>45534</v>
      </c>
      <c r="C216" s="1" t="n">
        <v>46191</v>
      </c>
      <c r="D216" t="inlineStr">
        <is>
          <t>DALARNAS LÄN</t>
        </is>
      </c>
      <c r="E216" t="inlineStr">
        <is>
          <t>RÄTTVIK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50153-2024</t>
        </is>
      </c>
      <c r="B217" s="1" t="n">
        <v>45600</v>
      </c>
      <c r="C217" s="1" t="n">
        <v>46191</v>
      </c>
      <c r="D217" t="inlineStr">
        <is>
          <t>DALARNAS LÄN</t>
        </is>
      </c>
      <c r="E217" t="inlineStr">
        <is>
          <t>RÄTTVIK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2835-2026</t>
        </is>
      </c>
      <c r="B218" s="1" t="n">
        <v>46038</v>
      </c>
      <c r="C218" s="1" t="n">
        <v>46191</v>
      </c>
      <c r="D218" t="inlineStr">
        <is>
          <t>DALARNAS LÄN</t>
        </is>
      </c>
      <c r="E218" t="inlineStr">
        <is>
          <t>RÄTTVIK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3448-2026</t>
        </is>
      </c>
      <c r="B219" s="1" t="n">
        <v>46042</v>
      </c>
      <c r="C219" s="1" t="n">
        <v>46191</v>
      </c>
      <c r="D219" t="inlineStr">
        <is>
          <t>DALARNAS LÄN</t>
        </is>
      </c>
      <c r="E219" t="inlineStr">
        <is>
          <t>RÄTTVIK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40981-2025</t>
        </is>
      </c>
      <c r="B220" s="1" t="n">
        <v>45898</v>
      </c>
      <c r="C220" s="1" t="n">
        <v>46191</v>
      </c>
      <c r="D220" t="inlineStr">
        <is>
          <t>DALARNAS LÄN</t>
        </is>
      </c>
      <c r="E220" t="inlineStr">
        <is>
          <t>RÄTTVIK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42079-2025</t>
        </is>
      </c>
      <c r="B221" s="1" t="n">
        <v>45902</v>
      </c>
      <c r="C221" s="1" t="n">
        <v>46191</v>
      </c>
      <c r="D221" t="inlineStr">
        <is>
          <t>DALARNAS LÄN</t>
        </is>
      </c>
      <c r="E221" t="inlineStr">
        <is>
          <t>RÄTTVIK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4061-2026</t>
        </is>
      </c>
      <c r="B222" s="1" t="n">
        <v>46044</v>
      </c>
      <c r="C222" s="1" t="n">
        <v>46191</v>
      </c>
      <c r="D222" t="inlineStr">
        <is>
          <t>DALARNAS LÄN</t>
        </is>
      </c>
      <c r="E222" t="inlineStr">
        <is>
          <t>RÄTTVIK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3797-2026</t>
        </is>
      </c>
      <c r="B223" s="1" t="n">
        <v>46043</v>
      </c>
      <c r="C223" s="1" t="n">
        <v>46191</v>
      </c>
      <c r="D223" t="inlineStr">
        <is>
          <t>DALARNAS LÄN</t>
        </is>
      </c>
      <c r="E223" t="inlineStr">
        <is>
          <t>RÄTTVIK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5520-2024</t>
        </is>
      </c>
      <c r="B224" s="1" t="n">
        <v>45334</v>
      </c>
      <c r="C224" s="1" t="n">
        <v>46191</v>
      </c>
      <c r="D224" t="inlineStr">
        <is>
          <t>DALARNAS LÄN</t>
        </is>
      </c>
      <c r="E224" t="inlineStr">
        <is>
          <t>RÄTTVIK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54199-2023</t>
        </is>
      </c>
      <c r="B225" s="1" t="n">
        <v>45225</v>
      </c>
      <c r="C225" s="1" t="n">
        <v>46191</v>
      </c>
      <c r="D225" t="inlineStr">
        <is>
          <t>DALARNAS LÄN</t>
        </is>
      </c>
      <c r="E225" t="inlineStr">
        <is>
          <t>RÄTTVIK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27962-2024</t>
        </is>
      </c>
      <c r="B226" s="1" t="n">
        <v>45476</v>
      </c>
      <c r="C226" s="1" t="n">
        <v>46191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4092-2026</t>
        </is>
      </c>
      <c r="B227" s="1" t="n">
        <v>46044</v>
      </c>
      <c r="C227" s="1" t="n">
        <v>46191</v>
      </c>
      <c r="D227" t="inlineStr">
        <is>
          <t>DALARNAS LÄN</t>
        </is>
      </c>
      <c r="E227" t="inlineStr">
        <is>
          <t>RÄTTVIK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16833-2023</t>
        </is>
      </c>
      <c r="B228" s="1" t="n">
        <v>45033</v>
      </c>
      <c r="C228" s="1" t="n">
        <v>46191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41862-2025</t>
        </is>
      </c>
      <c r="B229" s="1" t="n">
        <v>45903</v>
      </c>
      <c r="C229" s="1" t="n">
        <v>46191</v>
      </c>
      <c r="D229" t="inlineStr">
        <is>
          <t>DALARNAS LÄN</t>
        </is>
      </c>
      <c r="E229" t="inlineStr">
        <is>
          <t>RÄTTVIK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4648-2026</t>
        </is>
      </c>
      <c r="B230" s="1" t="n">
        <v>46048</v>
      </c>
      <c r="C230" s="1" t="n">
        <v>46191</v>
      </c>
      <c r="D230" t="inlineStr">
        <is>
          <t>DALARNAS LÄN</t>
        </is>
      </c>
      <c r="E230" t="inlineStr">
        <is>
          <t>RÄTTVIK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41879-2025</t>
        </is>
      </c>
      <c r="B231" s="1" t="n">
        <v>45903</v>
      </c>
      <c r="C231" s="1" t="n">
        <v>46191</v>
      </c>
      <c r="D231" t="inlineStr">
        <is>
          <t>DALARNAS LÄN</t>
        </is>
      </c>
      <c r="E231" t="inlineStr">
        <is>
          <t>RÄTTVIK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3-2022</t>
        </is>
      </c>
      <c r="B232" s="1" t="n">
        <v>44562</v>
      </c>
      <c r="C232" s="1" t="n">
        <v>46191</v>
      </c>
      <c r="D232" t="inlineStr">
        <is>
          <t>DALARNAS LÄN</t>
        </is>
      </c>
      <c r="E232" t="inlineStr">
        <is>
          <t>RÄTTVIK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43592-2023</t>
        </is>
      </c>
      <c r="B233" s="1" t="n">
        <v>45181</v>
      </c>
      <c r="C233" s="1" t="n">
        <v>46191</v>
      </c>
      <c r="D233" t="inlineStr">
        <is>
          <t>DALARNAS LÄN</t>
        </is>
      </c>
      <c r="E233" t="inlineStr">
        <is>
          <t>RÄTTVIK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4824-2026</t>
        </is>
      </c>
      <c r="B234" s="1" t="n">
        <v>46048</v>
      </c>
      <c r="C234" s="1" t="n">
        <v>46191</v>
      </c>
      <c r="D234" t="inlineStr">
        <is>
          <t>DALARNAS LÄN</t>
        </is>
      </c>
      <c r="E234" t="inlineStr">
        <is>
          <t>RÄTTVIK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4707-2026</t>
        </is>
      </c>
      <c r="B235" s="1" t="n">
        <v>46048</v>
      </c>
      <c r="C235" s="1" t="n">
        <v>46191</v>
      </c>
      <c r="D235" t="inlineStr">
        <is>
          <t>DALARNAS LÄN</t>
        </is>
      </c>
      <c r="E235" t="inlineStr">
        <is>
          <t>RÄTTVIK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42461-2025</t>
        </is>
      </c>
      <c r="B236" s="1" t="n">
        <v>45905</v>
      </c>
      <c r="C236" s="1" t="n">
        <v>46191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42447-2025</t>
        </is>
      </c>
      <c r="B237" s="1" t="n">
        <v>45905</v>
      </c>
      <c r="C237" s="1" t="n">
        <v>46191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42735-2025</t>
        </is>
      </c>
      <c r="B238" s="1" t="n">
        <v>45908</v>
      </c>
      <c r="C238" s="1" t="n">
        <v>46191</v>
      </c>
      <c r="D238" t="inlineStr">
        <is>
          <t>DALARNAS LÄN</t>
        </is>
      </c>
      <c r="E238" t="inlineStr">
        <is>
          <t>RÄTTVIK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40344-2023</t>
        </is>
      </c>
      <c r="B239" s="1" t="n">
        <v>45168</v>
      </c>
      <c r="C239" s="1" t="n">
        <v>46191</v>
      </c>
      <c r="D239" t="inlineStr">
        <is>
          <t>DALARNAS LÄN</t>
        </is>
      </c>
      <c r="E239" t="inlineStr">
        <is>
          <t>RÄTTVIK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43258-2025</t>
        </is>
      </c>
      <c r="B240" s="1" t="n">
        <v>45910</v>
      </c>
      <c r="C240" s="1" t="n">
        <v>46191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5005-2026</t>
        </is>
      </c>
      <c r="B241" s="1" t="n">
        <v>46049</v>
      </c>
      <c r="C241" s="1" t="n">
        <v>46191</v>
      </c>
      <c r="D241" t="inlineStr">
        <is>
          <t>DALARNAS LÄN</t>
        </is>
      </c>
      <c r="E241" t="inlineStr">
        <is>
          <t>RÄTTVIK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43282-2025</t>
        </is>
      </c>
      <c r="B242" s="1" t="n">
        <v>45910</v>
      </c>
      <c r="C242" s="1" t="n">
        <v>46191</v>
      </c>
      <c r="D242" t="inlineStr">
        <is>
          <t>DALARNAS LÄN</t>
        </is>
      </c>
      <c r="E242" t="inlineStr">
        <is>
          <t>RÄTTVIK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40994-2024</t>
        </is>
      </c>
      <c r="B243" s="1" t="n">
        <v>45558</v>
      </c>
      <c r="C243" s="1" t="n">
        <v>46191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5430-2026</t>
        </is>
      </c>
      <c r="B244" s="1" t="n">
        <v>46050</v>
      </c>
      <c r="C244" s="1" t="n">
        <v>46191</v>
      </c>
      <c r="D244" t="inlineStr">
        <is>
          <t>DALARNAS LÄN</t>
        </is>
      </c>
      <c r="E244" t="inlineStr">
        <is>
          <t>RÄTTVIK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60588-2024</t>
        </is>
      </c>
      <c r="B245" s="1" t="n">
        <v>45644</v>
      </c>
      <c r="C245" s="1" t="n">
        <v>46191</v>
      </c>
      <c r="D245" t="inlineStr">
        <is>
          <t>DALARNAS LÄN</t>
        </is>
      </c>
      <c r="E245" t="inlineStr">
        <is>
          <t>RÄTTVIK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36952-2022</t>
        </is>
      </c>
      <c r="B246" s="1" t="n">
        <v>44806</v>
      </c>
      <c r="C246" s="1" t="n">
        <v>46191</v>
      </c>
      <c r="D246" t="inlineStr">
        <is>
          <t>DALARNAS LÄN</t>
        </is>
      </c>
      <c r="E246" t="inlineStr">
        <is>
          <t>RÄTTVIK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5156-2024</t>
        </is>
      </c>
      <c r="B247" s="1" t="n">
        <v>45330</v>
      </c>
      <c r="C247" s="1" t="n">
        <v>46191</v>
      </c>
      <c r="D247" t="inlineStr">
        <is>
          <t>DALARNAS LÄN</t>
        </is>
      </c>
      <c r="E247" t="inlineStr">
        <is>
          <t>RÄTTVIK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40435-2024</t>
        </is>
      </c>
      <c r="B248" s="1" t="n">
        <v>45555</v>
      </c>
      <c r="C248" s="1" t="n">
        <v>46191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43937-2025</t>
        </is>
      </c>
      <c r="B249" s="1" t="n">
        <v>45915</v>
      </c>
      <c r="C249" s="1" t="n">
        <v>46191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51354-2022</t>
        </is>
      </c>
      <c r="B250" s="1" t="n">
        <v>44866</v>
      </c>
      <c r="C250" s="1" t="n">
        <v>46191</v>
      </c>
      <c r="D250" t="inlineStr">
        <is>
          <t>DALARNAS LÄN</t>
        </is>
      </c>
      <c r="E250" t="inlineStr">
        <is>
          <t>RÄTTVIK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55893-2024</t>
        </is>
      </c>
      <c r="B251" s="1" t="n">
        <v>45623</v>
      </c>
      <c r="C251" s="1" t="n">
        <v>46191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43935-2025</t>
        </is>
      </c>
      <c r="B252" s="1" t="n">
        <v>45915</v>
      </c>
      <c r="C252" s="1" t="n">
        <v>46191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43941-2025</t>
        </is>
      </c>
      <c r="B253" s="1" t="n">
        <v>45915</v>
      </c>
      <c r="C253" s="1" t="n">
        <v>46191</v>
      </c>
      <c r="D253" t="inlineStr">
        <is>
          <t>DALARNAS LÄN</t>
        </is>
      </c>
      <c r="E253" t="inlineStr">
        <is>
          <t>RÄTTVIK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6291-2026</t>
        </is>
      </c>
      <c r="B254" s="1" t="n">
        <v>46055</v>
      </c>
      <c r="C254" s="1" t="n">
        <v>46191</v>
      </c>
      <c r="D254" t="inlineStr">
        <is>
          <t>DALARNAS LÄN</t>
        </is>
      </c>
      <c r="E254" t="inlineStr">
        <is>
          <t>RÄTTVIK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43945-2025</t>
        </is>
      </c>
      <c r="B255" s="1" t="n">
        <v>45915</v>
      </c>
      <c r="C255" s="1" t="n">
        <v>46191</v>
      </c>
      <c r="D255" t="inlineStr">
        <is>
          <t>DALARNAS LÄN</t>
        </is>
      </c>
      <c r="E255" t="inlineStr">
        <is>
          <t>RÄTTVIK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44264-2025</t>
        </is>
      </c>
      <c r="B256" s="1" t="n">
        <v>45916</v>
      </c>
      <c r="C256" s="1" t="n">
        <v>46191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15133-2024</t>
        </is>
      </c>
      <c r="B257" s="1" t="n">
        <v>45399</v>
      </c>
      <c r="C257" s="1" t="n">
        <v>46191</v>
      </c>
      <c r="D257" t="inlineStr">
        <is>
          <t>DALARNAS LÄN</t>
        </is>
      </c>
      <c r="E257" t="inlineStr">
        <is>
          <t>RÄTTVIK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60483-2023</t>
        </is>
      </c>
      <c r="B258" s="1" t="n">
        <v>45259</v>
      </c>
      <c r="C258" s="1" t="n">
        <v>46191</v>
      </c>
      <c r="D258" t="inlineStr">
        <is>
          <t>DALARNAS LÄN</t>
        </is>
      </c>
      <c r="E258" t="inlineStr">
        <is>
          <t>RÄTTVIK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6470-2026</t>
        </is>
      </c>
      <c r="B259" s="1" t="n">
        <v>46056</v>
      </c>
      <c r="C259" s="1" t="n">
        <v>46191</v>
      </c>
      <c r="D259" t="inlineStr">
        <is>
          <t>DALARNAS LÄN</t>
        </is>
      </c>
      <c r="E259" t="inlineStr">
        <is>
          <t>RÄTTVIK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23408-2024</t>
        </is>
      </c>
      <c r="B260" s="1" t="n">
        <v>45453</v>
      </c>
      <c r="C260" s="1" t="n">
        <v>46191</v>
      </c>
      <c r="D260" t="inlineStr">
        <is>
          <t>DALARNAS LÄN</t>
        </is>
      </c>
      <c r="E260" t="inlineStr">
        <is>
          <t>RÄTTVIK</t>
        </is>
      </c>
      <c r="F260" t="inlineStr">
        <is>
          <t>Allmännings- och besparingsskogar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8126-2024</t>
        </is>
      </c>
      <c r="B261" s="1" t="n">
        <v>45351</v>
      </c>
      <c r="C261" s="1" t="n">
        <v>46191</v>
      </c>
      <c r="D261" t="inlineStr">
        <is>
          <t>DALARNAS LÄN</t>
        </is>
      </c>
      <c r="E261" t="inlineStr">
        <is>
          <t>RÄTTVIK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6858-2026</t>
        </is>
      </c>
      <c r="B262" s="1" t="n">
        <v>46057</v>
      </c>
      <c r="C262" s="1" t="n">
        <v>46191</v>
      </c>
      <c r="D262" t="inlineStr">
        <is>
          <t>DALARNAS LÄN</t>
        </is>
      </c>
      <c r="E262" t="inlineStr">
        <is>
          <t>RÄTTVIK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2734-2025</t>
        </is>
      </c>
      <c r="B263" s="1" t="n">
        <v>45677</v>
      </c>
      <c r="C263" s="1" t="n">
        <v>46191</v>
      </c>
      <c r="D263" t="inlineStr">
        <is>
          <t>DALARNAS LÄN</t>
        </is>
      </c>
      <c r="E263" t="inlineStr">
        <is>
          <t>RÄTTVIK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43729-2023</t>
        </is>
      </c>
      <c r="B264" s="1" t="n">
        <v>45187</v>
      </c>
      <c r="C264" s="1" t="n">
        <v>46191</v>
      </c>
      <c r="D264" t="inlineStr">
        <is>
          <t>DALARNAS LÄN</t>
        </is>
      </c>
      <c r="E264" t="inlineStr">
        <is>
          <t>RÄTTVIK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13744-2025</t>
        </is>
      </c>
      <c r="B265" s="1" t="n">
        <v>45737</v>
      </c>
      <c r="C265" s="1" t="n">
        <v>46191</v>
      </c>
      <c r="D265" t="inlineStr">
        <is>
          <t>DALARNAS LÄN</t>
        </is>
      </c>
      <c r="E265" t="inlineStr">
        <is>
          <t>RÄTTVIK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46905-2023</t>
        </is>
      </c>
      <c r="B266" s="1" t="n">
        <v>45201</v>
      </c>
      <c r="C266" s="1" t="n">
        <v>46191</v>
      </c>
      <c r="D266" t="inlineStr">
        <is>
          <t>DALARNAS LÄN</t>
        </is>
      </c>
      <c r="E266" t="inlineStr">
        <is>
          <t>RÄTTVIK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50695-2023</t>
        </is>
      </c>
      <c r="B267" s="1" t="n">
        <v>45217</v>
      </c>
      <c r="C267" s="1" t="n">
        <v>46191</v>
      </c>
      <c r="D267" t="inlineStr">
        <is>
          <t>DALARNAS LÄN</t>
        </is>
      </c>
      <c r="E267" t="inlineStr">
        <is>
          <t>RÄTTVIK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45295-2025</t>
        </is>
      </c>
      <c r="B268" s="1" t="n">
        <v>45920</v>
      </c>
      <c r="C268" s="1" t="n">
        <v>46191</v>
      </c>
      <c r="D268" t="inlineStr">
        <is>
          <t>DALARNAS LÄN</t>
        </is>
      </c>
      <c r="E268" t="inlineStr">
        <is>
          <t>RÄTTVIK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45049-2025</t>
        </is>
      </c>
      <c r="B269" s="1" t="n">
        <v>45919</v>
      </c>
      <c r="C269" s="1" t="n">
        <v>46191</v>
      </c>
      <c r="D269" t="inlineStr">
        <is>
          <t>DALARNAS LÄN</t>
        </is>
      </c>
      <c r="E269" t="inlineStr">
        <is>
          <t>RÄTTVIK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7663-2026</t>
        </is>
      </c>
      <c r="B270" s="1" t="n">
        <v>46062</v>
      </c>
      <c r="C270" s="1" t="n">
        <v>46191</v>
      </c>
      <c r="D270" t="inlineStr">
        <is>
          <t>DALARNAS LÄN</t>
        </is>
      </c>
      <c r="E270" t="inlineStr">
        <is>
          <t>RÄTTVIK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7790-2026</t>
        </is>
      </c>
      <c r="B271" s="1" t="n">
        <v>46062</v>
      </c>
      <c r="C271" s="1" t="n">
        <v>46191</v>
      </c>
      <c r="D271" t="inlineStr">
        <is>
          <t>DALARNAS LÄN</t>
        </is>
      </c>
      <c r="E271" t="inlineStr">
        <is>
          <t>RÄTTVIK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45826-2025</t>
        </is>
      </c>
      <c r="B272" s="1" t="n">
        <v>45923</v>
      </c>
      <c r="C272" s="1" t="n">
        <v>46191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56553-2023</t>
        </is>
      </c>
      <c r="B273" s="1" t="n">
        <v>45243</v>
      </c>
      <c r="C273" s="1" t="n">
        <v>46191</v>
      </c>
      <c r="D273" t="inlineStr">
        <is>
          <t>DALARNAS LÄN</t>
        </is>
      </c>
      <c r="E273" t="inlineStr">
        <is>
          <t>RÄTTVIK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7805-2026</t>
        </is>
      </c>
      <c r="B274" s="1" t="n">
        <v>46062</v>
      </c>
      <c r="C274" s="1" t="n">
        <v>46191</v>
      </c>
      <c r="D274" t="inlineStr">
        <is>
          <t>DALARNAS LÄN</t>
        </is>
      </c>
      <c r="E274" t="inlineStr">
        <is>
          <t>RÄTTVIK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45681-2025</t>
        </is>
      </c>
      <c r="B275" s="1" t="n">
        <v>45923</v>
      </c>
      <c r="C275" s="1" t="n">
        <v>46191</v>
      </c>
      <c r="D275" t="inlineStr">
        <is>
          <t>DALARNAS LÄN</t>
        </is>
      </c>
      <c r="E275" t="inlineStr">
        <is>
          <t>RÄTTVIK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7663-2026</t>
        </is>
      </c>
      <c r="B276" s="1" t="n">
        <v>46062</v>
      </c>
      <c r="C276" s="1" t="n">
        <v>46191</v>
      </c>
      <c r="D276" t="inlineStr">
        <is>
          <t>DALARNAS LÄN</t>
        </is>
      </c>
      <c r="E276" t="inlineStr">
        <is>
          <t>RÄTTVIK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373-2026</t>
        </is>
      </c>
      <c r="B277" s="1" t="n">
        <v>46027</v>
      </c>
      <c r="C277" s="1" t="n">
        <v>46191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8173-2026</t>
        </is>
      </c>
      <c r="B278" s="1" t="n">
        <v>46064</v>
      </c>
      <c r="C278" s="1" t="n">
        <v>46191</v>
      </c>
      <c r="D278" t="inlineStr">
        <is>
          <t>DALARNAS LÄN</t>
        </is>
      </c>
      <c r="E278" t="inlineStr">
        <is>
          <t>RÄTTVIK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45806-2025</t>
        </is>
      </c>
      <c r="B279" s="1" t="n">
        <v>45923</v>
      </c>
      <c r="C279" s="1" t="n">
        <v>46191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8140-2026</t>
        </is>
      </c>
      <c r="B280" s="1" t="n">
        <v>46064</v>
      </c>
      <c r="C280" s="1" t="n">
        <v>46191</v>
      </c>
      <c r="D280" t="inlineStr">
        <is>
          <t>DALARNAS LÄN</t>
        </is>
      </c>
      <c r="E280" t="inlineStr">
        <is>
          <t>RÄTTVIK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45726-2025</t>
        </is>
      </c>
      <c r="B281" s="1" t="n">
        <v>45923</v>
      </c>
      <c r="C281" s="1" t="n">
        <v>46191</v>
      </c>
      <c r="D281" t="inlineStr">
        <is>
          <t>DALARNAS LÄN</t>
        </is>
      </c>
      <c r="E281" t="inlineStr">
        <is>
          <t>RÄTTVIK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51872-2023</t>
        </is>
      </c>
      <c r="B282" s="1" t="n">
        <v>45223</v>
      </c>
      <c r="C282" s="1" t="n">
        <v>46191</v>
      </c>
      <c r="D282" t="inlineStr">
        <is>
          <t>DALARNAS LÄN</t>
        </is>
      </c>
      <c r="E282" t="inlineStr">
        <is>
          <t>RÄTTVIK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8141-2026</t>
        </is>
      </c>
      <c r="B283" s="1" t="n">
        <v>46064</v>
      </c>
      <c r="C283" s="1" t="n">
        <v>46191</v>
      </c>
      <c r="D283" t="inlineStr">
        <is>
          <t>DALARNAS LÄN</t>
        </is>
      </c>
      <c r="E283" t="inlineStr">
        <is>
          <t>RÄTTVIK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46248-2025</t>
        </is>
      </c>
      <c r="B284" s="1" t="n">
        <v>45925</v>
      </c>
      <c r="C284" s="1" t="n">
        <v>46191</v>
      </c>
      <c r="D284" t="inlineStr">
        <is>
          <t>DALARNAS LÄN</t>
        </is>
      </c>
      <c r="E284" t="inlineStr">
        <is>
          <t>RÄTTVIK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4150-2023</t>
        </is>
      </c>
      <c r="B285" s="1" t="n">
        <v>44953</v>
      </c>
      <c r="C285" s="1" t="n">
        <v>46191</v>
      </c>
      <c r="D285" t="inlineStr">
        <is>
          <t>DALARNAS LÄN</t>
        </is>
      </c>
      <c r="E285" t="inlineStr">
        <is>
          <t>RÄTTVIK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46389-2025</t>
        </is>
      </c>
      <c r="B286" s="1" t="n">
        <v>45925</v>
      </c>
      <c r="C286" s="1" t="n">
        <v>46191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HYPERLINK("https://klasma.github.io/Logging_2031/knärot/A 46389-2025 karta knärot.png", "A 46389-2025")</f>
        <v/>
      </c>
      <c r="V286">
        <f>HYPERLINK("https://klasma.github.io/Logging_2031/klagomål/A 46389-2025 FSC-klagomål.docx", "A 46389-2025")</f>
        <v/>
      </c>
      <c r="W286">
        <f>HYPERLINK("https://klasma.github.io/Logging_2031/klagomålsmail/A 46389-2025 FSC-klagomål mail.docx", "A 46389-2025")</f>
        <v/>
      </c>
      <c r="X286">
        <f>HYPERLINK("https://klasma.github.io/Logging_2031/tillsyn/A 46389-2025 tillsynsbegäran.docx", "A 46389-2025")</f>
        <v/>
      </c>
      <c r="Y286">
        <f>HYPERLINK("https://klasma.github.io/Logging_2031/tillsynsmail/A 46389-2025 tillsynsbegäran mail.docx", "A 46389-2025")</f>
        <v/>
      </c>
    </row>
    <row r="287" ht="15" customHeight="1">
      <c r="A287" t="inlineStr">
        <is>
          <t>A 46394-2025</t>
        </is>
      </c>
      <c r="B287" s="1" t="n">
        <v>45925</v>
      </c>
      <c r="C287" s="1" t="n">
        <v>46191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7915-2026</t>
        </is>
      </c>
      <c r="B288" s="1" t="n">
        <v>46063</v>
      </c>
      <c r="C288" s="1" t="n">
        <v>46191</v>
      </c>
      <c r="D288" t="inlineStr">
        <is>
          <t>DALARNAS LÄN</t>
        </is>
      </c>
      <c r="E288" t="inlineStr">
        <is>
          <t>RÄTTVIK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4417-2025</t>
        </is>
      </c>
      <c r="B289" s="1" t="n">
        <v>45686</v>
      </c>
      <c r="C289" s="1" t="n">
        <v>46191</v>
      </c>
      <c r="D289" t="inlineStr">
        <is>
          <t>DALARNAS LÄN</t>
        </is>
      </c>
      <c r="E289" t="inlineStr">
        <is>
          <t>RÄTTVIK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8695-2026</t>
        </is>
      </c>
      <c r="B290" s="1" t="n">
        <v>46066</v>
      </c>
      <c r="C290" s="1" t="n">
        <v>46191</v>
      </c>
      <c r="D290" t="inlineStr">
        <is>
          <t>DALARNAS LÄN</t>
        </is>
      </c>
      <c r="E290" t="inlineStr">
        <is>
          <t>RÄTTVIK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8766-2026</t>
        </is>
      </c>
      <c r="B291" s="1" t="n">
        <v>46066</v>
      </c>
      <c r="C291" s="1" t="n">
        <v>46191</v>
      </c>
      <c r="D291" t="inlineStr">
        <is>
          <t>DALARNAS LÄN</t>
        </is>
      </c>
      <c r="E291" t="inlineStr">
        <is>
          <t>RÄTTVIK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8393-2026</t>
        </is>
      </c>
      <c r="B292" s="1" t="n">
        <v>46065</v>
      </c>
      <c r="C292" s="1" t="n">
        <v>46191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41542-2024</t>
        </is>
      </c>
      <c r="B293" s="1" t="n">
        <v>45560</v>
      </c>
      <c r="C293" s="1" t="n">
        <v>46191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8665-2026</t>
        </is>
      </c>
      <c r="B294" s="1" t="n">
        <v>46066</v>
      </c>
      <c r="C294" s="1" t="n">
        <v>46191</v>
      </c>
      <c r="D294" t="inlineStr">
        <is>
          <t>DALARNAS LÄN</t>
        </is>
      </c>
      <c r="E294" t="inlineStr">
        <is>
          <t>RÄTTVIK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47286-2025</t>
        </is>
      </c>
      <c r="B295" s="1" t="n">
        <v>45930</v>
      </c>
      <c r="C295" s="1" t="n">
        <v>46191</v>
      </c>
      <c r="D295" t="inlineStr">
        <is>
          <t>DALARNAS LÄN</t>
        </is>
      </c>
      <c r="E295" t="inlineStr">
        <is>
          <t>RÄTTVIK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8458-2026</t>
        </is>
      </c>
      <c r="B296" s="1" t="n">
        <v>46065</v>
      </c>
      <c r="C296" s="1" t="n">
        <v>46191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35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2098-2025</t>
        </is>
      </c>
      <c r="B297" s="1" t="n">
        <v>45672</v>
      </c>
      <c r="C297" s="1" t="n">
        <v>46191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9286-2026</t>
        </is>
      </c>
      <c r="B298" s="1" t="n">
        <v>46070</v>
      </c>
      <c r="C298" s="1" t="n">
        <v>46191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950-2025</t>
        </is>
      </c>
      <c r="B299" s="1" t="n">
        <v>45666</v>
      </c>
      <c r="C299" s="1" t="n">
        <v>46191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562-2024</t>
        </is>
      </c>
      <c r="B300" s="1" t="n">
        <v>45299</v>
      </c>
      <c r="C300" s="1" t="n">
        <v>46191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18129-2024</t>
        </is>
      </c>
      <c r="B301" s="1" t="n">
        <v>45420</v>
      </c>
      <c r="C301" s="1" t="n">
        <v>46191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47361-2025</t>
        </is>
      </c>
      <c r="B302" s="1" t="n">
        <v>45930</v>
      </c>
      <c r="C302" s="1" t="n">
        <v>46191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47294-2025</t>
        </is>
      </c>
      <c r="B303" s="1" t="n">
        <v>45930</v>
      </c>
      <c r="C303" s="1" t="n">
        <v>46191</v>
      </c>
      <c r="D303" t="inlineStr">
        <is>
          <t>DALARNAS LÄN</t>
        </is>
      </c>
      <c r="E303" t="inlineStr">
        <is>
          <t>RÄTTVIK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12464-2022</t>
        </is>
      </c>
      <c r="B304" s="1" t="n">
        <v>44638</v>
      </c>
      <c r="C304" s="1" t="n">
        <v>46191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8924-2026</t>
        </is>
      </c>
      <c r="B305" s="1" t="n">
        <v>46069</v>
      </c>
      <c r="C305" s="1" t="n">
        <v>46191</v>
      </c>
      <c r="D305" t="inlineStr">
        <is>
          <t>DALARNAS LÄN</t>
        </is>
      </c>
      <c r="E305" t="inlineStr">
        <is>
          <t>RÄTTVIK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9477-2024</t>
        </is>
      </c>
      <c r="B306" s="1" t="n">
        <v>45359</v>
      </c>
      <c r="C306" s="1" t="n">
        <v>46191</v>
      </c>
      <c r="D306" t="inlineStr">
        <is>
          <t>DALARNAS LÄN</t>
        </is>
      </c>
      <c r="E306" t="inlineStr">
        <is>
          <t>RÄTTVIK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51529-2024</t>
        </is>
      </c>
      <c r="B307" s="1" t="n">
        <v>45603</v>
      </c>
      <c r="C307" s="1" t="n">
        <v>46191</v>
      </c>
      <c r="D307" t="inlineStr">
        <is>
          <t>DALARNAS LÄN</t>
        </is>
      </c>
      <c r="E307" t="inlineStr">
        <is>
          <t>RÄTTVIK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25891-2023</t>
        </is>
      </c>
      <c r="B308" s="1" t="n">
        <v>45085</v>
      </c>
      <c r="C308" s="1" t="n">
        <v>46191</v>
      </c>
      <c r="D308" t="inlineStr">
        <is>
          <t>DALARNAS LÄN</t>
        </is>
      </c>
      <c r="E308" t="inlineStr">
        <is>
          <t>RÄTTVIK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12334-2022</t>
        </is>
      </c>
      <c r="B309" s="1" t="n">
        <v>44637</v>
      </c>
      <c r="C309" s="1" t="n">
        <v>46191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48280-2025</t>
        </is>
      </c>
      <c r="B310" s="1" t="n">
        <v>45933</v>
      </c>
      <c r="C310" s="1" t="n">
        <v>46191</v>
      </c>
      <c r="D310" t="inlineStr">
        <is>
          <t>DALARNAS LÄN</t>
        </is>
      </c>
      <c r="E310" t="inlineStr">
        <is>
          <t>RÄTTVIK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54206-2023</t>
        </is>
      </c>
      <c r="B311" s="1" t="n">
        <v>45225</v>
      </c>
      <c r="C311" s="1" t="n">
        <v>46191</v>
      </c>
      <c r="D311" t="inlineStr">
        <is>
          <t>DALARNAS LÄN</t>
        </is>
      </c>
      <c r="E311" t="inlineStr">
        <is>
          <t>RÄTTVIK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9859-2026</t>
        </is>
      </c>
      <c r="B312" s="1" t="n">
        <v>46072</v>
      </c>
      <c r="C312" s="1" t="n">
        <v>46191</v>
      </c>
      <c r="D312" t="inlineStr">
        <is>
          <t>DALARNAS LÄN</t>
        </is>
      </c>
      <c r="E312" t="inlineStr">
        <is>
          <t>RÄTTVIK</t>
        </is>
      </c>
      <c r="F312" t="inlineStr">
        <is>
          <t>Övriga statliga verk och myndigheter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60-2023</t>
        </is>
      </c>
      <c r="B313" s="1" t="n">
        <v>44928</v>
      </c>
      <c r="C313" s="1" t="n">
        <v>46191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9989-2026</t>
        </is>
      </c>
      <c r="B314" s="1" t="n">
        <v>46073</v>
      </c>
      <c r="C314" s="1" t="n">
        <v>46191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10023-2026</t>
        </is>
      </c>
      <c r="B315" s="1" t="n">
        <v>46073</v>
      </c>
      <c r="C315" s="1" t="n">
        <v>46191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9860-2026</t>
        </is>
      </c>
      <c r="B316" s="1" t="n">
        <v>46072</v>
      </c>
      <c r="C316" s="1" t="n">
        <v>46191</v>
      </c>
      <c r="D316" t="inlineStr">
        <is>
          <t>DALARNAS LÄN</t>
        </is>
      </c>
      <c r="E316" t="inlineStr">
        <is>
          <t>RÄTTVIK</t>
        </is>
      </c>
      <c r="F316" t="inlineStr">
        <is>
          <t>Övriga statliga verk och myndigheter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10513-2025</t>
        </is>
      </c>
      <c r="B317" s="1" t="n">
        <v>45721</v>
      </c>
      <c r="C317" s="1" t="n">
        <v>46191</v>
      </c>
      <c r="D317" t="inlineStr">
        <is>
          <t>DALARNAS LÄN</t>
        </is>
      </c>
      <c r="E317" t="inlineStr">
        <is>
          <t>RÄTTVIK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48930-2025</t>
        </is>
      </c>
      <c r="B318" s="1" t="n">
        <v>45937</v>
      </c>
      <c r="C318" s="1" t="n">
        <v>46191</v>
      </c>
      <c r="D318" t="inlineStr">
        <is>
          <t>DALARNAS LÄN</t>
        </is>
      </c>
      <c r="E318" t="inlineStr">
        <is>
          <t>RÄTTVIK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14193-2022</t>
        </is>
      </c>
      <c r="B319" s="1" t="n">
        <v>44651</v>
      </c>
      <c r="C319" s="1" t="n">
        <v>46191</v>
      </c>
      <c r="D319" t="inlineStr">
        <is>
          <t>DALARNAS LÄN</t>
        </is>
      </c>
      <c r="E319" t="inlineStr">
        <is>
          <t>RÄTTVIK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48883-2025</t>
        </is>
      </c>
      <c r="B320" s="1" t="n">
        <v>45937</v>
      </c>
      <c r="C320" s="1" t="n">
        <v>46191</v>
      </c>
      <c r="D320" t="inlineStr">
        <is>
          <t>DALARNAS LÄN</t>
        </is>
      </c>
      <c r="E320" t="inlineStr">
        <is>
          <t>RÄTTVIK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7063-2026</t>
        </is>
      </c>
      <c r="B321" s="1" t="n">
        <v>46057</v>
      </c>
      <c r="C321" s="1" t="n">
        <v>46191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33768-2022</t>
        </is>
      </c>
      <c r="B322" s="1" t="n">
        <v>44790</v>
      </c>
      <c r="C322" s="1" t="n">
        <v>46191</v>
      </c>
      <c r="D322" t="inlineStr">
        <is>
          <t>DALARNAS LÄN</t>
        </is>
      </c>
      <c r="E322" t="inlineStr">
        <is>
          <t>RÄTTVIK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10703-2026</t>
        </is>
      </c>
      <c r="B323" s="1" t="n">
        <v>46078</v>
      </c>
      <c r="C323" s="1" t="n">
        <v>46191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11002-2026</t>
        </is>
      </c>
      <c r="B324" s="1" t="n">
        <v>46079</v>
      </c>
      <c r="C324" s="1" t="n">
        <v>46191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23248-2023</t>
        </is>
      </c>
      <c r="B325" s="1" t="n">
        <v>45071</v>
      </c>
      <c r="C325" s="1" t="n">
        <v>46191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48980-2025</t>
        </is>
      </c>
      <c r="B326" s="1" t="n">
        <v>45937</v>
      </c>
      <c r="C326" s="1" t="n">
        <v>46191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23747-2024</t>
        </is>
      </c>
      <c r="B327" s="1" t="n">
        <v>45455</v>
      </c>
      <c r="C327" s="1" t="n">
        <v>46191</v>
      </c>
      <c r="D327" t="inlineStr">
        <is>
          <t>DALARNAS LÄN</t>
        </is>
      </c>
      <c r="E327" t="inlineStr">
        <is>
          <t>RÄTTVIK</t>
        </is>
      </c>
      <c r="F327" t="inlineStr">
        <is>
          <t>Allmännings- och besparingsskogar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10788-2026</t>
        </is>
      </c>
      <c r="B328" s="1" t="n">
        <v>46078</v>
      </c>
      <c r="C328" s="1" t="n">
        <v>46191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11032-2026</t>
        </is>
      </c>
      <c r="B329" s="1" t="n">
        <v>46079</v>
      </c>
      <c r="C329" s="1" t="n">
        <v>46191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42530-2023</t>
        </is>
      </c>
      <c r="B330" s="1" t="n">
        <v>45176</v>
      </c>
      <c r="C330" s="1" t="n">
        <v>46191</v>
      </c>
      <c r="D330" t="inlineStr">
        <is>
          <t>DALARNAS LÄN</t>
        </is>
      </c>
      <c r="E330" t="inlineStr">
        <is>
          <t>RÄTTVIK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49467-2025</t>
        </is>
      </c>
      <c r="B331" s="1" t="n">
        <v>45939</v>
      </c>
      <c r="C331" s="1" t="n">
        <v>46191</v>
      </c>
      <c r="D331" t="inlineStr">
        <is>
          <t>DALARNAS LÄN</t>
        </is>
      </c>
      <c r="E331" t="inlineStr">
        <is>
          <t>RÄTTVIK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49723-2025</t>
        </is>
      </c>
      <c r="B332" s="1" t="n">
        <v>45939</v>
      </c>
      <c r="C332" s="1" t="n">
        <v>46191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49954-2025</t>
        </is>
      </c>
      <c r="B333" s="1" t="n">
        <v>45940</v>
      </c>
      <c r="C333" s="1" t="n">
        <v>46191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49479-2025</t>
        </is>
      </c>
      <c r="B334" s="1" t="n">
        <v>45939</v>
      </c>
      <c r="C334" s="1" t="n">
        <v>46191</v>
      </c>
      <c r="D334" t="inlineStr">
        <is>
          <t>DALARNAS LÄN</t>
        </is>
      </c>
      <c r="E334" t="inlineStr">
        <is>
          <t>RÄTTVIK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4414-2025</t>
        </is>
      </c>
      <c r="B335" s="1" t="n">
        <v>45686</v>
      </c>
      <c r="C335" s="1" t="n">
        <v>46191</v>
      </c>
      <c r="D335" t="inlineStr">
        <is>
          <t>DALARNAS LÄN</t>
        </is>
      </c>
      <c r="E335" t="inlineStr">
        <is>
          <t>RÄTTVIK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49956-2025</t>
        </is>
      </c>
      <c r="B336" s="1" t="n">
        <v>45940</v>
      </c>
      <c r="C336" s="1" t="n">
        <v>46191</v>
      </c>
      <c r="D336" t="inlineStr">
        <is>
          <t>DALARNAS LÄN</t>
        </is>
      </c>
      <c r="E336" t="inlineStr">
        <is>
          <t>RÄTTVIK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59345-2023</t>
        </is>
      </c>
      <c r="B337" s="1" t="n">
        <v>45253</v>
      </c>
      <c r="C337" s="1" t="n">
        <v>46191</v>
      </c>
      <c r="D337" t="inlineStr">
        <is>
          <t>DALARNAS LÄN</t>
        </is>
      </c>
      <c r="E337" t="inlineStr">
        <is>
          <t>RÄTTVIK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50107-2025</t>
        </is>
      </c>
      <c r="B338" s="1" t="n">
        <v>45943</v>
      </c>
      <c r="C338" s="1" t="n">
        <v>46191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50136-2025</t>
        </is>
      </c>
      <c r="B339" s="1" t="n">
        <v>45943</v>
      </c>
      <c r="C339" s="1" t="n">
        <v>46191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50140-2025</t>
        </is>
      </c>
      <c r="B340" s="1" t="n">
        <v>45943</v>
      </c>
      <c r="C340" s="1" t="n">
        <v>46191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62505-2023</t>
        </is>
      </c>
      <c r="B341" s="1" t="n">
        <v>45267</v>
      </c>
      <c r="C341" s="1" t="n">
        <v>46191</v>
      </c>
      <c r="D341" t="inlineStr">
        <is>
          <t>DALARNAS LÄN</t>
        </is>
      </c>
      <c r="E341" t="inlineStr">
        <is>
          <t>RÄTTVIK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5978-2026</t>
        </is>
      </c>
      <c r="B342" s="1" t="n">
        <v>46052</v>
      </c>
      <c r="C342" s="1" t="n">
        <v>46191</v>
      </c>
      <c r="D342" t="inlineStr">
        <is>
          <t>DALARNAS LÄN</t>
        </is>
      </c>
      <c r="E342" t="inlineStr">
        <is>
          <t>RÄTTVIK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5975-2026</t>
        </is>
      </c>
      <c r="B343" s="1" t="n">
        <v>46052</v>
      </c>
      <c r="C343" s="1" t="n">
        <v>46191</v>
      </c>
      <c r="D343" t="inlineStr">
        <is>
          <t>DALARNAS LÄN</t>
        </is>
      </c>
      <c r="E343" t="inlineStr">
        <is>
          <t>RÄTTVIK</t>
        </is>
      </c>
      <c r="G343" t="n">
        <v>16.1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38737-2023</t>
        </is>
      </c>
      <c r="B344" s="1" t="n">
        <v>45161</v>
      </c>
      <c r="C344" s="1" t="n">
        <v>46191</v>
      </c>
      <c r="D344" t="inlineStr">
        <is>
          <t>DALARNAS LÄN</t>
        </is>
      </c>
      <c r="E344" t="inlineStr">
        <is>
          <t>RÄTTVIK</t>
        </is>
      </c>
      <c r="F344" t="inlineStr">
        <is>
          <t>Kommuner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50197-2025</t>
        </is>
      </c>
      <c r="B345" s="1" t="n">
        <v>45943</v>
      </c>
      <c r="C345" s="1" t="n">
        <v>46191</v>
      </c>
      <c r="D345" t="inlineStr">
        <is>
          <t>DALARNAS LÄN</t>
        </is>
      </c>
      <c r="E345" t="inlineStr">
        <is>
          <t>RÄTTVIK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47344-2025</t>
        </is>
      </c>
      <c r="B346" s="1" t="n">
        <v>45930</v>
      </c>
      <c r="C346" s="1" t="n">
        <v>46191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11787-2026</t>
        </is>
      </c>
      <c r="B347" s="1" t="n">
        <v>46085</v>
      </c>
      <c r="C347" s="1" t="n">
        <v>46191</v>
      </c>
      <c r="D347" t="inlineStr">
        <is>
          <t>DALARNAS LÄN</t>
        </is>
      </c>
      <c r="E347" t="inlineStr">
        <is>
          <t>RÄTTVIK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63540-2023</t>
        </is>
      </c>
      <c r="B348" s="1" t="n">
        <v>45275</v>
      </c>
      <c r="C348" s="1" t="n">
        <v>46191</v>
      </c>
      <c r="D348" t="inlineStr">
        <is>
          <t>DALARNAS LÄN</t>
        </is>
      </c>
      <c r="E348" t="inlineStr">
        <is>
          <t>RÄTTVIK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11890-2026</t>
        </is>
      </c>
      <c r="B349" s="1" t="n">
        <v>46085</v>
      </c>
      <c r="C349" s="1" t="n">
        <v>46191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11790-2026</t>
        </is>
      </c>
      <c r="B350" s="1" t="n">
        <v>46085</v>
      </c>
      <c r="C350" s="1" t="n">
        <v>46191</v>
      </c>
      <c r="D350" t="inlineStr">
        <is>
          <t>DALARNAS LÄN</t>
        </is>
      </c>
      <c r="E350" t="inlineStr">
        <is>
          <t>RÄTTVIK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20198-2025</t>
        </is>
      </c>
      <c r="B351" s="1" t="n">
        <v>45772</v>
      </c>
      <c r="C351" s="1" t="n">
        <v>46191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11788-2026</t>
        </is>
      </c>
      <c r="B352" s="1" t="n">
        <v>46085</v>
      </c>
      <c r="C352" s="1" t="n">
        <v>46191</v>
      </c>
      <c r="D352" t="inlineStr">
        <is>
          <t>DALARNAS LÄN</t>
        </is>
      </c>
      <c r="E352" t="inlineStr">
        <is>
          <t>RÄTTVIK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56772-2024</t>
        </is>
      </c>
      <c r="B353" s="1" t="n">
        <v>45628</v>
      </c>
      <c r="C353" s="1" t="n">
        <v>46191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12049-2026</t>
        </is>
      </c>
      <c r="B354" s="1" t="n">
        <v>46086</v>
      </c>
      <c r="C354" s="1" t="n">
        <v>46191</v>
      </c>
      <c r="D354" t="inlineStr">
        <is>
          <t>DALARNAS LÄN</t>
        </is>
      </c>
      <c r="E354" t="inlineStr">
        <is>
          <t>RÄTTVIK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12057-2026</t>
        </is>
      </c>
      <c r="B355" s="1" t="n">
        <v>46086</v>
      </c>
      <c r="C355" s="1" t="n">
        <v>46191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16.1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29758-2023</t>
        </is>
      </c>
      <c r="B356" s="1" t="n">
        <v>45107</v>
      </c>
      <c r="C356" s="1" t="n">
        <v>46191</v>
      </c>
      <c r="D356" t="inlineStr">
        <is>
          <t>DALARNAS LÄN</t>
        </is>
      </c>
      <c r="E356" t="inlineStr">
        <is>
          <t>RÄTTVIK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8899-2026</t>
        </is>
      </c>
      <c r="B357" s="1" t="n">
        <v>46068</v>
      </c>
      <c r="C357" s="1" t="n">
        <v>46191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50902-2025</t>
        </is>
      </c>
      <c r="B358" s="1" t="n">
        <v>45946</v>
      </c>
      <c r="C358" s="1" t="n">
        <v>46191</v>
      </c>
      <c r="D358" t="inlineStr">
        <is>
          <t>DALARNAS LÄN</t>
        </is>
      </c>
      <c r="E358" t="inlineStr">
        <is>
          <t>RÄTTVIK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18293-2024</t>
        </is>
      </c>
      <c r="B359" s="1" t="n">
        <v>45422</v>
      </c>
      <c r="C359" s="1" t="n">
        <v>46191</v>
      </c>
      <c r="D359" t="inlineStr">
        <is>
          <t>DALARNAS LÄN</t>
        </is>
      </c>
      <c r="E359" t="inlineStr">
        <is>
          <t>RÄTTVIK</t>
        </is>
      </c>
      <c r="F359" t="inlineStr">
        <is>
          <t>Allmännings- och besparingsskogar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65967-2021</t>
        </is>
      </c>
      <c r="B360" s="1" t="n">
        <v>44517</v>
      </c>
      <c r="C360" s="1" t="n">
        <v>46191</v>
      </c>
      <c r="D360" t="inlineStr">
        <is>
          <t>DALARNAS LÄN</t>
        </is>
      </c>
      <c r="E360" t="inlineStr">
        <is>
          <t>RÄTTVIK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32841-2024</t>
        </is>
      </c>
      <c r="B361" s="1" t="n">
        <v>45516</v>
      </c>
      <c r="C361" s="1" t="n">
        <v>46191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12592-2026</t>
        </is>
      </c>
      <c r="B362" s="1" t="n">
        <v>46090</v>
      </c>
      <c r="C362" s="1" t="n">
        <v>46191</v>
      </c>
      <c r="D362" t="inlineStr">
        <is>
          <t>DALARNAS LÄN</t>
        </is>
      </c>
      <c r="E362" t="inlineStr">
        <is>
          <t>RÄTTVIK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12591-2026</t>
        </is>
      </c>
      <c r="B363" s="1" t="n">
        <v>46090</v>
      </c>
      <c r="C363" s="1" t="n">
        <v>46191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40313-2023</t>
        </is>
      </c>
      <c r="B364" s="1" t="n">
        <v>45168</v>
      </c>
      <c r="C364" s="1" t="n">
        <v>46191</v>
      </c>
      <c r="D364" t="inlineStr">
        <is>
          <t>DALARNAS LÄN</t>
        </is>
      </c>
      <c r="E364" t="inlineStr">
        <is>
          <t>RÄTTVIK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51448-2025</t>
        </is>
      </c>
      <c r="B365" s="1" t="n">
        <v>45950</v>
      </c>
      <c r="C365" s="1" t="n">
        <v>46191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51833-2025</t>
        </is>
      </c>
      <c r="B366" s="1" t="n">
        <v>45952</v>
      </c>
      <c r="C366" s="1" t="n">
        <v>46191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9322-2026</t>
        </is>
      </c>
      <c r="B367" s="1" t="n">
        <v>46070</v>
      </c>
      <c r="C367" s="1" t="n">
        <v>46191</v>
      </c>
      <c r="D367" t="inlineStr">
        <is>
          <t>DALARNAS LÄN</t>
        </is>
      </c>
      <c r="E367" t="inlineStr">
        <is>
          <t>RÄTTVIK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5953-2025</t>
        </is>
      </c>
      <c r="B368" s="1" t="n">
        <v>45695</v>
      </c>
      <c r="C368" s="1" t="n">
        <v>46191</v>
      </c>
      <c r="D368" t="inlineStr">
        <is>
          <t>DALARNAS LÄN</t>
        </is>
      </c>
      <c r="E368" t="inlineStr">
        <is>
          <t>RÄTTVIK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23041-2022</t>
        </is>
      </c>
      <c r="B369" s="1" t="n">
        <v>44719</v>
      </c>
      <c r="C369" s="1" t="n">
        <v>46191</v>
      </c>
      <c r="D369" t="inlineStr">
        <is>
          <t>DALARNAS LÄN</t>
        </is>
      </c>
      <c r="E369" t="inlineStr">
        <is>
          <t>RÄTTVIK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52296-2025</t>
        </is>
      </c>
      <c r="B370" s="1" t="n">
        <v>45953</v>
      </c>
      <c r="C370" s="1" t="n">
        <v>46191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52158-2025</t>
        </is>
      </c>
      <c r="B371" s="1" t="n">
        <v>45953</v>
      </c>
      <c r="C371" s="1" t="n">
        <v>46191</v>
      </c>
      <c r="D371" t="inlineStr">
        <is>
          <t>DALARNAS LÄN</t>
        </is>
      </c>
      <c r="E371" t="inlineStr">
        <is>
          <t>RÄTTVIK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52424-2025</t>
        </is>
      </c>
      <c r="B372" s="1" t="n">
        <v>45954</v>
      </c>
      <c r="C372" s="1" t="n">
        <v>46191</v>
      </c>
      <c r="D372" t="inlineStr">
        <is>
          <t>DALARNAS LÄN</t>
        </is>
      </c>
      <c r="E372" t="inlineStr">
        <is>
          <t>RÄTTVIK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39770-2022</t>
        </is>
      </c>
      <c r="B373" s="1" t="n">
        <v>44819</v>
      </c>
      <c r="C373" s="1" t="n">
        <v>46191</v>
      </c>
      <c r="D373" t="inlineStr">
        <is>
          <t>DALARNAS LÄN</t>
        </is>
      </c>
      <c r="E373" t="inlineStr">
        <is>
          <t>RÄTTVIK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53874-2023</t>
        </is>
      </c>
      <c r="B374" s="1" t="n">
        <v>45231</v>
      </c>
      <c r="C374" s="1" t="n">
        <v>46191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53876-2023</t>
        </is>
      </c>
      <c r="B375" s="1" t="n">
        <v>45231</v>
      </c>
      <c r="C375" s="1" t="n">
        <v>46191</v>
      </c>
      <c r="D375" t="inlineStr">
        <is>
          <t>DALARNAS LÄN</t>
        </is>
      </c>
      <c r="E375" t="inlineStr">
        <is>
          <t>RÄTTVIK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38633-2022</t>
        </is>
      </c>
      <c r="B376" s="1" t="n">
        <v>44813</v>
      </c>
      <c r="C376" s="1" t="n">
        <v>46191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59307-2022</t>
        </is>
      </c>
      <c r="B377" s="1" t="n">
        <v>44897</v>
      </c>
      <c r="C377" s="1" t="n">
        <v>46191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53226-2025</t>
        </is>
      </c>
      <c r="B378" s="1" t="n">
        <v>45957</v>
      </c>
      <c r="C378" s="1" t="n">
        <v>46191</v>
      </c>
      <c r="D378" t="inlineStr">
        <is>
          <t>DALARNAS LÄN</t>
        </is>
      </c>
      <c r="E378" t="inlineStr">
        <is>
          <t>RÄTTVIK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53231-2025</t>
        </is>
      </c>
      <c r="B379" s="1" t="n">
        <v>45957</v>
      </c>
      <c r="C379" s="1" t="n">
        <v>46191</v>
      </c>
      <c r="D379" t="inlineStr">
        <is>
          <t>DALARNAS LÄN</t>
        </is>
      </c>
      <c r="E379" t="inlineStr">
        <is>
          <t>RÄTTVIK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53064-2025</t>
        </is>
      </c>
      <c r="B380" s="1" t="n">
        <v>45958</v>
      </c>
      <c r="C380" s="1" t="n">
        <v>46191</v>
      </c>
      <c r="D380" t="inlineStr">
        <is>
          <t>DALARNAS LÄN</t>
        </is>
      </c>
      <c r="E380" t="inlineStr">
        <is>
          <t>RÄTTVIK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13844-2026</t>
        </is>
      </c>
      <c r="B381" s="1" t="n">
        <v>46098</v>
      </c>
      <c r="C381" s="1" t="n">
        <v>46191</v>
      </c>
      <c r="D381" t="inlineStr">
        <is>
          <t>DALARNAS LÄN</t>
        </is>
      </c>
      <c r="E381" t="inlineStr">
        <is>
          <t>RÄTTVIK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14029-2026</t>
        </is>
      </c>
      <c r="B382" s="1" t="n">
        <v>46098</v>
      </c>
      <c r="C382" s="1" t="n">
        <v>46191</v>
      </c>
      <c r="D382" t="inlineStr">
        <is>
          <t>DALARNAS LÄN</t>
        </is>
      </c>
      <c r="E382" t="inlineStr">
        <is>
          <t>RÄTTVIK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14060-2026</t>
        </is>
      </c>
      <c r="B383" s="1" t="n">
        <v>46099</v>
      </c>
      <c r="C383" s="1" t="n">
        <v>46191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1601-2022</t>
        </is>
      </c>
      <c r="B384" s="1" t="n">
        <v>44573</v>
      </c>
      <c r="C384" s="1" t="n">
        <v>46191</v>
      </c>
      <c r="D384" t="inlineStr">
        <is>
          <t>DALARNAS LÄN</t>
        </is>
      </c>
      <c r="E384" t="inlineStr">
        <is>
          <t>RÄTTVIK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14317-2026</t>
        </is>
      </c>
      <c r="B385" s="1" t="n">
        <v>46099</v>
      </c>
      <c r="C385" s="1" t="n">
        <v>46191</v>
      </c>
      <c r="D385" t="inlineStr">
        <is>
          <t>DALARNAS LÄN</t>
        </is>
      </c>
      <c r="E385" t="inlineStr">
        <is>
          <t>RÄTTVIK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48582-2024</t>
        </is>
      </c>
      <c r="B386" s="1" t="n">
        <v>45593</v>
      </c>
      <c r="C386" s="1" t="n">
        <v>46191</v>
      </c>
      <c r="D386" t="inlineStr">
        <is>
          <t>DALARNAS LÄN</t>
        </is>
      </c>
      <c r="E386" t="inlineStr">
        <is>
          <t>RÄTTVIK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13692-2026</t>
        </is>
      </c>
      <c r="B387" s="1" t="n">
        <v>46094</v>
      </c>
      <c r="C387" s="1" t="n">
        <v>46191</v>
      </c>
      <c r="D387" t="inlineStr">
        <is>
          <t>DALARNAS LÄN</t>
        </is>
      </c>
      <c r="E387" t="inlineStr">
        <is>
          <t>RÄTTVIK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53229-2025</t>
        </is>
      </c>
      <c r="B388" s="1" t="n">
        <v>45958</v>
      </c>
      <c r="C388" s="1" t="n">
        <v>46191</v>
      </c>
      <c r="D388" t="inlineStr">
        <is>
          <t>DALARNAS LÄN</t>
        </is>
      </c>
      <c r="E388" t="inlineStr">
        <is>
          <t>RÄTTVIK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49240-2023</t>
        </is>
      </c>
      <c r="B389" s="1" t="n">
        <v>45210</v>
      </c>
      <c r="C389" s="1" t="n">
        <v>46191</v>
      </c>
      <c r="D389" t="inlineStr">
        <is>
          <t>DALARNAS LÄN</t>
        </is>
      </c>
      <c r="E389" t="inlineStr">
        <is>
          <t>RÄTTVIK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35244-2022</t>
        </is>
      </c>
      <c r="B390" s="1" t="n">
        <v>44798</v>
      </c>
      <c r="C390" s="1" t="n">
        <v>46191</v>
      </c>
      <c r="D390" t="inlineStr">
        <is>
          <t>DALARNAS LÄN</t>
        </is>
      </c>
      <c r="E390" t="inlineStr">
        <is>
          <t>RÄTTVIK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14496-2026</t>
        </is>
      </c>
      <c r="B391" s="1" t="n">
        <v>46100</v>
      </c>
      <c r="C391" s="1" t="n">
        <v>46191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53673-2025</t>
        </is>
      </c>
      <c r="B392" s="1" t="n">
        <v>45960</v>
      </c>
      <c r="C392" s="1" t="n">
        <v>46191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28660-2024</t>
        </is>
      </c>
      <c r="B393" s="1" t="n">
        <v>45478</v>
      </c>
      <c r="C393" s="1" t="n">
        <v>46191</v>
      </c>
      <c r="D393" t="inlineStr">
        <is>
          <t>DALARNAS LÄN</t>
        </is>
      </c>
      <c r="E393" t="inlineStr">
        <is>
          <t>RÄTTVIK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53667-2025</t>
        </is>
      </c>
      <c r="B394" s="1" t="n">
        <v>45960</v>
      </c>
      <c r="C394" s="1" t="n">
        <v>46191</v>
      </c>
      <c r="D394" t="inlineStr">
        <is>
          <t>DALARNAS LÄN</t>
        </is>
      </c>
      <c r="E394" t="inlineStr">
        <is>
          <t>RÄTTVIK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11298-2025</t>
        </is>
      </c>
      <c r="B395" s="1" t="n">
        <v>45726</v>
      </c>
      <c r="C395" s="1" t="n">
        <v>46191</v>
      </c>
      <c r="D395" t="inlineStr">
        <is>
          <t>DALARNAS LÄN</t>
        </is>
      </c>
      <c r="E395" t="inlineStr">
        <is>
          <t>RÄTTVIK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53698-2025</t>
        </is>
      </c>
      <c r="B396" s="1" t="n">
        <v>45960</v>
      </c>
      <c r="C396" s="1" t="n">
        <v>46191</v>
      </c>
      <c r="D396" t="inlineStr">
        <is>
          <t>DALARNAS LÄN</t>
        </is>
      </c>
      <c r="E396" t="inlineStr">
        <is>
          <t>RÄTTVIK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53602-2025</t>
        </is>
      </c>
      <c r="B397" s="1" t="n">
        <v>45960</v>
      </c>
      <c r="C397" s="1" t="n">
        <v>46191</v>
      </c>
      <c r="D397" t="inlineStr">
        <is>
          <t>DALARNAS LÄN</t>
        </is>
      </c>
      <c r="E397" t="inlineStr">
        <is>
          <t>RÄTTVIK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2270-2024</t>
        </is>
      </c>
      <c r="B398" s="1" t="n">
        <v>45310</v>
      </c>
      <c r="C398" s="1" t="n">
        <v>46191</v>
      </c>
      <c r="D398" t="inlineStr">
        <is>
          <t>DALARNAS LÄN</t>
        </is>
      </c>
      <c r="E398" t="inlineStr">
        <is>
          <t>RÄTTVIK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3342-2024</t>
        </is>
      </c>
      <c r="B399" s="1" t="n">
        <v>45317</v>
      </c>
      <c r="C399" s="1" t="n">
        <v>46191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53711-2025</t>
        </is>
      </c>
      <c r="B400" s="1" t="n">
        <v>45960</v>
      </c>
      <c r="C400" s="1" t="n">
        <v>46191</v>
      </c>
      <c r="D400" t="inlineStr">
        <is>
          <t>DALARNAS LÄN</t>
        </is>
      </c>
      <c r="E400" t="inlineStr">
        <is>
          <t>RÄTTVIK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53944-2025</t>
        </is>
      </c>
      <c r="B401" s="1" t="n">
        <v>45961</v>
      </c>
      <c r="C401" s="1" t="n">
        <v>46191</v>
      </c>
      <c r="D401" t="inlineStr">
        <is>
          <t>DALARNAS LÄN</t>
        </is>
      </c>
      <c r="E401" t="inlineStr">
        <is>
          <t>RÄTTVIK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702-2024</t>
        </is>
      </c>
      <c r="B402" s="1" t="n">
        <v>45300</v>
      </c>
      <c r="C402" s="1" t="n">
        <v>46191</v>
      </c>
      <c r="D402" t="inlineStr">
        <is>
          <t>DALARNAS LÄN</t>
        </is>
      </c>
      <c r="E402" t="inlineStr">
        <is>
          <t>RÄTTVIK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39983-2022</t>
        </is>
      </c>
      <c r="B403" s="1" t="n">
        <v>44818</v>
      </c>
      <c r="C403" s="1" t="n">
        <v>46191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53987-2025</t>
        </is>
      </c>
      <c r="B404" s="1" t="n">
        <v>45961</v>
      </c>
      <c r="C404" s="1" t="n">
        <v>46191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15201-2026</t>
        </is>
      </c>
      <c r="B405" s="1" t="n">
        <v>46105</v>
      </c>
      <c r="C405" s="1" t="n">
        <v>46191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15315-2026</t>
        </is>
      </c>
      <c r="B406" s="1" t="n">
        <v>46105</v>
      </c>
      <c r="C406" s="1" t="n">
        <v>46191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15318-2026</t>
        </is>
      </c>
      <c r="B407" s="1" t="n">
        <v>46105</v>
      </c>
      <c r="C407" s="1" t="n">
        <v>46191</v>
      </c>
      <c r="D407" t="inlineStr">
        <is>
          <t>DALARNAS LÄN</t>
        </is>
      </c>
      <c r="E407" t="inlineStr">
        <is>
          <t>RÄTTVIK</t>
        </is>
      </c>
      <c r="F407" t="inlineStr">
        <is>
          <t>Allmännings- och besparingsskogar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14940-2026</t>
        </is>
      </c>
      <c r="B408" s="1" t="n">
        <v>46104</v>
      </c>
      <c r="C408" s="1" t="n">
        <v>46191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32.8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15312-2026</t>
        </is>
      </c>
      <c r="B409" s="1" t="n">
        <v>46105</v>
      </c>
      <c r="C409" s="1" t="n">
        <v>46191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15088-2026</t>
        </is>
      </c>
      <c r="B410" s="1" t="n">
        <v>46105</v>
      </c>
      <c r="C410" s="1" t="n">
        <v>46191</v>
      </c>
      <c r="D410" t="inlineStr">
        <is>
          <t>DALARNAS LÄN</t>
        </is>
      </c>
      <c r="E410" t="inlineStr">
        <is>
          <t>RÄTTVIK</t>
        </is>
      </c>
      <c r="F410" t="inlineStr">
        <is>
          <t>Allmännings- och besparingsskogar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15090-2026</t>
        </is>
      </c>
      <c r="B411" s="1" t="n">
        <v>46105</v>
      </c>
      <c r="C411" s="1" t="n">
        <v>46191</v>
      </c>
      <c r="D411" t="inlineStr">
        <is>
          <t>DALARNAS LÄN</t>
        </is>
      </c>
      <c r="E411" t="inlineStr">
        <is>
          <t>RÄTTVIK</t>
        </is>
      </c>
      <c r="F411" t="inlineStr">
        <is>
          <t>Allmännings- och besparingsskogar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31556-2022</t>
        </is>
      </c>
      <c r="B412" s="1" t="n">
        <v>44775</v>
      </c>
      <c r="C412" s="1" t="n">
        <v>46191</v>
      </c>
      <c r="D412" t="inlineStr">
        <is>
          <t>DALARNAS LÄN</t>
        </is>
      </c>
      <c r="E412" t="inlineStr">
        <is>
          <t>RÄTTVIK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20620-2024</t>
        </is>
      </c>
      <c r="B413" s="1" t="n">
        <v>45436</v>
      </c>
      <c r="C413" s="1" t="n">
        <v>46191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54386-2025</t>
        </is>
      </c>
      <c r="B414" s="1" t="n">
        <v>45965</v>
      </c>
      <c r="C414" s="1" t="n">
        <v>46191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15650-2026</t>
        </is>
      </c>
      <c r="B415" s="1" t="n">
        <v>46106</v>
      </c>
      <c r="C415" s="1" t="n">
        <v>46191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15588-2026</t>
        </is>
      </c>
      <c r="B416" s="1" t="n">
        <v>46106</v>
      </c>
      <c r="C416" s="1" t="n">
        <v>46191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54648-2025</t>
        </is>
      </c>
      <c r="B417" s="1" t="n">
        <v>45966</v>
      </c>
      <c r="C417" s="1" t="n">
        <v>46191</v>
      </c>
      <c r="D417" t="inlineStr">
        <is>
          <t>DALARNAS LÄN</t>
        </is>
      </c>
      <c r="E417" t="inlineStr">
        <is>
          <t>RÄTTVIK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69058-2021</t>
        </is>
      </c>
      <c r="B418" s="1" t="n">
        <v>44529</v>
      </c>
      <c r="C418" s="1" t="n">
        <v>46191</v>
      </c>
      <c r="D418" t="inlineStr">
        <is>
          <t>DALARNAS LÄN</t>
        </is>
      </c>
      <c r="E418" t="inlineStr">
        <is>
          <t>RÄTTVIK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41046-2023</t>
        </is>
      </c>
      <c r="B419" s="1" t="n">
        <v>45173</v>
      </c>
      <c r="C419" s="1" t="n">
        <v>46191</v>
      </c>
      <c r="D419" t="inlineStr">
        <is>
          <t>DALARNAS LÄN</t>
        </is>
      </c>
      <c r="E419" t="inlineStr">
        <is>
          <t>RÄTTVIK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15742-2026</t>
        </is>
      </c>
      <c r="B420" s="1" t="n">
        <v>46107</v>
      </c>
      <c r="C420" s="1" t="n">
        <v>46191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55263-2023</t>
        </is>
      </c>
      <c r="B421" s="1" t="n">
        <v>45231</v>
      </c>
      <c r="C421" s="1" t="n">
        <v>46191</v>
      </c>
      <c r="D421" t="inlineStr">
        <is>
          <t>DALARNAS LÄN</t>
        </is>
      </c>
      <c r="E421" t="inlineStr">
        <is>
          <t>RÄTTVIK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15849-2026</t>
        </is>
      </c>
      <c r="B422" s="1" t="n">
        <v>46107</v>
      </c>
      <c r="C422" s="1" t="n">
        <v>46191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55270-2023</t>
        </is>
      </c>
      <c r="B423" s="1" t="n">
        <v>45231</v>
      </c>
      <c r="C423" s="1" t="n">
        <v>46191</v>
      </c>
      <c r="D423" t="inlineStr">
        <is>
          <t>DALARNAS LÄN</t>
        </is>
      </c>
      <c r="E423" t="inlineStr">
        <is>
          <t>RÄTTVIK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54388-2025</t>
        </is>
      </c>
      <c r="B424" s="1" t="n">
        <v>45965</v>
      </c>
      <c r="C424" s="1" t="n">
        <v>46191</v>
      </c>
      <c r="D424" t="inlineStr">
        <is>
          <t>DALARNAS LÄN</t>
        </is>
      </c>
      <c r="E424" t="inlineStr">
        <is>
          <t>RÄTTVIK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54928-2025</t>
        </is>
      </c>
      <c r="B425" s="1" t="n">
        <v>45967</v>
      </c>
      <c r="C425" s="1" t="n">
        <v>46191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5568-2026</t>
        </is>
      </c>
      <c r="B426" s="1" t="n">
        <v>46050</v>
      </c>
      <c r="C426" s="1" t="n">
        <v>46191</v>
      </c>
      <c r="D426" t="inlineStr">
        <is>
          <t>DALARNAS LÄN</t>
        </is>
      </c>
      <c r="E426" t="inlineStr">
        <is>
          <t>RÄTTVIK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55196-2025</t>
        </is>
      </c>
      <c r="B427" s="1" t="n">
        <v>45968</v>
      </c>
      <c r="C427" s="1" t="n">
        <v>46191</v>
      </c>
      <c r="D427" t="inlineStr">
        <is>
          <t>DALARNAS LÄN</t>
        </is>
      </c>
      <c r="E427" t="inlineStr">
        <is>
          <t>RÄTTVIK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55055-2025</t>
        </is>
      </c>
      <c r="B428" s="1" t="n">
        <v>45967</v>
      </c>
      <c r="C428" s="1" t="n">
        <v>46191</v>
      </c>
      <c r="D428" t="inlineStr">
        <is>
          <t>DALARNAS LÄN</t>
        </is>
      </c>
      <c r="E428" t="inlineStr">
        <is>
          <t>RÄTTVIK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55059-2025</t>
        </is>
      </c>
      <c r="B429" s="1" t="n">
        <v>45967</v>
      </c>
      <c r="C429" s="1" t="n">
        <v>46191</v>
      </c>
      <c r="D429" t="inlineStr">
        <is>
          <t>DALARNAS LÄN</t>
        </is>
      </c>
      <c r="E429" t="inlineStr">
        <is>
          <t>RÄTTVIK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15589-2026</t>
        </is>
      </c>
      <c r="B430" s="1" t="n">
        <v>46106</v>
      </c>
      <c r="C430" s="1" t="n">
        <v>46191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9672-2024</t>
        </is>
      </c>
      <c r="B431" s="1" t="n">
        <v>45362</v>
      </c>
      <c r="C431" s="1" t="n">
        <v>46191</v>
      </c>
      <c r="D431" t="inlineStr">
        <is>
          <t>DALARNAS LÄN</t>
        </is>
      </c>
      <c r="E431" t="inlineStr">
        <is>
          <t>RÄTTVIK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21723-2026</t>
        </is>
      </c>
      <c r="B432" s="1" t="n">
        <v>46149</v>
      </c>
      <c r="C432" s="1" t="n">
        <v>46191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15752-2026</t>
        </is>
      </c>
      <c r="B433" s="1" t="n">
        <v>46107</v>
      </c>
      <c r="C433" s="1" t="n">
        <v>46191</v>
      </c>
      <c r="D433" t="inlineStr">
        <is>
          <t>DALARNAS LÄN</t>
        </is>
      </c>
      <c r="E433" t="inlineStr">
        <is>
          <t>RÄTTVIK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15500-2026</t>
        </is>
      </c>
      <c r="B434" s="1" t="n">
        <v>46106</v>
      </c>
      <c r="C434" s="1" t="n">
        <v>46191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15497-2026</t>
        </is>
      </c>
      <c r="B435" s="1" t="n">
        <v>46106</v>
      </c>
      <c r="C435" s="1" t="n">
        <v>46191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16249-2026</t>
        </is>
      </c>
      <c r="B436" s="1" t="n">
        <v>46111</v>
      </c>
      <c r="C436" s="1" t="n">
        <v>46191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55712-2025</t>
        </is>
      </c>
      <c r="B437" s="1" t="n">
        <v>45971</v>
      </c>
      <c r="C437" s="1" t="n">
        <v>46191</v>
      </c>
      <c r="D437" t="inlineStr">
        <is>
          <t>DALARNAS LÄN</t>
        </is>
      </c>
      <c r="E437" t="inlineStr">
        <is>
          <t>RÄTTVIK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55412-2025</t>
        </is>
      </c>
      <c r="B438" s="1" t="n">
        <v>45971</v>
      </c>
      <c r="C438" s="1" t="n">
        <v>46191</v>
      </c>
      <c r="D438" t="inlineStr">
        <is>
          <t>DALARNAS LÄN</t>
        </is>
      </c>
      <c r="E438" t="inlineStr">
        <is>
          <t>RÄTTVIK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55708-2025</t>
        </is>
      </c>
      <c r="B439" s="1" t="n">
        <v>45971</v>
      </c>
      <c r="C439" s="1" t="n">
        <v>46191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55321-2025</t>
        </is>
      </c>
      <c r="B440" s="1" t="n">
        <v>45971</v>
      </c>
      <c r="C440" s="1" t="n">
        <v>46191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16115-2026</t>
        </is>
      </c>
      <c r="B441" s="1" t="n">
        <v>46108</v>
      </c>
      <c r="C441" s="1" t="n">
        <v>46191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55740-2025</t>
        </is>
      </c>
      <c r="B442" s="1" t="n">
        <v>45972</v>
      </c>
      <c r="C442" s="1" t="n">
        <v>46191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55704-2025</t>
        </is>
      </c>
      <c r="B443" s="1" t="n">
        <v>45971</v>
      </c>
      <c r="C443" s="1" t="n">
        <v>46191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16339-2026</t>
        </is>
      </c>
      <c r="B444" s="1" t="n">
        <v>46111</v>
      </c>
      <c r="C444" s="1" t="n">
        <v>46191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3725-2024</t>
        </is>
      </c>
      <c r="B445" s="1" t="n">
        <v>45321</v>
      </c>
      <c r="C445" s="1" t="n">
        <v>46191</v>
      </c>
      <c r="D445" t="inlineStr">
        <is>
          <t>DALARNAS LÄN</t>
        </is>
      </c>
      <c r="E445" t="inlineStr">
        <is>
          <t>RÄTTVIK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23478-2023</t>
        </is>
      </c>
      <c r="B446" s="1" t="n">
        <v>45072</v>
      </c>
      <c r="C446" s="1" t="n">
        <v>46191</v>
      </c>
      <c r="D446" t="inlineStr">
        <is>
          <t>DALARNAS LÄN</t>
        </is>
      </c>
      <c r="E446" t="inlineStr">
        <is>
          <t>RÄTTVIK</t>
        </is>
      </c>
      <c r="F446" t="inlineStr">
        <is>
          <t>Övriga statliga verk och myndigheter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23479-2023</t>
        </is>
      </c>
      <c r="B447" s="1" t="n">
        <v>45072</v>
      </c>
      <c r="C447" s="1" t="n">
        <v>46191</v>
      </c>
      <c r="D447" t="inlineStr">
        <is>
          <t>DALARNAS LÄN</t>
        </is>
      </c>
      <c r="E447" t="inlineStr">
        <is>
          <t>RÄTTVIK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9211-2024</t>
        </is>
      </c>
      <c r="B448" s="1" t="n">
        <v>45358</v>
      </c>
      <c r="C448" s="1" t="n">
        <v>46191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56063-2025</t>
        </is>
      </c>
      <c r="B449" s="1" t="n">
        <v>45973</v>
      </c>
      <c r="C449" s="1" t="n">
        <v>46191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56236-2025</t>
        </is>
      </c>
      <c r="B450" s="1" t="n">
        <v>45974</v>
      </c>
      <c r="C450" s="1" t="n">
        <v>46191</v>
      </c>
      <c r="D450" t="inlineStr">
        <is>
          <t>DALARNAS LÄN</t>
        </is>
      </c>
      <c r="E450" t="inlineStr">
        <is>
          <t>RÄTTVIK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32703-2024</t>
        </is>
      </c>
      <c r="B451" s="1" t="n">
        <v>45516</v>
      </c>
      <c r="C451" s="1" t="n">
        <v>46191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56492-2025</t>
        </is>
      </c>
      <c r="B452" s="1" t="n">
        <v>45974</v>
      </c>
      <c r="C452" s="1" t="n">
        <v>46191</v>
      </c>
      <c r="D452" t="inlineStr">
        <is>
          <t>DALARNAS LÄN</t>
        </is>
      </c>
      <c r="E452" t="inlineStr">
        <is>
          <t>RÄTTVIK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29506-2024</t>
        </is>
      </c>
      <c r="B453" s="1" t="n">
        <v>45484</v>
      </c>
      <c r="C453" s="1" t="n">
        <v>46191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56377-2025</t>
        </is>
      </c>
      <c r="B454" s="1" t="n">
        <v>45974</v>
      </c>
      <c r="C454" s="1" t="n">
        <v>46191</v>
      </c>
      <c r="D454" t="inlineStr">
        <is>
          <t>DALARNAS LÄN</t>
        </is>
      </c>
      <c r="E454" t="inlineStr">
        <is>
          <t>RÄTTVIK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22018-2026</t>
        </is>
      </c>
      <c r="B455" s="1" t="n">
        <v>46153</v>
      </c>
      <c r="C455" s="1" t="n">
        <v>46191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13568-2025</t>
        </is>
      </c>
      <c r="B456" s="1" t="n">
        <v>45736</v>
      </c>
      <c r="C456" s="1" t="n">
        <v>46191</v>
      </c>
      <c r="D456" t="inlineStr">
        <is>
          <t>DALARNAS LÄN</t>
        </is>
      </c>
      <c r="E456" t="inlineStr">
        <is>
          <t>RÄTTVIK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56049-2025</t>
        </is>
      </c>
      <c r="B457" s="1" t="n">
        <v>45973</v>
      </c>
      <c r="C457" s="1" t="n">
        <v>46191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47620-2024</t>
        </is>
      </c>
      <c r="B458" s="1" t="n">
        <v>45588</v>
      </c>
      <c r="C458" s="1" t="n">
        <v>46191</v>
      </c>
      <c r="D458" t="inlineStr">
        <is>
          <t>DALARNAS LÄN</t>
        </is>
      </c>
      <c r="E458" t="inlineStr">
        <is>
          <t>RÄTTVIK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16718-2026</t>
        </is>
      </c>
      <c r="B459" s="1" t="n">
        <v>46113</v>
      </c>
      <c r="C459" s="1" t="n">
        <v>46191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27418-2023</t>
        </is>
      </c>
      <c r="B460" s="1" t="n">
        <v>45097</v>
      </c>
      <c r="C460" s="1" t="n">
        <v>46191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16649-2026</t>
        </is>
      </c>
      <c r="B461" s="1" t="n">
        <v>46112</v>
      </c>
      <c r="C461" s="1" t="n">
        <v>46191</v>
      </c>
      <c r="D461" t="inlineStr">
        <is>
          <t>DALARNAS LÄN</t>
        </is>
      </c>
      <c r="E461" t="inlineStr">
        <is>
          <t>RÄTTVIK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38385-2024</t>
        </is>
      </c>
      <c r="B462" s="1" t="n">
        <v>45546</v>
      </c>
      <c r="C462" s="1" t="n">
        <v>46191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22638-2026</t>
        </is>
      </c>
      <c r="B463" s="1" t="n">
        <v>46155</v>
      </c>
      <c r="C463" s="1" t="n">
        <v>46191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46060-2022</t>
        </is>
      </c>
      <c r="B464" s="1" t="n">
        <v>44847</v>
      </c>
      <c r="C464" s="1" t="n">
        <v>46191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2068-2023</t>
        </is>
      </c>
      <c r="B465" s="1" t="n">
        <v>44939</v>
      </c>
      <c r="C465" s="1" t="n">
        <v>46191</v>
      </c>
      <c r="D465" t="inlineStr">
        <is>
          <t>DALARNAS LÄN</t>
        </is>
      </c>
      <c r="E465" t="inlineStr">
        <is>
          <t>RÄTTVIK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56628-2025</t>
        </is>
      </c>
      <c r="B466" s="1" t="n">
        <v>45975</v>
      </c>
      <c r="C466" s="1" t="n">
        <v>46191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16715-2026</t>
        </is>
      </c>
      <c r="B467" s="1" t="n">
        <v>46113</v>
      </c>
      <c r="C467" s="1" t="n">
        <v>46191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7140-2024</t>
        </is>
      </c>
      <c r="B468" s="1" t="n">
        <v>45344</v>
      </c>
      <c r="C468" s="1" t="n">
        <v>46191</v>
      </c>
      <c r="D468" t="inlineStr">
        <is>
          <t>DALARNAS LÄN</t>
        </is>
      </c>
      <c r="E468" t="inlineStr">
        <is>
          <t>RÄTTVIK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57505-2025</t>
        </is>
      </c>
      <c r="B469" s="1" t="n">
        <v>45980</v>
      </c>
      <c r="C469" s="1" t="n">
        <v>46191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2042-2025</t>
        </is>
      </c>
      <c r="B470" s="1" t="n">
        <v>45671</v>
      </c>
      <c r="C470" s="1" t="n">
        <v>46191</v>
      </c>
      <c r="D470" t="inlineStr">
        <is>
          <t>DALARNAS LÄN</t>
        </is>
      </c>
      <c r="E470" t="inlineStr">
        <is>
          <t>RÄTTVIK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22741-2026</t>
        </is>
      </c>
      <c r="B471" s="1" t="n">
        <v>46157</v>
      </c>
      <c r="C471" s="1" t="n">
        <v>46191</v>
      </c>
      <c r="D471" t="inlineStr">
        <is>
          <t>DALARNAS LÄN</t>
        </is>
      </c>
      <c r="E471" t="inlineStr">
        <is>
          <t>RÄTTVIK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38143-2023</t>
        </is>
      </c>
      <c r="B472" s="1" t="n">
        <v>45161</v>
      </c>
      <c r="C472" s="1" t="n">
        <v>46191</v>
      </c>
      <c r="D472" t="inlineStr">
        <is>
          <t>DALARNAS LÄN</t>
        </is>
      </c>
      <c r="E472" t="inlineStr">
        <is>
          <t>RÄTTVIK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17095-2026</t>
        </is>
      </c>
      <c r="B473" s="1" t="n">
        <v>46114</v>
      </c>
      <c r="C473" s="1" t="n">
        <v>46191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17096-2026</t>
        </is>
      </c>
      <c r="B474" s="1" t="n">
        <v>46114</v>
      </c>
      <c r="C474" s="1" t="n">
        <v>46191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6489-2026</t>
        </is>
      </c>
      <c r="B475" s="1" t="n">
        <v>46056</v>
      </c>
      <c r="C475" s="1" t="n">
        <v>46191</v>
      </c>
      <c r="D475" t="inlineStr">
        <is>
          <t>DALARNAS LÄN</t>
        </is>
      </c>
      <c r="E475" t="inlineStr">
        <is>
          <t>RÄTTVIK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57820-2025</t>
        </is>
      </c>
      <c r="B476" s="1" t="n">
        <v>45981</v>
      </c>
      <c r="C476" s="1" t="n">
        <v>46191</v>
      </c>
      <c r="D476" t="inlineStr">
        <is>
          <t>DALARNAS LÄN</t>
        </is>
      </c>
      <c r="E476" t="inlineStr">
        <is>
          <t>RÄTTVIK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26717-2023</t>
        </is>
      </c>
      <c r="B477" s="1" t="n">
        <v>45093</v>
      </c>
      <c r="C477" s="1" t="n">
        <v>46191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36455-2024</t>
        </is>
      </c>
      <c r="B478" s="1" t="n">
        <v>45537</v>
      </c>
      <c r="C478" s="1" t="n">
        <v>46191</v>
      </c>
      <c r="D478" t="inlineStr">
        <is>
          <t>DALARNAS LÄN</t>
        </is>
      </c>
      <c r="E478" t="inlineStr">
        <is>
          <t>RÄTTVIK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36442-2024</t>
        </is>
      </c>
      <c r="B479" s="1" t="n">
        <v>45537</v>
      </c>
      <c r="C479" s="1" t="n">
        <v>46191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54697-2023</t>
        </is>
      </c>
      <c r="B480" s="1" t="n">
        <v>45236</v>
      </c>
      <c r="C480" s="1" t="n">
        <v>46191</v>
      </c>
      <c r="D480" t="inlineStr">
        <is>
          <t>DALARNAS LÄN</t>
        </is>
      </c>
      <c r="E480" t="inlineStr">
        <is>
          <t>RÄTTVIK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58550-2025</t>
        </is>
      </c>
      <c r="B481" s="1" t="n">
        <v>45986</v>
      </c>
      <c r="C481" s="1" t="n">
        <v>46191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33082-2024</t>
        </is>
      </c>
      <c r="B482" s="1" t="n">
        <v>45517</v>
      </c>
      <c r="C482" s="1" t="n">
        <v>46191</v>
      </c>
      <c r="D482" t="inlineStr">
        <is>
          <t>DALARNAS LÄN</t>
        </is>
      </c>
      <c r="E482" t="inlineStr">
        <is>
          <t>RÄTTVIK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17350-2026</t>
        </is>
      </c>
      <c r="B483" s="1" t="n">
        <v>46119</v>
      </c>
      <c r="C483" s="1" t="n">
        <v>46191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58273-2025</t>
        </is>
      </c>
      <c r="B484" s="1" t="n">
        <v>45985</v>
      </c>
      <c r="C484" s="1" t="n">
        <v>46191</v>
      </c>
      <c r="D484" t="inlineStr">
        <is>
          <t>DALARNAS LÄN</t>
        </is>
      </c>
      <c r="E484" t="inlineStr">
        <is>
          <t>RÄTTVIK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58381-2025</t>
        </is>
      </c>
      <c r="B485" s="1" t="n">
        <v>45985</v>
      </c>
      <c r="C485" s="1" t="n">
        <v>46191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58334-2025</t>
        </is>
      </c>
      <c r="B486" s="1" t="n">
        <v>45985</v>
      </c>
      <c r="C486" s="1" t="n">
        <v>46191</v>
      </c>
      <c r="D486" t="inlineStr">
        <is>
          <t>DALARNAS LÄN</t>
        </is>
      </c>
      <c r="E486" t="inlineStr">
        <is>
          <t>RÄTTVIK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58275-2025</t>
        </is>
      </c>
      <c r="B487" s="1" t="n">
        <v>45985</v>
      </c>
      <c r="C487" s="1" t="n">
        <v>46191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60958-2023</t>
        </is>
      </c>
      <c r="B488" s="1" t="n">
        <v>45259</v>
      </c>
      <c r="C488" s="1" t="n">
        <v>46191</v>
      </c>
      <c r="D488" t="inlineStr">
        <is>
          <t>DALARNAS LÄN</t>
        </is>
      </c>
      <c r="E488" t="inlineStr">
        <is>
          <t>RÄTTVIK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58260-2025</t>
        </is>
      </c>
      <c r="B489" s="1" t="n">
        <v>45985</v>
      </c>
      <c r="C489" s="1" t="n">
        <v>46191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45472-2022</t>
        </is>
      </c>
      <c r="B490" s="1" t="n">
        <v>44841</v>
      </c>
      <c r="C490" s="1" t="n">
        <v>46191</v>
      </c>
      <c r="D490" t="inlineStr">
        <is>
          <t>DALARNAS LÄN</t>
        </is>
      </c>
      <c r="E490" t="inlineStr">
        <is>
          <t>RÄTTVIK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38692-2024</t>
        </is>
      </c>
      <c r="B491" s="1" t="n">
        <v>45547</v>
      </c>
      <c r="C491" s="1" t="n">
        <v>46191</v>
      </c>
      <c r="D491" t="inlineStr">
        <is>
          <t>DALARNAS LÄN</t>
        </is>
      </c>
      <c r="E491" t="inlineStr">
        <is>
          <t>RÄTTVIK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34030-2024</t>
        </is>
      </c>
      <c r="B492" s="1" t="n">
        <v>45523</v>
      </c>
      <c r="C492" s="1" t="n">
        <v>46191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58317-2025</t>
        </is>
      </c>
      <c r="B493" s="1" t="n">
        <v>45985</v>
      </c>
      <c r="C493" s="1" t="n">
        <v>46191</v>
      </c>
      <c r="D493" t="inlineStr">
        <is>
          <t>DALARNAS LÄN</t>
        </is>
      </c>
      <c r="E493" t="inlineStr">
        <is>
          <t>RÄTTVIK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58361-2025</t>
        </is>
      </c>
      <c r="B494" s="1" t="n">
        <v>45985</v>
      </c>
      <c r="C494" s="1" t="n">
        <v>46191</v>
      </c>
      <c r="D494" t="inlineStr">
        <is>
          <t>DALARNAS LÄN</t>
        </is>
      </c>
      <c r="E494" t="inlineStr">
        <is>
          <t>RÄTTVIK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58714-2025</t>
        </is>
      </c>
      <c r="B495" s="1" t="n">
        <v>45986</v>
      </c>
      <c r="C495" s="1" t="n">
        <v>46191</v>
      </c>
      <c r="D495" t="inlineStr">
        <is>
          <t>DALARNAS LÄN</t>
        </is>
      </c>
      <c r="E495" t="inlineStr">
        <is>
          <t>RÄTTVIK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60455-2022</t>
        </is>
      </c>
      <c r="B496" s="1" t="n">
        <v>44911</v>
      </c>
      <c r="C496" s="1" t="n">
        <v>46191</v>
      </c>
      <c r="D496" t="inlineStr">
        <is>
          <t>DALARNAS LÄN</t>
        </is>
      </c>
      <c r="E496" t="inlineStr">
        <is>
          <t>RÄTTVIK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58433-2025</t>
        </is>
      </c>
      <c r="B497" s="1" t="n">
        <v>45985</v>
      </c>
      <c r="C497" s="1" t="n">
        <v>46191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58564-2025</t>
        </is>
      </c>
      <c r="B498" s="1" t="n">
        <v>45986</v>
      </c>
      <c r="C498" s="1" t="n">
        <v>46191</v>
      </c>
      <c r="D498" t="inlineStr">
        <is>
          <t>DALARNAS LÄN</t>
        </is>
      </c>
      <c r="E498" t="inlineStr">
        <is>
          <t>RÄTTVIK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37124-2024</t>
        </is>
      </c>
      <c r="B499" s="1" t="n">
        <v>45539</v>
      </c>
      <c r="C499" s="1" t="n">
        <v>46191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50591-2021</t>
        </is>
      </c>
      <c r="B500" s="1" t="n">
        <v>44459</v>
      </c>
      <c r="C500" s="1" t="n">
        <v>46191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58844-2025</t>
        </is>
      </c>
      <c r="B501" s="1" t="n">
        <v>45987</v>
      </c>
      <c r="C501" s="1" t="n">
        <v>46191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59060-2025</t>
        </is>
      </c>
      <c r="B502" s="1" t="n">
        <v>45988</v>
      </c>
      <c r="C502" s="1" t="n">
        <v>46191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46191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64804-2023</t>
        </is>
      </c>
      <c r="B504" s="1" t="n">
        <v>45282</v>
      </c>
      <c r="C504" s="1" t="n">
        <v>46191</v>
      </c>
      <c r="D504" t="inlineStr">
        <is>
          <t>DALARNAS LÄN</t>
        </is>
      </c>
      <c r="E504" t="inlineStr">
        <is>
          <t>RÄTTVIK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9971-2022</t>
        </is>
      </c>
      <c r="B505" s="1" t="n">
        <v>44621</v>
      </c>
      <c r="C505" s="1" t="n">
        <v>46191</v>
      </c>
      <c r="D505" t="inlineStr">
        <is>
          <t>DALARNAS LÄN</t>
        </is>
      </c>
      <c r="E505" t="inlineStr">
        <is>
          <t>RÄTTVIK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6189-2023</t>
        </is>
      </c>
      <c r="B506" s="1" t="n">
        <v>44964</v>
      </c>
      <c r="C506" s="1" t="n">
        <v>46191</v>
      </c>
      <c r="D506" t="inlineStr">
        <is>
          <t>DALARNAS LÄN</t>
        </is>
      </c>
      <c r="E506" t="inlineStr">
        <is>
          <t>RÄTTVIK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59500-2025</t>
        </is>
      </c>
      <c r="B507" s="1" t="n">
        <v>45989</v>
      </c>
      <c r="C507" s="1" t="n">
        <v>46191</v>
      </c>
      <c r="D507" t="inlineStr">
        <is>
          <t>DALARNAS LÄN</t>
        </is>
      </c>
      <c r="E507" t="inlineStr">
        <is>
          <t>RÄTTVIK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40458-2024</t>
        </is>
      </c>
      <c r="B508" s="1" t="n">
        <v>45555</v>
      </c>
      <c r="C508" s="1" t="n">
        <v>46191</v>
      </c>
      <c r="D508" t="inlineStr">
        <is>
          <t>DALARNAS LÄN</t>
        </is>
      </c>
      <c r="E508" t="inlineStr">
        <is>
          <t>RÄTTVIK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59504-2025</t>
        </is>
      </c>
      <c r="B509" s="1" t="n">
        <v>45989</v>
      </c>
      <c r="C509" s="1" t="n">
        <v>46191</v>
      </c>
      <c r="D509" t="inlineStr">
        <is>
          <t>DALARNAS LÄN</t>
        </is>
      </c>
      <c r="E509" t="inlineStr">
        <is>
          <t>RÄTTVIK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23774-2026</t>
        </is>
      </c>
      <c r="B510" s="1" t="n">
        <v>46164</v>
      </c>
      <c r="C510" s="1" t="n">
        <v>46191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23946-2026</t>
        </is>
      </c>
      <c r="B511" s="1" t="n">
        <v>46167</v>
      </c>
      <c r="C511" s="1" t="n">
        <v>46191</v>
      </c>
      <c r="D511" t="inlineStr">
        <is>
          <t>DALARNAS LÄN</t>
        </is>
      </c>
      <c r="E511" t="inlineStr">
        <is>
          <t>RÄTTVIK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17870-2026</t>
        </is>
      </c>
      <c r="B512" s="1" t="n">
        <v>46122</v>
      </c>
      <c r="C512" s="1" t="n">
        <v>46191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46191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7021-2022</t>
        </is>
      </c>
      <c r="B514" s="1" t="n">
        <v>44602</v>
      </c>
      <c r="C514" s="1" t="n">
        <v>46191</v>
      </c>
      <c r="D514" t="inlineStr">
        <is>
          <t>DALARNAS LÄN</t>
        </is>
      </c>
      <c r="E514" t="inlineStr">
        <is>
          <t>RÄTTVIK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59721-2025</t>
        </is>
      </c>
      <c r="B515" s="1" t="n">
        <v>45992</v>
      </c>
      <c r="C515" s="1" t="n">
        <v>46191</v>
      </c>
      <c r="D515" t="inlineStr">
        <is>
          <t>DALARNAS LÄN</t>
        </is>
      </c>
      <c r="E515" t="inlineStr">
        <is>
          <t>RÄTTVIK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34813-2022</t>
        </is>
      </c>
      <c r="B516" s="1" t="n">
        <v>44796</v>
      </c>
      <c r="C516" s="1" t="n">
        <v>46191</v>
      </c>
      <c r="D516" t="inlineStr">
        <is>
          <t>DALARNAS LÄN</t>
        </is>
      </c>
      <c r="E516" t="inlineStr">
        <is>
          <t>RÄTTVIK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18001-2026</t>
        </is>
      </c>
      <c r="B517" s="1" t="n">
        <v>46125</v>
      </c>
      <c r="C517" s="1" t="n">
        <v>46191</v>
      </c>
      <c r="D517" t="inlineStr">
        <is>
          <t>DALARNAS LÄN</t>
        </is>
      </c>
      <c r="E517" t="inlineStr">
        <is>
          <t>RÄTTVIK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27388-2022</t>
        </is>
      </c>
      <c r="B518" s="1" t="n">
        <v>44742</v>
      </c>
      <c r="C518" s="1" t="n">
        <v>46191</v>
      </c>
      <c r="D518" t="inlineStr">
        <is>
          <t>DALARNAS LÄN</t>
        </is>
      </c>
      <c r="E518" t="inlineStr">
        <is>
          <t>RÄTTVIK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60302-2025</t>
        </is>
      </c>
      <c r="B519" s="1" t="n">
        <v>45994</v>
      </c>
      <c r="C519" s="1" t="n">
        <v>46191</v>
      </c>
      <c r="D519" t="inlineStr">
        <is>
          <t>DALARNAS LÄN</t>
        </is>
      </c>
      <c r="E519" t="inlineStr">
        <is>
          <t>RÄTTVIK</t>
        </is>
      </c>
      <c r="F519" t="inlineStr">
        <is>
          <t>Övriga statliga verk och myndigheter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17865-2026</t>
        </is>
      </c>
      <c r="B520" s="1" t="n">
        <v>46122</v>
      </c>
      <c r="C520" s="1" t="n">
        <v>46191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6169-2024</t>
        </is>
      </c>
      <c r="B521" s="1" t="n">
        <v>45337</v>
      </c>
      <c r="C521" s="1" t="n">
        <v>46191</v>
      </c>
      <c r="D521" t="inlineStr">
        <is>
          <t>DALARNAS LÄN</t>
        </is>
      </c>
      <c r="E521" t="inlineStr">
        <is>
          <t>RÄTTVIK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33533-2021</t>
        </is>
      </c>
      <c r="B522" s="1" t="n">
        <v>44377</v>
      </c>
      <c r="C522" s="1" t="n">
        <v>46191</v>
      </c>
      <c r="D522" t="inlineStr">
        <is>
          <t>DALARNAS LÄN</t>
        </is>
      </c>
      <c r="E522" t="inlineStr">
        <is>
          <t>RÄTTVIK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23986-2026</t>
        </is>
      </c>
      <c r="B523" s="1" t="n">
        <v>46167</v>
      </c>
      <c r="C523" s="1" t="n">
        <v>46191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17735-2026</t>
        </is>
      </c>
      <c r="B524" s="1" t="n">
        <v>46122</v>
      </c>
      <c r="C524" s="1" t="n">
        <v>46191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17776-2026</t>
        </is>
      </c>
      <c r="B525" s="1" t="n">
        <v>46122</v>
      </c>
      <c r="C525" s="1" t="n">
        <v>46191</v>
      </c>
      <c r="D525" t="inlineStr">
        <is>
          <t>DALARNAS LÄN</t>
        </is>
      </c>
      <c r="E525" t="inlineStr">
        <is>
          <t>RÄTTVIK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60288-2025</t>
        </is>
      </c>
      <c r="B526" s="1" t="n">
        <v>45994</v>
      </c>
      <c r="C526" s="1" t="n">
        <v>46191</v>
      </c>
      <c r="D526" t="inlineStr">
        <is>
          <t>DALARNAS LÄN</t>
        </is>
      </c>
      <c r="E526" t="inlineStr">
        <is>
          <t>RÄTTVIK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37249-2022</t>
        </is>
      </c>
      <c r="B527" s="1" t="n">
        <v>44807</v>
      </c>
      <c r="C527" s="1" t="n">
        <v>46191</v>
      </c>
      <c r="D527" t="inlineStr">
        <is>
          <t>DALARNAS LÄN</t>
        </is>
      </c>
      <c r="E527" t="inlineStr">
        <is>
          <t>RÄTTVIK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21882-2024</t>
        </is>
      </c>
      <c r="B528" s="1" t="n">
        <v>45443</v>
      </c>
      <c r="C528" s="1" t="n">
        <v>46191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18558-2026</t>
        </is>
      </c>
      <c r="B529" s="1" t="n">
        <v>46127</v>
      </c>
      <c r="C529" s="1" t="n">
        <v>46191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18245-2026</t>
        </is>
      </c>
      <c r="B530" s="1" t="n">
        <v>46126</v>
      </c>
      <c r="C530" s="1" t="n">
        <v>46191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öst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29315-2024</t>
        </is>
      </c>
      <c r="B531" s="1" t="n">
        <v>45483</v>
      </c>
      <c r="C531" s="1" t="n">
        <v>46191</v>
      </c>
      <c r="D531" t="inlineStr">
        <is>
          <t>DALARNAS LÄN</t>
        </is>
      </c>
      <c r="E531" t="inlineStr">
        <is>
          <t>RÄTTVIK</t>
        </is>
      </c>
      <c r="F531" t="inlineStr">
        <is>
          <t>Allmännings- och besparingsskogar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36458-2024</t>
        </is>
      </c>
      <c r="B532" s="1" t="n">
        <v>45537</v>
      </c>
      <c r="C532" s="1" t="n">
        <v>46191</v>
      </c>
      <c r="D532" t="inlineStr">
        <is>
          <t>DALARNAS LÄN</t>
        </is>
      </c>
      <c r="E532" t="inlineStr">
        <is>
          <t>RÄTTVIK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18389-2026</t>
        </is>
      </c>
      <c r="B533" s="1" t="n">
        <v>46126</v>
      </c>
      <c r="C533" s="1" t="n">
        <v>46191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öst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1069-2024</t>
        </is>
      </c>
      <c r="B534" s="1" t="n">
        <v>45302</v>
      </c>
      <c r="C534" s="1" t="n">
        <v>46191</v>
      </c>
      <c r="D534" t="inlineStr">
        <is>
          <t>DALARNAS LÄN</t>
        </is>
      </c>
      <c r="E534" t="inlineStr">
        <is>
          <t>RÄTTVIK</t>
        </is>
      </c>
      <c r="G534" t="n">
        <v>14.3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22636-2026</t>
        </is>
      </c>
      <c r="B535" s="1" t="n">
        <v>46155</v>
      </c>
      <c r="C535" s="1" t="n">
        <v>46191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18578-2026</t>
        </is>
      </c>
      <c r="B536" s="1" t="n">
        <v>46127</v>
      </c>
      <c r="C536" s="1" t="n">
        <v>46191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61213-2025</t>
        </is>
      </c>
      <c r="B537" s="1" t="n">
        <v>46000</v>
      </c>
      <c r="C537" s="1" t="n">
        <v>46191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61117-2025</t>
        </is>
      </c>
      <c r="B538" s="1" t="n">
        <v>46000</v>
      </c>
      <c r="C538" s="1" t="n">
        <v>46191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37125-2024</t>
        </is>
      </c>
      <c r="B539" s="1" t="n">
        <v>45539</v>
      </c>
      <c r="C539" s="1" t="n">
        <v>46191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60823-2025</t>
        </is>
      </c>
      <c r="B540" s="1" t="n">
        <v>45999</v>
      </c>
      <c r="C540" s="1" t="n">
        <v>46191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22803-2026</t>
        </is>
      </c>
      <c r="B541" s="1" t="n">
        <v>46159</v>
      </c>
      <c r="C541" s="1" t="n">
        <v>46191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61057-2025</t>
        </is>
      </c>
      <c r="B542" s="1" t="n">
        <v>46000</v>
      </c>
      <c r="C542" s="1" t="n">
        <v>46191</v>
      </c>
      <c r="D542" t="inlineStr">
        <is>
          <t>DALARNAS LÄN</t>
        </is>
      </c>
      <c r="E542" t="inlineStr">
        <is>
          <t>RÄTTVIK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60828-2025</t>
        </is>
      </c>
      <c r="B543" s="1" t="n">
        <v>45999</v>
      </c>
      <c r="C543" s="1" t="n">
        <v>46191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651-2023</t>
        </is>
      </c>
      <c r="B544" s="1" t="n">
        <v>44930</v>
      </c>
      <c r="C544" s="1" t="n">
        <v>46191</v>
      </c>
      <c r="D544" t="inlineStr">
        <is>
          <t>DALARNAS LÄN</t>
        </is>
      </c>
      <c r="E544" t="inlineStr">
        <is>
          <t>RÄTTVIK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12761-2025</t>
        </is>
      </c>
      <c r="B545" s="1" t="n">
        <v>45733</v>
      </c>
      <c r="C545" s="1" t="n">
        <v>46191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61338-2023</t>
        </is>
      </c>
      <c r="B546" s="1" t="n">
        <v>45264</v>
      </c>
      <c r="C546" s="1" t="n">
        <v>46191</v>
      </c>
      <c r="D546" t="inlineStr">
        <is>
          <t>DALARNAS LÄN</t>
        </is>
      </c>
      <c r="E546" t="inlineStr">
        <is>
          <t>RÄTTVIK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19249-2026</t>
        </is>
      </c>
      <c r="B547" s="1" t="n">
        <v>46132</v>
      </c>
      <c r="C547" s="1" t="n">
        <v>46191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19244-2026</t>
        </is>
      </c>
      <c r="B548" s="1" t="n">
        <v>46132</v>
      </c>
      <c r="C548" s="1" t="n">
        <v>46191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61820-2025</t>
        </is>
      </c>
      <c r="B549" s="1" t="n">
        <v>46003</v>
      </c>
      <c r="C549" s="1" t="n">
        <v>46191</v>
      </c>
      <c r="D549" t="inlineStr">
        <is>
          <t>DALARNAS LÄN</t>
        </is>
      </c>
      <c r="E549" t="inlineStr">
        <is>
          <t>RÄTTVIK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24764-2026</t>
        </is>
      </c>
      <c r="B550" s="1" t="n">
        <v>46171</v>
      </c>
      <c r="C550" s="1" t="n">
        <v>46191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18.7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46481-2025</t>
        </is>
      </c>
      <c r="B551" s="1" t="n">
        <v>45925</v>
      </c>
      <c r="C551" s="1" t="n">
        <v>46191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60165-2023</t>
        </is>
      </c>
      <c r="B552" s="1" t="n">
        <v>45258</v>
      </c>
      <c r="C552" s="1" t="n">
        <v>46191</v>
      </c>
      <c r="D552" t="inlineStr">
        <is>
          <t>DALARNAS LÄN</t>
        </is>
      </c>
      <c r="E552" t="inlineStr">
        <is>
          <t>RÄTTVIK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19247-2026</t>
        </is>
      </c>
      <c r="B553" s="1" t="n">
        <v>46132</v>
      </c>
      <c r="C553" s="1" t="n">
        <v>46191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18955-2026</t>
        </is>
      </c>
      <c r="B554" s="1" t="n">
        <v>46129</v>
      </c>
      <c r="C554" s="1" t="n">
        <v>46191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18968-2026</t>
        </is>
      </c>
      <c r="B555" s="1" t="n">
        <v>46129</v>
      </c>
      <c r="C555" s="1" t="n">
        <v>46191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18989-2026</t>
        </is>
      </c>
      <c r="B556" s="1" t="n">
        <v>46129</v>
      </c>
      <c r="C556" s="1" t="n">
        <v>46191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61814-2023</t>
        </is>
      </c>
      <c r="B557" s="1" t="n">
        <v>45266</v>
      </c>
      <c r="C557" s="1" t="n">
        <v>46191</v>
      </c>
      <c r="D557" t="inlineStr">
        <is>
          <t>DALARNAS LÄN</t>
        </is>
      </c>
      <c r="E557" t="inlineStr">
        <is>
          <t>RÄTTVIK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53304-2023</t>
        </is>
      </c>
      <c r="B558" s="1" t="n">
        <v>45229</v>
      </c>
      <c r="C558" s="1" t="n">
        <v>46191</v>
      </c>
      <c r="D558" t="inlineStr">
        <is>
          <t>DALARNAS LÄN</t>
        </is>
      </c>
      <c r="E558" t="inlineStr">
        <is>
          <t>RÄTTVIK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53471-2023</t>
        </is>
      </c>
      <c r="B559" s="1" t="n">
        <v>45230</v>
      </c>
      <c r="C559" s="1" t="n">
        <v>46191</v>
      </c>
      <c r="D559" t="inlineStr">
        <is>
          <t>DALARNAS LÄN</t>
        </is>
      </c>
      <c r="E559" t="inlineStr">
        <is>
          <t>RÄTTVIK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18751-2026</t>
        </is>
      </c>
      <c r="B560" s="1" t="n">
        <v>46128</v>
      </c>
      <c r="C560" s="1" t="n">
        <v>46191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18994-2026</t>
        </is>
      </c>
      <c r="B561" s="1" t="n">
        <v>46129</v>
      </c>
      <c r="C561" s="1" t="n">
        <v>46191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19378-2026</t>
        </is>
      </c>
      <c r="B562" s="1" t="n">
        <v>46133</v>
      </c>
      <c r="C562" s="1" t="n">
        <v>46191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25088-2026</t>
        </is>
      </c>
      <c r="B563" s="1" t="n">
        <v>46175</v>
      </c>
      <c r="C563" s="1" t="n">
        <v>46191</v>
      </c>
      <c r="D563" t="inlineStr">
        <is>
          <t>DALARNAS LÄN</t>
        </is>
      </c>
      <c r="E563" t="inlineStr">
        <is>
          <t>RÄTTVIK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63302-2025</t>
        </is>
      </c>
      <c r="B564" s="1" t="n">
        <v>46010</v>
      </c>
      <c r="C564" s="1" t="n">
        <v>46191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57205-2023</t>
        </is>
      </c>
      <c r="B565" s="1" t="n">
        <v>45245</v>
      </c>
      <c r="C565" s="1" t="n">
        <v>46191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63309-2025</t>
        </is>
      </c>
      <c r="B566" s="1" t="n">
        <v>46010</v>
      </c>
      <c r="C566" s="1" t="n">
        <v>46191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63336-2025</t>
        </is>
      </c>
      <c r="B567" s="1" t="n">
        <v>46010</v>
      </c>
      <c r="C567" s="1" t="n">
        <v>46191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57185-2023</t>
        </is>
      </c>
      <c r="B568" s="1" t="n">
        <v>45245</v>
      </c>
      <c r="C568" s="1" t="n">
        <v>46191</v>
      </c>
      <c r="D568" t="inlineStr">
        <is>
          <t>DALARNAS LÄN</t>
        </is>
      </c>
      <c r="E568" t="inlineStr">
        <is>
          <t>RÄTTVIK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63251-2025</t>
        </is>
      </c>
      <c r="B569" s="1" t="n">
        <v>46010</v>
      </c>
      <c r="C569" s="1" t="n">
        <v>46191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5622-2023</t>
        </is>
      </c>
      <c r="B570" s="1" t="n">
        <v>44960</v>
      </c>
      <c r="C570" s="1" t="n">
        <v>46191</v>
      </c>
      <c r="D570" t="inlineStr">
        <is>
          <t>DALARNAS LÄN</t>
        </is>
      </c>
      <c r="E570" t="inlineStr">
        <is>
          <t>RÄTTVIK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55379-2022</t>
        </is>
      </c>
      <c r="B571" s="1" t="n">
        <v>44882</v>
      </c>
      <c r="C571" s="1" t="n">
        <v>46191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19514-2026</t>
        </is>
      </c>
      <c r="B572" s="1" t="n">
        <v>46134</v>
      </c>
      <c r="C572" s="1" t="n">
        <v>46191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63111-2025</t>
        </is>
      </c>
      <c r="B573" s="1" t="n">
        <v>46009</v>
      </c>
      <c r="C573" s="1" t="n">
        <v>46191</v>
      </c>
      <c r="D573" t="inlineStr">
        <is>
          <t>DALARNAS LÄN</t>
        </is>
      </c>
      <c r="E573" t="inlineStr">
        <is>
          <t>RÄTTVIK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19354-2026</t>
        </is>
      </c>
      <c r="B574" s="1" t="n">
        <v>46133</v>
      </c>
      <c r="C574" s="1" t="n">
        <v>46191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63157-2025</t>
        </is>
      </c>
      <c r="B575" s="1" t="n">
        <v>46010</v>
      </c>
      <c r="C575" s="1" t="n">
        <v>46191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4197-2024</t>
        </is>
      </c>
      <c r="B576" s="1" t="n">
        <v>45324</v>
      </c>
      <c r="C576" s="1" t="n">
        <v>46191</v>
      </c>
      <c r="D576" t="inlineStr">
        <is>
          <t>DALARNAS LÄN</t>
        </is>
      </c>
      <c r="E576" t="inlineStr">
        <is>
          <t>RÄTTVIK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25087-2026</t>
        </is>
      </c>
      <c r="B577" s="1" t="n">
        <v>46175</v>
      </c>
      <c r="C577" s="1" t="n">
        <v>46191</v>
      </c>
      <c r="D577" t="inlineStr">
        <is>
          <t>DALARNAS LÄN</t>
        </is>
      </c>
      <c r="E577" t="inlineStr">
        <is>
          <t>RÄTTVIK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46246-2025</t>
        </is>
      </c>
      <c r="B578" s="1" t="n">
        <v>45925</v>
      </c>
      <c r="C578" s="1" t="n">
        <v>46191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20573-2022</t>
        </is>
      </c>
      <c r="B579" s="1" t="n">
        <v>44700</v>
      </c>
      <c r="C579" s="1" t="n">
        <v>46191</v>
      </c>
      <c r="D579" t="inlineStr">
        <is>
          <t>DALARNAS LÄN</t>
        </is>
      </c>
      <c r="E579" t="inlineStr">
        <is>
          <t>RÄTTVIK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18064-2022</t>
        </is>
      </c>
      <c r="B580" s="1" t="n">
        <v>44684</v>
      </c>
      <c r="C580" s="1" t="n">
        <v>46191</v>
      </c>
      <c r="D580" t="inlineStr">
        <is>
          <t>DALARNAS LÄN</t>
        </is>
      </c>
      <c r="E580" t="inlineStr">
        <is>
          <t>RÄTTVIK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27921-2023</t>
        </is>
      </c>
      <c r="B581" s="1" t="n">
        <v>45098</v>
      </c>
      <c r="C581" s="1" t="n">
        <v>46191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13032-2023</t>
        </is>
      </c>
      <c r="B582" s="1" t="n">
        <v>45002</v>
      </c>
      <c r="C582" s="1" t="n">
        <v>46191</v>
      </c>
      <c r="D582" t="inlineStr">
        <is>
          <t>DALARNAS LÄN</t>
        </is>
      </c>
      <c r="E582" t="inlineStr">
        <is>
          <t>RÄTTVIK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25723-2026</t>
        </is>
      </c>
      <c r="B583" s="1" t="n">
        <v>46178</v>
      </c>
      <c r="C583" s="1" t="n">
        <v>46191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53178-2025</t>
        </is>
      </c>
      <c r="B584" s="1" t="n">
        <v>45958</v>
      </c>
      <c r="C584" s="1" t="n">
        <v>46191</v>
      </c>
      <c r="D584" t="inlineStr">
        <is>
          <t>DALARNAS LÄN</t>
        </is>
      </c>
      <c r="E584" t="inlineStr">
        <is>
          <t>RÄTTVIK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28013-2022</t>
        </is>
      </c>
      <c r="B585" s="1" t="n">
        <v>44746</v>
      </c>
      <c r="C585" s="1" t="n">
        <v>46191</v>
      </c>
      <c r="D585" t="inlineStr">
        <is>
          <t>DALARNAS LÄN</t>
        </is>
      </c>
      <c r="E585" t="inlineStr">
        <is>
          <t>RÄTTVIK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25669-2026</t>
        </is>
      </c>
      <c r="B586" s="1" t="n">
        <v>46178</v>
      </c>
      <c r="C586" s="1" t="n">
        <v>46191</v>
      </c>
      <c r="D586" t="inlineStr">
        <is>
          <t>DALARNAS LÄN</t>
        </is>
      </c>
      <c r="E586" t="inlineStr">
        <is>
          <t>RÄTTVIK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15661-2023</t>
        </is>
      </c>
      <c r="B587" s="1" t="n">
        <v>45019</v>
      </c>
      <c r="C587" s="1" t="n">
        <v>46191</v>
      </c>
      <c r="D587" t="inlineStr">
        <is>
          <t>DALARNAS LÄN</t>
        </is>
      </c>
      <c r="E587" t="inlineStr">
        <is>
          <t>RÄTTVIK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15668-2023</t>
        </is>
      </c>
      <c r="B588" s="1" t="n">
        <v>45019</v>
      </c>
      <c r="C588" s="1" t="n">
        <v>46191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46707-2023</t>
        </is>
      </c>
      <c r="B589" s="1" t="n">
        <v>45194</v>
      </c>
      <c r="C589" s="1" t="n">
        <v>46191</v>
      </c>
      <c r="D589" t="inlineStr">
        <is>
          <t>DALARNAS LÄN</t>
        </is>
      </c>
      <c r="E589" t="inlineStr">
        <is>
          <t>RÄTTVIK</t>
        </is>
      </c>
      <c r="F589" t="inlineStr">
        <is>
          <t>Allmännings- och besparingsskogar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356-2026</t>
        </is>
      </c>
      <c r="B590" s="1" t="n">
        <v>46027</v>
      </c>
      <c r="C590" s="1" t="n">
        <v>46191</v>
      </c>
      <c r="D590" t="inlineStr">
        <is>
          <t>DALARNAS LÄN</t>
        </is>
      </c>
      <c r="E590" t="inlineStr">
        <is>
          <t>RÄTTVIK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339-2026</t>
        </is>
      </c>
      <c r="B591" s="1" t="n">
        <v>46027</v>
      </c>
      <c r="C591" s="1" t="n">
        <v>46191</v>
      </c>
      <c r="D591" t="inlineStr">
        <is>
          <t>DALARNAS LÄN</t>
        </is>
      </c>
      <c r="E591" t="inlineStr">
        <is>
          <t>RÄTTVIK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338-2026</t>
        </is>
      </c>
      <c r="B592" s="1" t="n">
        <v>46027</v>
      </c>
      <c r="C592" s="1" t="n">
        <v>46191</v>
      </c>
      <c r="D592" t="inlineStr">
        <is>
          <t>DALARNAS LÄN</t>
        </is>
      </c>
      <c r="E592" t="inlineStr">
        <is>
          <t>RÄTTVIK</t>
        </is>
      </c>
      <c r="G592" t="n">
        <v>12.9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592-2026</t>
        </is>
      </c>
      <c r="B593" s="1" t="n">
        <v>46027</v>
      </c>
      <c r="C593" s="1" t="n">
        <v>46191</v>
      </c>
      <c r="D593" t="inlineStr">
        <is>
          <t>DALARNAS LÄN</t>
        </is>
      </c>
      <c r="E593" t="inlineStr">
        <is>
          <t>RÄTTVIK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25479-2026</t>
        </is>
      </c>
      <c r="B594" s="1" t="n">
        <v>46177</v>
      </c>
      <c r="C594" s="1" t="n">
        <v>46191</v>
      </c>
      <c r="D594" t="inlineStr">
        <is>
          <t>DALARNAS LÄN</t>
        </is>
      </c>
      <c r="E594" t="inlineStr">
        <is>
          <t>RÄTTVIK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934-2026</t>
        </is>
      </c>
      <c r="B595" s="1" t="n">
        <v>46030</v>
      </c>
      <c r="C595" s="1" t="n">
        <v>46191</v>
      </c>
      <c r="D595" t="inlineStr">
        <is>
          <t>DALARNAS LÄN</t>
        </is>
      </c>
      <c r="E595" t="inlineStr">
        <is>
          <t>RÄTTVIK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19986-2026</t>
        </is>
      </c>
      <c r="B596" s="1" t="n">
        <v>46136</v>
      </c>
      <c r="C596" s="1" t="n">
        <v>46191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1070-2025</t>
        </is>
      </c>
      <c r="B597" s="1" t="n">
        <v>45666</v>
      </c>
      <c r="C597" s="1" t="n">
        <v>46191</v>
      </c>
      <c r="D597" t="inlineStr">
        <is>
          <t>DALARNAS LÄN</t>
        </is>
      </c>
      <c r="E597" t="inlineStr">
        <is>
          <t>RÄTTVIK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25666-2026</t>
        </is>
      </c>
      <c r="B598" s="1" t="n">
        <v>46178</v>
      </c>
      <c r="C598" s="1" t="n">
        <v>46191</v>
      </c>
      <c r="D598" t="inlineStr">
        <is>
          <t>DALARNAS LÄN</t>
        </is>
      </c>
      <c r="E598" t="inlineStr">
        <is>
          <t>RÄTTVIK</t>
        </is>
      </c>
      <c r="F598" t="inlineStr">
        <is>
          <t>Övriga statliga verk och myndigheter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25484-2026</t>
        </is>
      </c>
      <c r="B599" s="1" t="n">
        <v>46177</v>
      </c>
      <c r="C599" s="1" t="n">
        <v>46191</v>
      </c>
      <c r="D599" t="inlineStr">
        <is>
          <t>DALARNAS LÄN</t>
        </is>
      </c>
      <c r="E599" t="inlineStr">
        <is>
          <t>RÄTTVIK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492-2023</t>
        </is>
      </c>
      <c r="B600" s="1" t="n">
        <v>44930</v>
      </c>
      <c r="C600" s="1" t="n">
        <v>46191</v>
      </c>
      <c r="D600" t="inlineStr">
        <is>
          <t>DALARNAS LÄN</t>
        </is>
      </c>
      <c r="E600" t="inlineStr">
        <is>
          <t>RÄTTVIK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493-2023</t>
        </is>
      </c>
      <c r="B601" s="1" t="n">
        <v>44930</v>
      </c>
      <c r="C601" s="1" t="n">
        <v>46191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43671-2022</t>
        </is>
      </c>
      <c r="B602" s="1" t="n">
        <v>44834</v>
      </c>
      <c r="C602" s="1" t="n">
        <v>46191</v>
      </c>
      <c r="D602" t="inlineStr">
        <is>
          <t>DALARNAS LÄN</t>
        </is>
      </c>
      <c r="E602" t="inlineStr">
        <is>
          <t>RÄTTVIK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61970-2023</t>
        </is>
      </c>
      <c r="B603" s="1" t="n">
        <v>45266</v>
      </c>
      <c r="C603" s="1" t="n">
        <v>46191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13770-2025</t>
        </is>
      </c>
      <c r="B604" s="1" t="n">
        <v>45737</v>
      </c>
      <c r="C604" s="1" t="n">
        <v>46191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7146-2024</t>
        </is>
      </c>
      <c r="B605" s="1" t="n">
        <v>45344</v>
      </c>
      <c r="C605" s="1" t="n">
        <v>46191</v>
      </c>
      <c r="D605" t="inlineStr">
        <is>
          <t>DALARNAS LÄN</t>
        </is>
      </c>
      <c r="E605" t="inlineStr">
        <is>
          <t>RÄTTVIK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1336-2026</t>
        </is>
      </c>
      <c r="B606" s="1" t="n">
        <v>46031</v>
      </c>
      <c r="C606" s="1" t="n">
        <v>46191</v>
      </c>
      <c r="D606" t="inlineStr">
        <is>
          <t>DALARNAS LÄN</t>
        </is>
      </c>
      <c r="E606" t="inlineStr">
        <is>
          <t>RÄTTVIK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21850-2025</t>
        </is>
      </c>
      <c r="B607" s="1" t="n">
        <v>45784</v>
      </c>
      <c r="C607" s="1" t="n">
        <v>46191</v>
      </c>
      <c r="D607" t="inlineStr">
        <is>
          <t>DALARNAS LÄN</t>
        </is>
      </c>
      <c r="E607" t="inlineStr">
        <is>
          <t>RÄTTVIK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57094-2023</t>
        </is>
      </c>
      <c r="B608" s="1" t="n">
        <v>45245</v>
      </c>
      <c r="C608" s="1" t="n">
        <v>46191</v>
      </c>
      <c r="D608" t="inlineStr">
        <is>
          <t>DALARNAS LÄN</t>
        </is>
      </c>
      <c r="E608" t="inlineStr">
        <is>
          <t>RÄTTVIK</t>
        </is>
      </c>
      <c r="F608" t="inlineStr">
        <is>
          <t>Kyrkan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20113-2026</t>
        </is>
      </c>
      <c r="B609" s="1" t="n">
        <v>46136</v>
      </c>
      <c r="C609" s="1" t="n">
        <v>46191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1460-2026</t>
        </is>
      </c>
      <c r="B610" s="1" t="n">
        <v>46033</v>
      </c>
      <c r="C610" s="1" t="n">
        <v>46191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1462-2026</t>
        </is>
      </c>
      <c r="B611" s="1" t="n">
        <v>46033</v>
      </c>
      <c r="C611" s="1" t="n">
        <v>46191</v>
      </c>
      <c r="D611" t="inlineStr">
        <is>
          <t>DALARNAS LÄN</t>
        </is>
      </c>
      <c r="E611" t="inlineStr">
        <is>
          <t>RÄTTVIK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1463-2026</t>
        </is>
      </c>
      <c r="B612" s="1" t="n">
        <v>46033</v>
      </c>
      <c r="C612" s="1" t="n">
        <v>46191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15040-2026</t>
        </is>
      </c>
      <c r="B613" s="1" t="n">
        <v>46104</v>
      </c>
      <c r="C613" s="1" t="n">
        <v>46191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19980-2026</t>
        </is>
      </c>
      <c r="B614" s="1" t="n">
        <v>46136</v>
      </c>
      <c r="C614" s="1" t="n">
        <v>46191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48230-2024</t>
        </is>
      </c>
      <c r="B615" s="1" t="n">
        <v>45590</v>
      </c>
      <c r="C615" s="1" t="n">
        <v>46191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1646-2026</t>
        </is>
      </c>
      <c r="B616" s="1" t="n">
        <v>46034</v>
      </c>
      <c r="C616" s="1" t="n">
        <v>46191</v>
      </c>
      <c r="D616" t="inlineStr">
        <is>
          <t>DALARNAS LÄN</t>
        </is>
      </c>
      <c r="E616" t="inlineStr">
        <is>
          <t>RÄTTVIK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57761-2022</t>
        </is>
      </c>
      <c r="B617" s="1" t="n">
        <v>44890</v>
      </c>
      <c r="C617" s="1" t="n">
        <v>46191</v>
      </c>
      <c r="D617" t="inlineStr">
        <is>
          <t>DALARNAS LÄN</t>
        </is>
      </c>
      <c r="E617" t="inlineStr">
        <is>
          <t>RÄTTVIK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55022-2024</t>
        </is>
      </c>
      <c r="B618" s="1" t="n">
        <v>45618</v>
      </c>
      <c r="C618" s="1" t="n">
        <v>46191</v>
      </c>
      <c r="D618" t="inlineStr">
        <is>
          <t>DALARNAS LÄN</t>
        </is>
      </c>
      <c r="E618" t="inlineStr">
        <is>
          <t>RÄTTVIK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25527-2026</t>
        </is>
      </c>
      <c r="B619" s="1" t="n">
        <v>46177</v>
      </c>
      <c r="C619" s="1" t="n">
        <v>46191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2121-2026</t>
        </is>
      </c>
      <c r="B620" s="1" t="n">
        <v>46036</v>
      </c>
      <c r="C620" s="1" t="n">
        <v>46191</v>
      </c>
      <c r="D620" t="inlineStr">
        <is>
          <t>DALARNAS LÄN</t>
        </is>
      </c>
      <c r="E620" t="inlineStr">
        <is>
          <t>RÄTTVIK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23275-2026</t>
        </is>
      </c>
      <c r="B621" s="1" t="n">
        <v>46162</v>
      </c>
      <c r="C621" s="1" t="n">
        <v>46191</v>
      </c>
      <c r="D621" t="inlineStr">
        <is>
          <t>DALARNAS LÄN</t>
        </is>
      </c>
      <c r="E621" t="inlineStr">
        <is>
          <t>RÄTTVIK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17702-2026</t>
        </is>
      </c>
      <c r="B622" s="1" t="n">
        <v>46121</v>
      </c>
      <c r="C622" s="1" t="n">
        <v>46191</v>
      </c>
      <c r="D622" t="inlineStr">
        <is>
          <t>DALARNAS LÄN</t>
        </is>
      </c>
      <c r="E622" t="inlineStr">
        <is>
          <t>RÄTTVIK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37055-2024</t>
        </is>
      </c>
      <c r="B623" s="1" t="n">
        <v>45539</v>
      </c>
      <c r="C623" s="1" t="n">
        <v>46191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61996-2022</t>
        </is>
      </c>
      <c r="B624" s="1" t="n">
        <v>44914</v>
      </c>
      <c r="C624" s="1" t="n">
        <v>46191</v>
      </c>
      <c r="D624" t="inlineStr">
        <is>
          <t>DALARNAS LÄN</t>
        </is>
      </c>
      <c r="E624" t="inlineStr">
        <is>
          <t>RÄTTVIK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61656-2024</t>
        </is>
      </c>
      <c r="B625" s="1" t="n">
        <v>45646</v>
      </c>
      <c r="C625" s="1" t="n">
        <v>46191</v>
      </c>
      <c r="D625" t="inlineStr">
        <is>
          <t>DALARNAS LÄN</t>
        </is>
      </c>
      <c r="E625" t="inlineStr">
        <is>
          <t>RÄTTVIK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39291-2024</t>
        </is>
      </c>
      <c r="B626" s="1" t="n">
        <v>45551</v>
      </c>
      <c r="C626" s="1" t="n">
        <v>46191</v>
      </c>
      <c r="D626" t="inlineStr">
        <is>
          <t>DALARNAS LÄN</t>
        </is>
      </c>
      <c r="E626" t="inlineStr">
        <is>
          <t>RÄTTVIK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46384-2024</t>
        </is>
      </c>
      <c r="B627" s="1" t="n">
        <v>45582</v>
      </c>
      <c r="C627" s="1" t="n">
        <v>46191</v>
      </c>
      <c r="D627" t="inlineStr">
        <is>
          <t>DALARNAS LÄN</t>
        </is>
      </c>
      <c r="E627" t="inlineStr">
        <is>
          <t>RÄTTVIK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12496-2024</t>
        </is>
      </c>
      <c r="B628" s="1" t="n">
        <v>45379</v>
      </c>
      <c r="C628" s="1" t="n">
        <v>46191</v>
      </c>
      <c r="D628" t="inlineStr">
        <is>
          <t>DALARNAS LÄN</t>
        </is>
      </c>
      <c r="E628" t="inlineStr">
        <is>
          <t>RÄTTVIK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2692-2026</t>
        </is>
      </c>
      <c r="B629" s="1" t="n">
        <v>46037</v>
      </c>
      <c r="C629" s="1" t="n">
        <v>46191</v>
      </c>
      <c r="D629" t="inlineStr">
        <is>
          <t>DALARNAS LÄN</t>
        </is>
      </c>
      <c r="E629" t="inlineStr">
        <is>
          <t>RÄTTVIK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33165-2024</t>
        </is>
      </c>
      <c r="B630" s="1" t="n">
        <v>45518</v>
      </c>
      <c r="C630" s="1" t="n">
        <v>46191</v>
      </c>
      <c r="D630" t="inlineStr">
        <is>
          <t>DALARNAS LÄN</t>
        </is>
      </c>
      <c r="E630" t="inlineStr">
        <is>
          <t>RÄTTVIK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33174-2024</t>
        </is>
      </c>
      <c r="B631" s="1" t="n">
        <v>45518</v>
      </c>
      <c r="C631" s="1" t="n">
        <v>46191</v>
      </c>
      <c r="D631" t="inlineStr">
        <is>
          <t>DALARNAS LÄN</t>
        </is>
      </c>
      <c r="E631" t="inlineStr">
        <is>
          <t>RÄTTVIK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44733-2023</t>
        </is>
      </c>
      <c r="B632" s="1" t="n">
        <v>45190</v>
      </c>
      <c r="C632" s="1" t="n">
        <v>46191</v>
      </c>
      <c r="D632" t="inlineStr">
        <is>
          <t>DALARNAS LÄN</t>
        </is>
      </c>
      <c r="E632" t="inlineStr">
        <is>
          <t>RÄTTVIK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45621-2023</t>
        </is>
      </c>
      <c r="B633" s="1" t="n">
        <v>45188</v>
      </c>
      <c r="C633" s="1" t="n">
        <v>46191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295-2023</t>
        </is>
      </c>
      <c r="B634" s="1" t="n">
        <v>44922</v>
      </c>
      <c r="C634" s="1" t="n">
        <v>46191</v>
      </c>
      <c r="D634" t="inlineStr">
        <is>
          <t>DALARNAS LÄN</t>
        </is>
      </c>
      <c r="E634" t="inlineStr">
        <is>
          <t>RÄTTVIK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37328-2023</t>
        </is>
      </c>
      <c r="B635" s="1" t="n">
        <v>45155</v>
      </c>
      <c r="C635" s="1" t="n">
        <v>46191</v>
      </c>
      <c r="D635" t="inlineStr">
        <is>
          <t>DALARNAS LÄN</t>
        </is>
      </c>
      <c r="E635" t="inlineStr">
        <is>
          <t>RÄTTVIK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60228-2022</t>
        </is>
      </c>
      <c r="B636" s="1" t="n">
        <v>44910</v>
      </c>
      <c r="C636" s="1" t="n">
        <v>46191</v>
      </c>
      <c r="D636" t="inlineStr">
        <is>
          <t>DALARNAS LÄN</t>
        </is>
      </c>
      <c r="E636" t="inlineStr">
        <is>
          <t>RÄTTVIK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270-2026</t>
        </is>
      </c>
      <c r="B637" s="1" t="n">
        <v>46027</v>
      </c>
      <c r="C637" s="1" t="n">
        <v>46191</v>
      </c>
      <c r="D637" t="inlineStr">
        <is>
          <t>DALARNAS LÄN</t>
        </is>
      </c>
      <c r="E637" t="inlineStr">
        <is>
          <t>RÄTTVIK</t>
        </is>
      </c>
      <c r="G637" t="n">
        <v>18.7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61607-2024</t>
        </is>
      </c>
      <c r="B638" s="1" t="n">
        <v>45646</v>
      </c>
      <c r="C638" s="1" t="n">
        <v>46191</v>
      </c>
      <c r="D638" t="inlineStr">
        <is>
          <t>DALARNAS LÄN</t>
        </is>
      </c>
      <c r="E638" t="inlineStr">
        <is>
          <t>RÄTTVIK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2163-2026</t>
        </is>
      </c>
      <c r="B639" s="1" t="n">
        <v>46036</v>
      </c>
      <c r="C639" s="1" t="n">
        <v>46191</v>
      </c>
      <c r="D639" t="inlineStr">
        <is>
          <t>DALARNAS LÄN</t>
        </is>
      </c>
      <c r="E639" t="inlineStr">
        <is>
          <t>RÄTTVIK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59958-2024</t>
        </is>
      </c>
      <c r="B640" s="1" t="n">
        <v>45642</v>
      </c>
      <c r="C640" s="1" t="n">
        <v>46191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55416-2024</t>
        </is>
      </c>
      <c r="B641" s="1" t="n">
        <v>45621</v>
      </c>
      <c r="C641" s="1" t="n">
        <v>46191</v>
      </c>
      <c r="D641" t="inlineStr">
        <is>
          <t>DALARNAS LÄN</t>
        </is>
      </c>
      <c r="E641" t="inlineStr">
        <is>
          <t>RÄTTVIK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2128-2026</t>
        </is>
      </c>
      <c r="B642" s="1" t="n">
        <v>46036</v>
      </c>
      <c r="C642" s="1" t="n">
        <v>46191</v>
      </c>
      <c r="D642" t="inlineStr">
        <is>
          <t>DALARNAS LÄN</t>
        </is>
      </c>
      <c r="E642" t="inlineStr">
        <is>
          <t>RÄTTVIK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44015-2023</t>
        </is>
      </c>
      <c r="B643" s="1" t="n">
        <v>45182</v>
      </c>
      <c r="C643" s="1" t="n">
        <v>46191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2118-2026</t>
        </is>
      </c>
      <c r="B644" s="1" t="n">
        <v>46036</v>
      </c>
      <c r="C644" s="1" t="n">
        <v>46191</v>
      </c>
      <c r="D644" t="inlineStr">
        <is>
          <t>DALARNAS LÄN</t>
        </is>
      </c>
      <c r="E644" t="inlineStr">
        <is>
          <t>RÄTTVIK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7752-2024</t>
        </is>
      </c>
      <c r="B645" s="1" t="n">
        <v>45349</v>
      </c>
      <c r="C645" s="1" t="n">
        <v>46191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37659-2023</t>
        </is>
      </c>
      <c r="B646" s="1" t="n">
        <v>45159</v>
      </c>
      <c r="C646" s="1" t="n">
        <v>46191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5304-2026</t>
        </is>
      </c>
      <c r="B647" s="1" t="n">
        <v>46050</v>
      </c>
      <c r="C647" s="1" t="n">
        <v>46191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14028-2026</t>
        </is>
      </c>
      <c r="B648" s="1" t="n">
        <v>46098</v>
      </c>
      <c r="C648" s="1" t="n">
        <v>46191</v>
      </c>
      <c r="D648" t="inlineStr">
        <is>
          <t>DALARNAS LÄN</t>
        </is>
      </c>
      <c r="E648" t="inlineStr">
        <is>
          <t>RÄTTVIK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34339-2024</t>
        </is>
      </c>
      <c r="B649" s="1" t="n">
        <v>45525</v>
      </c>
      <c r="C649" s="1" t="n">
        <v>46191</v>
      </c>
      <c r="D649" t="inlineStr">
        <is>
          <t>DALARNAS LÄN</t>
        </is>
      </c>
      <c r="E649" t="inlineStr">
        <is>
          <t>RÄTTVIK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34340-2024</t>
        </is>
      </c>
      <c r="B650" s="1" t="n">
        <v>45525</v>
      </c>
      <c r="C650" s="1" t="n">
        <v>46191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54816-2024</t>
        </is>
      </c>
      <c r="B651" s="1" t="n">
        <v>45618</v>
      </c>
      <c r="C651" s="1" t="n">
        <v>46191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8073-2026</t>
        </is>
      </c>
      <c r="B652" s="1" t="n">
        <v>46063</v>
      </c>
      <c r="C652" s="1" t="n">
        <v>46191</v>
      </c>
      <c r="D652" t="inlineStr">
        <is>
          <t>DALARNAS LÄN</t>
        </is>
      </c>
      <c r="E652" t="inlineStr">
        <is>
          <t>RÄTTVIK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28938-2024</t>
        </is>
      </c>
      <c r="B653" s="1" t="n">
        <v>45481</v>
      </c>
      <c r="C653" s="1" t="n">
        <v>46191</v>
      </c>
      <c r="D653" t="inlineStr">
        <is>
          <t>DALARNAS LÄN</t>
        </is>
      </c>
      <c r="E653" t="inlineStr">
        <is>
          <t>RÄTTVIK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44499-2022</t>
        </is>
      </c>
      <c r="B654" s="1" t="n">
        <v>44840</v>
      </c>
      <c r="C654" s="1" t="n">
        <v>46191</v>
      </c>
      <c r="D654" t="inlineStr">
        <is>
          <t>DALARNAS LÄN</t>
        </is>
      </c>
      <c r="E654" t="inlineStr">
        <is>
          <t>RÄTTVIK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3722-2024</t>
        </is>
      </c>
      <c r="B655" s="1" t="n">
        <v>45321</v>
      </c>
      <c r="C655" s="1" t="n">
        <v>46191</v>
      </c>
      <c r="D655" t="inlineStr">
        <is>
          <t>DALARNAS LÄN</t>
        </is>
      </c>
      <c r="E655" t="inlineStr">
        <is>
          <t>RÄTTVIK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3261-2025</t>
        </is>
      </c>
      <c r="B656" s="1" t="n">
        <v>45679</v>
      </c>
      <c r="C656" s="1" t="n">
        <v>46191</v>
      </c>
      <c r="D656" t="inlineStr">
        <is>
          <t>DALARNAS LÄN</t>
        </is>
      </c>
      <c r="E656" t="inlineStr">
        <is>
          <t>RÄTTVIK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32814-2024</t>
        </is>
      </c>
      <c r="B657" s="1" t="n">
        <v>45516</v>
      </c>
      <c r="C657" s="1" t="n">
        <v>46191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25783-2023</t>
        </is>
      </c>
      <c r="B658" s="1" t="n">
        <v>45090</v>
      </c>
      <c r="C658" s="1" t="n">
        <v>46191</v>
      </c>
      <c r="D658" t="inlineStr">
        <is>
          <t>DALARNAS LÄN</t>
        </is>
      </c>
      <c r="E658" t="inlineStr">
        <is>
          <t>RÄTTVIK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6880-2026</t>
        </is>
      </c>
      <c r="B659" s="1" t="n">
        <v>46057</v>
      </c>
      <c r="C659" s="1" t="n">
        <v>46191</v>
      </c>
      <c r="D659" t="inlineStr">
        <is>
          <t>DALARNAS LÄN</t>
        </is>
      </c>
      <c r="E659" t="inlineStr">
        <is>
          <t>RÄTTVIK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49722-2025</t>
        </is>
      </c>
      <c r="B660" s="1" t="n">
        <v>45939</v>
      </c>
      <c r="C660" s="1" t="n">
        <v>46191</v>
      </c>
      <c r="D660" t="inlineStr">
        <is>
          <t>DALARNAS LÄN</t>
        </is>
      </c>
      <c r="E660" t="inlineStr">
        <is>
          <t>RÄTTVIK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39027-2025</t>
        </is>
      </c>
      <c r="B661" s="1" t="n">
        <v>45888</v>
      </c>
      <c r="C661" s="1" t="n">
        <v>46191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20562-2026</t>
        </is>
      </c>
      <c r="B662" s="1" t="n">
        <v>46140</v>
      </c>
      <c r="C662" s="1" t="n">
        <v>46191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44458-2025</t>
        </is>
      </c>
      <c r="B663" s="1" t="n">
        <v>45916</v>
      </c>
      <c r="C663" s="1" t="n">
        <v>46191</v>
      </c>
      <c r="D663" t="inlineStr">
        <is>
          <t>DALARNAS LÄN</t>
        </is>
      </c>
      <c r="E663" t="inlineStr">
        <is>
          <t>RÄTTVIK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47146-2024</t>
        </is>
      </c>
      <c r="B664" s="1" t="n">
        <v>45586</v>
      </c>
      <c r="C664" s="1" t="n">
        <v>46191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3643-2024</t>
        </is>
      </c>
      <c r="B665" s="1" t="n">
        <v>45321</v>
      </c>
      <c r="C665" s="1" t="n">
        <v>46191</v>
      </c>
      <c r="D665" t="inlineStr">
        <is>
          <t>DALARNAS LÄN</t>
        </is>
      </c>
      <c r="E665" t="inlineStr">
        <is>
          <t>RÄTTVIK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36519-2024</t>
        </is>
      </c>
      <c r="B666" s="1" t="n">
        <v>45537</v>
      </c>
      <c r="C666" s="1" t="n">
        <v>46191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60298-2023</t>
        </is>
      </c>
      <c r="B667" s="1" t="n">
        <v>45257</v>
      </c>
      <c r="C667" s="1" t="n">
        <v>46191</v>
      </c>
      <c r="D667" t="inlineStr">
        <is>
          <t>DALARNAS LÄN</t>
        </is>
      </c>
      <c r="E667" t="inlineStr">
        <is>
          <t>RÄTTVIK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38004-2024</t>
        </is>
      </c>
      <c r="B668" s="1" t="n">
        <v>45544</v>
      </c>
      <c r="C668" s="1" t="n">
        <v>46191</v>
      </c>
      <c r="D668" t="inlineStr">
        <is>
          <t>DALARNAS LÄN</t>
        </is>
      </c>
      <c r="E668" t="inlineStr">
        <is>
          <t>RÄTTVIK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46943-2023</t>
        </is>
      </c>
      <c r="B669" s="1" t="n">
        <v>45201</v>
      </c>
      <c r="C669" s="1" t="n">
        <v>46191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61919-2024</t>
        </is>
      </c>
      <c r="B670" s="1" t="n">
        <v>45653</v>
      </c>
      <c r="C670" s="1" t="n">
        <v>46191</v>
      </c>
      <c r="D670" t="inlineStr">
        <is>
          <t>DALARNAS LÄN</t>
        </is>
      </c>
      <c r="E670" t="inlineStr">
        <is>
          <t>RÄTTVIK</t>
        </is>
      </c>
      <c r="F670" t="inlineStr">
        <is>
          <t>Kommuner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29707-2023</t>
        </is>
      </c>
      <c r="B671" s="1" t="n">
        <v>45107</v>
      </c>
      <c r="C671" s="1" t="n">
        <v>46191</v>
      </c>
      <c r="D671" t="inlineStr">
        <is>
          <t>DALARNAS LÄN</t>
        </is>
      </c>
      <c r="E671" t="inlineStr">
        <is>
          <t>RÄTTVIK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6195-2023</t>
        </is>
      </c>
      <c r="B672" s="1" t="n">
        <v>44964</v>
      </c>
      <c r="C672" s="1" t="n">
        <v>46191</v>
      </c>
      <c r="D672" t="inlineStr">
        <is>
          <t>DALARNAS LÄN</t>
        </is>
      </c>
      <c r="E672" t="inlineStr">
        <is>
          <t>RÄTTVIK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889-2025</t>
        </is>
      </c>
      <c r="B673" s="1" t="n">
        <v>45665</v>
      </c>
      <c r="C673" s="1" t="n">
        <v>46191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11849-2026</t>
        </is>
      </c>
      <c r="B674" s="1" t="n">
        <v>46085</v>
      </c>
      <c r="C674" s="1" t="n">
        <v>46191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17138-2024</t>
        </is>
      </c>
      <c r="B675" s="1" t="n">
        <v>45412</v>
      </c>
      <c r="C675" s="1" t="n">
        <v>46191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57740-2023</t>
        </is>
      </c>
      <c r="B676" s="1" t="n">
        <v>45243</v>
      </c>
      <c r="C676" s="1" t="n">
        <v>46191</v>
      </c>
      <c r="D676" t="inlineStr">
        <is>
          <t>DALARNAS LÄN</t>
        </is>
      </c>
      <c r="E676" t="inlineStr">
        <is>
          <t>RÄTTVIK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33118-2025</t>
        </is>
      </c>
      <c r="B677" s="1" t="n">
        <v>45840</v>
      </c>
      <c r="C677" s="1" t="n">
        <v>46191</v>
      </c>
      <c r="D677" t="inlineStr">
        <is>
          <t>DALARNAS LÄN</t>
        </is>
      </c>
      <c r="E677" t="inlineStr">
        <is>
          <t>RÄTTVIK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20114-2026</t>
        </is>
      </c>
      <c r="B678" s="1" t="n">
        <v>46136</v>
      </c>
      <c r="C678" s="1" t="n">
        <v>46191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56459-2022</t>
        </is>
      </c>
      <c r="B679" s="1" t="n">
        <v>44893</v>
      </c>
      <c r="C679" s="1" t="n">
        <v>46191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20284-2026</t>
        </is>
      </c>
      <c r="B680" s="1" t="n">
        <v>46139</v>
      </c>
      <c r="C680" s="1" t="n">
        <v>46191</v>
      </c>
      <c r="D680" t="inlineStr">
        <is>
          <t>DALARNAS LÄN</t>
        </is>
      </c>
      <c r="E680" t="inlineStr">
        <is>
          <t>RÄTTVIK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21174-2024</t>
        </is>
      </c>
      <c r="B681" s="1" t="n">
        <v>45440</v>
      </c>
      <c r="C681" s="1" t="n">
        <v>46191</v>
      </c>
      <c r="D681" t="inlineStr">
        <is>
          <t>DALARNAS LÄN</t>
        </is>
      </c>
      <c r="E681" t="inlineStr">
        <is>
          <t>RÄTTVIK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22366-2025</t>
        </is>
      </c>
      <c r="B682" s="1" t="n">
        <v>45786</v>
      </c>
      <c r="C682" s="1" t="n">
        <v>46191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18735-2026</t>
        </is>
      </c>
      <c r="B683" s="1" t="n">
        <v>46128</v>
      </c>
      <c r="C683" s="1" t="n">
        <v>46191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329-2023</t>
        </is>
      </c>
      <c r="B684" s="1" t="n">
        <v>44929</v>
      </c>
      <c r="C684" s="1" t="n">
        <v>46191</v>
      </c>
      <c r="D684" t="inlineStr">
        <is>
          <t>DALARNAS LÄN</t>
        </is>
      </c>
      <c r="E684" t="inlineStr">
        <is>
          <t>RÄTTVIK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42933-2024</t>
        </is>
      </c>
      <c r="B685" s="1" t="n">
        <v>45567</v>
      </c>
      <c r="C685" s="1" t="n">
        <v>46191</v>
      </c>
      <c r="D685" t="inlineStr">
        <is>
          <t>DALARNAS LÄN</t>
        </is>
      </c>
      <c r="E685" t="inlineStr">
        <is>
          <t>RÄTTVIK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47825-2023</t>
        </is>
      </c>
      <c r="B686" s="1" t="n">
        <v>45204</v>
      </c>
      <c r="C686" s="1" t="n">
        <v>46191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3421-2026</t>
        </is>
      </c>
      <c r="B687" s="1" t="n">
        <v>46042</v>
      </c>
      <c r="C687" s="1" t="n">
        <v>46191</v>
      </c>
      <c r="D687" t="inlineStr">
        <is>
          <t>DALARNAS LÄN</t>
        </is>
      </c>
      <c r="E687" t="inlineStr">
        <is>
          <t>RÄTTVIK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56544-2023</t>
        </is>
      </c>
      <c r="B688" s="1" t="n">
        <v>45243</v>
      </c>
      <c r="C688" s="1" t="n">
        <v>46191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49176-2024</t>
        </is>
      </c>
      <c r="B689" s="1" t="n">
        <v>45595</v>
      </c>
      <c r="C689" s="1" t="n">
        <v>46191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59413-2025</t>
        </is>
      </c>
      <c r="B690" s="1" t="n">
        <v>45989</v>
      </c>
      <c r="C690" s="1" t="n">
        <v>46191</v>
      </c>
      <c r="D690" t="inlineStr">
        <is>
          <t>DALARNAS LÄN</t>
        </is>
      </c>
      <c r="E690" t="inlineStr">
        <is>
          <t>RÄTTVIK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53968-2025</t>
        </is>
      </c>
      <c r="B691" s="1" t="n">
        <v>45961</v>
      </c>
      <c r="C691" s="1" t="n">
        <v>46191</v>
      </c>
      <c r="D691" t="inlineStr">
        <is>
          <t>DALARNAS LÄN</t>
        </is>
      </c>
      <c r="E691" t="inlineStr">
        <is>
          <t>RÄTTVIK</t>
        </is>
      </c>
      <c r="F691" t="inlineStr">
        <is>
          <t>Övriga statliga verk och myndigheter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348-2026</t>
        </is>
      </c>
      <c r="B692" s="1" t="n">
        <v>46027</v>
      </c>
      <c r="C692" s="1" t="n">
        <v>46191</v>
      </c>
      <c r="D692" t="inlineStr">
        <is>
          <t>DALARNAS LÄN</t>
        </is>
      </c>
      <c r="E692" t="inlineStr">
        <is>
          <t>RÄTTVIK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26427-2022</t>
        </is>
      </c>
      <c r="B693" s="1" t="n">
        <v>44736</v>
      </c>
      <c r="C693" s="1" t="n">
        <v>46191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50186-2025</t>
        </is>
      </c>
      <c r="B694" s="1" t="n">
        <v>45943</v>
      </c>
      <c r="C694" s="1" t="n">
        <v>46191</v>
      </c>
      <c r="D694" t="inlineStr">
        <is>
          <t>DALARNAS LÄN</t>
        </is>
      </c>
      <c r="E694" t="inlineStr">
        <is>
          <t>RÄTTVIK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20167-2026</t>
        </is>
      </c>
      <c r="B695" s="1" t="n">
        <v>46139</v>
      </c>
      <c r="C695" s="1" t="n">
        <v>46191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3686-2024</t>
        </is>
      </c>
      <c r="B696" s="1" t="n">
        <v>45321</v>
      </c>
      <c r="C696" s="1" t="n">
        <v>46191</v>
      </c>
      <c r="D696" t="inlineStr">
        <is>
          <t>DALARNAS LÄN</t>
        </is>
      </c>
      <c r="E696" t="inlineStr">
        <is>
          <t>RÄTTVIK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509-2026</t>
        </is>
      </c>
      <c r="B697" s="1" t="n">
        <v>46029</v>
      </c>
      <c r="C697" s="1" t="n">
        <v>46191</v>
      </c>
      <c r="D697" t="inlineStr">
        <is>
          <t>DALARNAS LÄN</t>
        </is>
      </c>
      <c r="E697" t="inlineStr">
        <is>
          <t>RÄTTVIK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41451-2024</t>
        </is>
      </c>
      <c r="B698" s="1" t="n">
        <v>45560</v>
      </c>
      <c r="C698" s="1" t="n">
        <v>46191</v>
      </c>
      <c r="D698" t="inlineStr">
        <is>
          <t>DALARNAS LÄN</t>
        </is>
      </c>
      <c r="E698" t="inlineStr">
        <is>
          <t>RÄTTVIK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20234-2026</t>
        </is>
      </c>
      <c r="B699" s="1" t="n">
        <v>46139</v>
      </c>
      <c r="C699" s="1" t="n">
        <v>46191</v>
      </c>
      <c r="D699" t="inlineStr">
        <is>
          <t>DALARNAS LÄN</t>
        </is>
      </c>
      <c r="E699" t="inlineStr">
        <is>
          <t>RÄTTVIK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20245-2026</t>
        </is>
      </c>
      <c r="B700" s="1" t="n">
        <v>46139</v>
      </c>
      <c r="C700" s="1" t="n">
        <v>46191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46721-2023</t>
        </is>
      </c>
      <c r="B701" s="1" t="n">
        <v>45198</v>
      </c>
      <c r="C701" s="1" t="n">
        <v>46191</v>
      </c>
      <c r="D701" t="inlineStr">
        <is>
          <t>DALARNAS LÄN</t>
        </is>
      </c>
      <c r="E701" t="inlineStr">
        <is>
          <t>RÄTTVIK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1858-2026</t>
        </is>
      </c>
      <c r="B702" s="1" t="n">
        <v>46035</v>
      </c>
      <c r="C702" s="1" t="n">
        <v>46191</v>
      </c>
      <c r="D702" t="inlineStr">
        <is>
          <t>DALARNAS LÄN</t>
        </is>
      </c>
      <c r="E702" t="inlineStr">
        <is>
          <t>RÄTTVIK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2775-2023</t>
        </is>
      </c>
      <c r="B703" s="1" t="n">
        <v>44944</v>
      </c>
      <c r="C703" s="1" t="n">
        <v>46191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43756-2024</t>
        </is>
      </c>
      <c r="B704" s="1" t="n">
        <v>45569</v>
      </c>
      <c r="C704" s="1" t="n">
        <v>46191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1466-2026</t>
        </is>
      </c>
      <c r="B705" s="1" t="n">
        <v>46033</v>
      </c>
      <c r="C705" s="1" t="n">
        <v>46191</v>
      </c>
      <c r="D705" t="inlineStr">
        <is>
          <t>DALARNAS LÄN</t>
        </is>
      </c>
      <c r="E705" t="inlineStr">
        <is>
          <t>RÄTTVIK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29697-2025</t>
        </is>
      </c>
      <c r="B706" s="1" t="n">
        <v>45825</v>
      </c>
      <c r="C706" s="1" t="n">
        <v>46191</v>
      </c>
      <c r="D706" t="inlineStr">
        <is>
          <t>DALARNAS LÄN</t>
        </is>
      </c>
      <c r="E706" t="inlineStr">
        <is>
          <t>RÄTTVIK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13090-2023</t>
        </is>
      </c>
      <c r="B707" s="1" t="n">
        <v>45002</v>
      </c>
      <c r="C707" s="1" t="n">
        <v>46191</v>
      </c>
      <c r="D707" t="inlineStr">
        <is>
          <t>DALARNAS LÄN</t>
        </is>
      </c>
      <c r="E707" t="inlineStr">
        <is>
          <t>RÄTTVIK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73511-2021</t>
        </is>
      </c>
      <c r="B708" s="1" t="n">
        <v>44551</v>
      </c>
      <c r="C708" s="1" t="n">
        <v>46191</v>
      </c>
      <c r="D708" t="inlineStr">
        <is>
          <t>DALARNAS LÄN</t>
        </is>
      </c>
      <c r="E708" t="inlineStr">
        <is>
          <t>RÄTTVIK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5272-2026</t>
        </is>
      </c>
      <c r="B709" s="1" t="n">
        <v>46050</v>
      </c>
      <c r="C709" s="1" t="n">
        <v>46191</v>
      </c>
      <c r="D709" t="inlineStr">
        <is>
          <t>DALARNAS LÄN</t>
        </is>
      </c>
      <c r="E709" t="inlineStr">
        <is>
          <t>RÄTTVIK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4827-2026</t>
        </is>
      </c>
      <c r="B710" s="1" t="n">
        <v>46048</v>
      </c>
      <c r="C710" s="1" t="n">
        <v>46191</v>
      </c>
      <c r="D710" t="inlineStr">
        <is>
          <t>DALARNAS LÄN</t>
        </is>
      </c>
      <c r="E710" t="inlineStr">
        <is>
          <t>RÄTTVIK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29010-2022</t>
        </is>
      </c>
      <c r="B711" s="1" t="n">
        <v>44747</v>
      </c>
      <c r="C711" s="1" t="n">
        <v>46191</v>
      </c>
      <c r="D711" t="inlineStr">
        <is>
          <t>DALARNAS LÄN</t>
        </is>
      </c>
      <c r="E711" t="inlineStr">
        <is>
          <t>RÄTTVIK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20276-2026</t>
        </is>
      </c>
      <c r="B712" s="1" t="n">
        <v>46139</v>
      </c>
      <c r="C712" s="1" t="n">
        <v>46191</v>
      </c>
      <c r="D712" t="inlineStr">
        <is>
          <t>DALARNAS LÄN</t>
        </is>
      </c>
      <c r="E712" t="inlineStr">
        <is>
          <t>RÄTTVIK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7671-2026</t>
        </is>
      </c>
      <c r="B713" s="1" t="n">
        <v>46062</v>
      </c>
      <c r="C713" s="1" t="n">
        <v>46191</v>
      </c>
      <c r="D713" t="inlineStr">
        <is>
          <t>DALARNAS LÄN</t>
        </is>
      </c>
      <c r="E713" t="inlineStr">
        <is>
          <t>RÄTTVIK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4162-2026</t>
        </is>
      </c>
      <c r="B714" s="1" t="n">
        <v>46044</v>
      </c>
      <c r="C714" s="1" t="n">
        <v>46191</v>
      </c>
      <c r="D714" t="inlineStr">
        <is>
          <t>DALARNAS LÄN</t>
        </is>
      </c>
      <c r="E714" t="inlineStr">
        <is>
          <t>RÄTTVIK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4677-2026</t>
        </is>
      </c>
      <c r="B715" s="1" t="n">
        <v>46048</v>
      </c>
      <c r="C715" s="1" t="n">
        <v>46191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20615-2025</t>
        </is>
      </c>
      <c r="B716" s="1" t="n">
        <v>45776</v>
      </c>
      <c r="C716" s="1" t="n">
        <v>46191</v>
      </c>
      <c r="D716" t="inlineStr">
        <is>
          <t>DALARNAS LÄN</t>
        </is>
      </c>
      <c r="E716" t="inlineStr">
        <is>
          <t>RÄTTVIK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20510-2026</t>
        </is>
      </c>
      <c r="B717" s="1" t="n">
        <v>46140</v>
      </c>
      <c r="C717" s="1" t="n">
        <v>46191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20298-2026</t>
        </is>
      </c>
      <c r="B718" s="1" t="n">
        <v>46139</v>
      </c>
      <c r="C718" s="1" t="n">
        <v>46191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26814-2025</t>
        </is>
      </c>
      <c r="B719" s="1" t="n">
        <v>45810</v>
      </c>
      <c r="C719" s="1" t="n">
        <v>46191</v>
      </c>
      <c r="D719" t="inlineStr">
        <is>
          <t>DALARNAS LÄN</t>
        </is>
      </c>
      <c r="E719" t="inlineStr">
        <is>
          <t>RÄTTVIK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13171-2022</t>
        </is>
      </c>
      <c r="B720" s="1" t="n">
        <v>44644</v>
      </c>
      <c r="C720" s="1" t="n">
        <v>46191</v>
      </c>
      <c r="D720" t="inlineStr">
        <is>
          <t>DALARNAS LÄN</t>
        </is>
      </c>
      <c r="E720" t="inlineStr">
        <is>
          <t>RÄTTVIK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40177-2022</t>
        </is>
      </c>
      <c r="B721" s="1" t="n">
        <v>44818</v>
      </c>
      <c r="C721" s="1" t="n">
        <v>46191</v>
      </c>
      <c r="D721" t="inlineStr">
        <is>
          <t>DALARNAS LÄN</t>
        </is>
      </c>
      <c r="E721" t="inlineStr">
        <is>
          <t>RÄTTVIK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69059-2021</t>
        </is>
      </c>
      <c r="B722" s="1" t="n">
        <v>44529</v>
      </c>
      <c r="C722" s="1" t="n">
        <v>46191</v>
      </c>
      <c r="D722" t="inlineStr">
        <is>
          <t>DALARNAS LÄN</t>
        </is>
      </c>
      <c r="E722" t="inlineStr">
        <is>
          <t>RÄTTVIK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33385-2025</t>
        </is>
      </c>
      <c r="B723" s="1" t="n">
        <v>45841</v>
      </c>
      <c r="C723" s="1" t="n">
        <v>46191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61316-2024</t>
        </is>
      </c>
      <c r="B724" s="1" t="n">
        <v>45646</v>
      </c>
      <c r="C724" s="1" t="n">
        <v>46191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4817-2026</t>
        </is>
      </c>
      <c r="B725" s="1" t="n">
        <v>46048</v>
      </c>
      <c r="C725" s="1" t="n">
        <v>46191</v>
      </c>
      <c r="D725" t="inlineStr">
        <is>
          <t>DALARNAS LÄN</t>
        </is>
      </c>
      <c r="E725" t="inlineStr">
        <is>
          <t>RÄTTVIK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600-2026</t>
        </is>
      </c>
      <c r="B726" s="1" t="n">
        <v>46029</v>
      </c>
      <c r="C726" s="1" t="n">
        <v>46191</v>
      </c>
      <c r="D726" t="inlineStr">
        <is>
          <t>DALARNAS LÄN</t>
        </is>
      </c>
      <c r="E726" t="inlineStr">
        <is>
          <t>RÄTTVIK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17379-2025</t>
        </is>
      </c>
      <c r="B727" s="1" t="n">
        <v>45757</v>
      </c>
      <c r="C727" s="1" t="n">
        <v>46191</v>
      </c>
      <c r="D727" t="inlineStr">
        <is>
          <t>DALARNAS LÄN</t>
        </is>
      </c>
      <c r="E727" t="inlineStr">
        <is>
          <t>RÄTTVIK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45493-2023</t>
        </is>
      </c>
      <c r="B728" s="1" t="n">
        <v>45194</v>
      </c>
      <c r="C728" s="1" t="n">
        <v>46191</v>
      </c>
      <c r="D728" t="inlineStr">
        <is>
          <t>DALARNAS LÄN</t>
        </is>
      </c>
      <c r="E728" t="inlineStr">
        <is>
          <t>RÄTTVIK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24203-2025</t>
        </is>
      </c>
      <c r="B729" s="1" t="n">
        <v>45797</v>
      </c>
      <c r="C729" s="1" t="n">
        <v>46191</v>
      </c>
      <c r="D729" t="inlineStr">
        <is>
          <t>DALARNAS LÄN</t>
        </is>
      </c>
      <c r="E729" t="inlineStr">
        <is>
          <t>RÄTTVIK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14903-2026</t>
        </is>
      </c>
      <c r="B730" s="1" t="n">
        <v>46104</v>
      </c>
      <c r="C730" s="1" t="n">
        <v>46191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20565-2026</t>
        </is>
      </c>
      <c r="B731" s="1" t="n">
        <v>46140</v>
      </c>
      <c r="C731" s="1" t="n">
        <v>46191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54212-2023</t>
        </is>
      </c>
      <c r="B732" s="1" t="n">
        <v>45225</v>
      </c>
      <c r="C732" s="1" t="n">
        <v>46191</v>
      </c>
      <c r="D732" t="inlineStr">
        <is>
          <t>DALARNAS LÄN</t>
        </is>
      </c>
      <c r="E732" t="inlineStr">
        <is>
          <t>RÄTTVIK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48947-2023</t>
        </is>
      </c>
      <c r="B733" s="1" t="n">
        <v>45209</v>
      </c>
      <c r="C733" s="1" t="n">
        <v>46191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10759-2026</t>
        </is>
      </c>
      <c r="B734" s="1" t="n">
        <v>46078</v>
      </c>
      <c r="C734" s="1" t="n">
        <v>46191</v>
      </c>
      <c r="D734" t="inlineStr">
        <is>
          <t>DALARNAS LÄN</t>
        </is>
      </c>
      <c r="E734" t="inlineStr">
        <is>
          <t>RÄTTVIK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11537-2026</t>
        </is>
      </c>
      <c r="B735" s="1" t="n">
        <v>46083</v>
      </c>
      <c r="C735" s="1" t="n">
        <v>46191</v>
      </c>
      <c r="D735" t="inlineStr">
        <is>
          <t>DALARNAS LÄN</t>
        </is>
      </c>
      <c r="E735" t="inlineStr">
        <is>
          <t>RÄTTVIK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15188-2026</t>
        </is>
      </c>
      <c r="B736" s="1" t="n">
        <v>46105</v>
      </c>
      <c r="C736" s="1" t="n">
        <v>46191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169-2026</t>
        </is>
      </c>
      <c r="B737" s="1" t="n">
        <v>46025</v>
      </c>
      <c r="C737" s="1" t="n">
        <v>46191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170-2026</t>
        </is>
      </c>
      <c r="B738" s="1" t="n">
        <v>46025</v>
      </c>
      <c r="C738" s="1" t="n">
        <v>46191</v>
      </c>
      <c r="D738" t="inlineStr">
        <is>
          <t>DALARNAS LÄN</t>
        </is>
      </c>
      <c r="E738" t="inlineStr">
        <is>
          <t>RÄTTVIK</t>
        </is>
      </c>
      <c r="G738" t="n">
        <v>13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47031-2024</t>
        </is>
      </c>
      <c r="B739" s="1" t="n">
        <v>45586</v>
      </c>
      <c r="C739" s="1" t="n">
        <v>46191</v>
      </c>
      <c r="D739" t="inlineStr">
        <is>
          <t>DALARNAS LÄN</t>
        </is>
      </c>
      <c r="E739" t="inlineStr">
        <is>
          <t>RÄTTVIK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8552-2023</t>
        </is>
      </c>
      <c r="B740" s="1" t="n">
        <v>44977</v>
      </c>
      <c r="C740" s="1" t="n">
        <v>46191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5051-2026</t>
        </is>
      </c>
      <c r="B741" s="1" t="n">
        <v>46049</v>
      </c>
      <c r="C741" s="1" t="n">
        <v>46191</v>
      </c>
      <c r="D741" t="inlineStr">
        <is>
          <t>DALARNAS LÄN</t>
        </is>
      </c>
      <c r="E741" t="inlineStr">
        <is>
          <t>RÄTTVIK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41295-2023</t>
        </is>
      </c>
      <c r="B742" s="1" t="n">
        <v>45174</v>
      </c>
      <c r="C742" s="1" t="n">
        <v>46191</v>
      </c>
      <c r="D742" t="inlineStr">
        <is>
          <t>DALARNAS LÄN</t>
        </is>
      </c>
      <c r="E742" t="inlineStr">
        <is>
          <t>RÄTTVIK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8537-2023</t>
        </is>
      </c>
      <c r="B743" s="1" t="n">
        <v>44977</v>
      </c>
      <c r="C743" s="1" t="n">
        <v>46191</v>
      </c>
      <c r="D743" t="inlineStr">
        <is>
          <t>DALARNAS LÄN</t>
        </is>
      </c>
      <c r="E743" t="inlineStr">
        <is>
          <t>RÄTTVIK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20944-2026</t>
        </is>
      </c>
      <c r="B744" s="1" t="n">
        <v>46142</v>
      </c>
      <c r="C744" s="1" t="n">
        <v>46191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20693-2026</t>
        </is>
      </c>
      <c r="B745" s="1" t="n">
        <v>46141</v>
      </c>
      <c r="C745" s="1" t="n">
        <v>46191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20717-2026</t>
        </is>
      </c>
      <c r="B746" s="1" t="n">
        <v>46141</v>
      </c>
      <c r="C746" s="1" t="n">
        <v>46191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63788-2025</t>
        </is>
      </c>
      <c r="B747" s="1" t="n">
        <v>46019</v>
      </c>
      <c r="C747" s="1" t="n">
        <v>46191</v>
      </c>
      <c r="D747" t="inlineStr">
        <is>
          <t>DALARNAS LÄN</t>
        </is>
      </c>
      <c r="E747" t="inlineStr">
        <is>
          <t>RÄTTVIK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20817-2026</t>
        </is>
      </c>
      <c r="B748" s="1" t="n">
        <v>46141</v>
      </c>
      <c r="C748" s="1" t="n">
        <v>46191</v>
      </c>
      <c r="D748" t="inlineStr">
        <is>
          <t>DALARNAS LÄN</t>
        </is>
      </c>
      <c r="E748" t="inlineStr">
        <is>
          <t>RÄTTVIK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20818-2026</t>
        </is>
      </c>
      <c r="B749" s="1" t="n">
        <v>46141</v>
      </c>
      <c r="C749" s="1" t="n">
        <v>46191</v>
      </c>
      <c r="D749" t="inlineStr">
        <is>
          <t>DALARNAS LÄN</t>
        </is>
      </c>
      <c r="E749" t="inlineStr">
        <is>
          <t>RÄTTVIK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11468-2026</t>
        </is>
      </c>
      <c r="B750" s="1" t="n">
        <v>46083</v>
      </c>
      <c r="C750" s="1" t="n">
        <v>46191</v>
      </c>
      <c r="D750" t="inlineStr">
        <is>
          <t>DALARNAS LÄN</t>
        </is>
      </c>
      <c r="E750" t="inlineStr">
        <is>
          <t>RÄTTVIK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46672-2023</t>
        </is>
      </c>
      <c r="B751" s="1" t="n">
        <v>45194</v>
      </c>
      <c r="C751" s="1" t="n">
        <v>46191</v>
      </c>
      <c r="D751" t="inlineStr">
        <is>
          <t>DALARNAS LÄN</t>
        </is>
      </c>
      <c r="E751" t="inlineStr">
        <is>
          <t>RÄTTVIK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53080-2024</t>
        </is>
      </c>
      <c r="B752" s="1" t="n">
        <v>45611</v>
      </c>
      <c r="C752" s="1" t="n">
        <v>46191</v>
      </c>
      <c r="D752" t="inlineStr">
        <is>
          <t>DALARNAS LÄN</t>
        </is>
      </c>
      <c r="E752" t="inlineStr">
        <is>
          <t>RÄTTVIK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55696-2023</t>
        </is>
      </c>
      <c r="B753" s="1" t="n">
        <v>45232</v>
      </c>
      <c r="C753" s="1" t="n">
        <v>46191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51973-2022</t>
        </is>
      </c>
      <c r="B754" s="1" t="n">
        <v>44872</v>
      </c>
      <c r="C754" s="1" t="n">
        <v>46191</v>
      </c>
      <c r="D754" t="inlineStr">
        <is>
          <t>DALARNAS LÄN</t>
        </is>
      </c>
      <c r="E754" t="inlineStr">
        <is>
          <t>RÄTTVIK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24903-2025</t>
        </is>
      </c>
      <c r="B755" s="1" t="n">
        <v>45799</v>
      </c>
      <c r="C755" s="1" t="n">
        <v>46191</v>
      </c>
      <c r="D755" t="inlineStr">
        <is>
          <t>DALARNAS LÄN</t>
        </is>
      </c>
      <c r="E755" t="inlineStr">
        <is>
          <t>RÄTTVIK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15243-2026</t>
        </is>
      </c>
      <c r="B756" s="1" t="n">
        <v>46105</v>
      </c>
      <c r="C756" s="1" t="n">
        <v>46191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26777-2026</t>
        </is>
      </c>
      <c r="B757" s="1" t="n">
        <v>46184</v>
      </c>
      <c r="C757" s="1" t="n">
        <v>46191</v>
      </c>
      <c r="D757" t="inlineStr">
        <is>
          <t>DALARNAS LÄN</t>
        </is>
      </c>
      <c r="E757" t="inlineStr">
        <is>
          <t>RÄTTVIK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34630-2023</t>
        </is>
      </c>
      <c r="B758" s="1" t="n">
        <v>45139</v>
      </c>
      <c r="C758" s="1" t="n">
        <v>46191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52939-2022</t>
        </is>
      </c>
      <c r="B759" s="1" t="n">
        <v>44875</v>
      </c>
      <c r="C759" s="1" t="n">
        <v>46191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7851-2026</t>
        </is>
      </c>
      <c r="B760" s="1" t="n">
        <v>46062</v>
      </c>
      <c r="C760" s="1" t="n">
        <v>46191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20704-2026</t>
        </is>
      </c>
      <c r="B761" s="1" t="n">
        <v>46141</v>
      </c>
      <c r="C761" s="1" t="n">
        <v>46191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15087-2026</t>
        </is>
      </c>
      <c r="B762" s="1" t="n">
        <v>46105</v>
      </c>
      <c r="C762" s="1" t="n">
        <v>46191</v>
      </c>
      <c r="D762" t="inlineStr">
        <is>
          <t>DALARNAS LÄN</t>
        </is>
      </c>
      <c r="E762" t="inlineStr">
        <is>
          <t>RÄTTVIK</t>
        </is>
      </c>
      <c r="F762" t="inlineStr">
        <is>
          <t>Allmännings- och besparingsskogar</t>
        </is>
      </c>
      <c r="G762" t="n">
        <v>42.9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47201-2025</t>
        </is>
      </c>
      <c r="B763" s="1" t="n">
        <v>45930</v>
      </c>
      <c r="C763" s="1" t="n">
        <v>46191</v>
      </c>
      <c r="D763" t="inlineStr">
        <is>
          <t>DALARNAS LÄN</t>
        </is>
      </c>
      <c r="E763" t="inlineStr">
        <is>
          <t>RÄTTVIK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20702-2026</t>
        </is>
      </c>
      <c r="B764" s="1" t="n">
        <v>46141</v>
      </c>
      <c r="C764" s="1" t="n">
        <v>46191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54821-2024</t>
        </is>
      </c>
      <c r="B765" s="1" t="n">
        <v>45618</v>
      </c>
      <c r="C765" s="1" t="n">
        <v>46191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55708-2024</t>
        </is>
      </c>
      <c r="B766" s="1" t="n">
        <v>45622</v>
      </c>
      <c r="C766" s="1" t="n">
        <v>46191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32561-2024</t>
        </is>
      </c>
      <c r="B767" s="1" t="n">
        <v>45513</v>
      </c>
      <c r="C767" s="1" t="n">
        <v>46191</v>
      </c>
      <c r="D767" t="inlineStr">
        <is>
          <t>DALARNAS LÄN</t>
        </is>
      </c>
      <c r="E767" t="inlineStr">
        <is>
          <t>RÄTTVIK</t>
        </is>
      </c>
      <c r="F767" t="inlineStr">
        <is>
          <t>Sveaskog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1046-2025</t>
        </is>
      </c>
      <c r="B768" s="1" t="n">
        <v>45666</v>
      </c>
      <c r="C768" s="1" t="n">
        <v>46191</v>
      </c>
      <c r="D768" t="inlineStr">
        <is>
          <t>DALARNAS LÄN</t>
        </is>
      </c>
      <c r="E768" t="inlineStr">
        <is>
          <t>RÄTTVIK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20691-2026</t>
        </is>
      </c>
      <c r="B769" s="1" t="n">
        <v>46141</v>
      </c>
      <c r="C769" s="1" t="n">
        <v>46191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20692-2026</t>
        </is>
      </c>
      <c r="B770" s="1" t="n">
        <v>46141</v>
      </c>
      <c r="C770" s="1" t="n">
        <v>46191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60619-2022</t>
        </is>
      </c>
      <c r="B771" s="1" t="n">
        <v>44911</v>
      </c>
      <c r="C771" s="1" t="n">
        <v>46191</v>
      </c>
      <c r="D771" t="inlineStr">
        <is>
          <t>DALARNAS LÄN</t>
        </is>
      </c>
      <c r="E771" t="inlineStr">
        <is>
          <t>RÄTTVIK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5518-2024</t>
        </is>
      </c>
      <c r="B772" s="1" t="n">
        <v>45334</v>
      </c>
      <c r="C772" s="1" t="n">
        <v>46191</v>
      </c>
      <c r="D772" t="inlineStr">
        <is>
          <t>DALARNAS LÄN</t>
        </is>
      </c>
      <c r="E772" t="inlineStr">
        <is>
          <t>RÄTTVIK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18687-2024</t>
        </is>
      </c>
      <c r="B773" s="1" t="n">
        <v>45426</v>
      </c>
      <c r="C773" s="1" t="n">
        <v>46191</v>
      </c>
      <c r="D773" t="inlineStr">
        <is>
          <t>DALARNAS LÄN</t>
        </is>
      </c>
      <c r="E773" t="inlineStr">
        <is>
          <t>RÄTTVIK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20939-2026</t>
        </is>
      </c>
      <c r="B774" s="1" t="n">
        <v>46142</v>
      </c>
      <c r="C774" s="1" t="n">
        <v>46191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1945-2023</t>
        </is>
      </c>
      <c r="B775" s="1" t="n">
        <v>44939</v>
      </c>
      <c r="C775" s="1" t="n">
        <v>46191</v>
      </c>
      <c r="D775" t="inlineStr">
        <is>
          <t>DALARNAS LÄN</t>
        </is>
      </c>
      <c r="E775" t="inlineStr">
        <is>
          <t>RÄTTVIK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5570-2026</t>
        </is>
      </c>
      <c r="B776" s="1" t="n">
        <v>46050</v>
      </c>
      <c r="C776" s="1" t="n">
        <v>46191</v>
      </c>
      <c r="D776" t="inlineStr">
        <is>
          <t>DALARNAS LÄN</t>
        </is>
      </c>
      <c r="E776" t="inlineStr">
        <is>
          <t>RÄTTVIK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60984-2023</t>
        </is>
      </c>
      <c r="B777" s="1" t="n">
        <v>45259</v>
      </c>
      <c r="C777" s="1" t="n">
        <v>46191</v>
      </c>
      <c r="D777" t="inlineStr">
        <is>
          <t>DALARNAS LÄN</t>
        </is>
      </c>
      <c r="E777" t="inlineStr">
        <is>
          <t>RÄTTVIK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19230-2026</t>
        </is>
      </c>
      <c r="B778" s="1" t="n">
        <v>46132</v>
      </c>
      <c r="C778" s="1" t="n">
        <v>46191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46.6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26622-2026</t>
        </is>
      </c>
      <c r="B779" s="1" t="n">
        <v>46184</v>
      </c>
      <c r="C779" s="1" t="n">
        <v>46191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40659-2025</t>
        </is>
      </c>
      <c r="B780" s="1" t="n">
        <v>45896</v>
      </c>
      <c r="C780" s="1" t="n">
        <v>46191</v>
      </c>
      <c r="D780" t="inlineStr">
        <is>
          <t>DALARNAS LÄN</t>
        </is>
      </c>
      <c r="E780" t="inlineStr">
        <is>
          <t>RÄTTVIK</t>
        </is>
      </c>
      <c r="G780" t="n">
        <v>16.3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6007-2026</t>
        </is>
      </c>
      <c r="B781" s="1" t="n">
        <v>46052</v>
      </c>
      <c r="C781" s="1" t="n">
        <v>46191</v>
      </c>
      <c r="D781" t="inlineStr">
        <is>
          <t>DALARNAS LÄN</t>
        </is>
      </c>
      <c r="E781" t="inlineStr">
        <is>
          <t>RÄTTVIK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3638-2024</t>
        </is>
      </c>
      <c r="B782" s="1" t="n">
        <v>45321</v>
      </c>
      <c r="C782" s="1" t="n">
        <v>46191</v>
      </c>
      <c r="D782" t="inlineStr">
        <is>
          <t>DALARNAS LÄN</t>
        </is>
      </c>
      <c r="E782" t="inlineStr">
        <is>
          <t>RÄTTVIK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15573-2026</t>
        </is>
      </c>
      <c r="B783" s="1" t="n">
        <v>46106</v>
      </c>
      <c r="C783" s="1" t="n">
        <v>46191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20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14588-2025</t>
        </is>
      </c>
      <c r="B784" s="1" t="n">
        <v>45742</v>
      </c>
      <c r="C784" s="1" t="n">
        <v>46191</v>
      </c>
      <c r="D784" t="inlineStr">
        <is>
          <t>DALARNAS LÄN</t>
        </is>
      </c>
      <c r="E784" t="inlineStr">
        <is>
          <t>RÄTTVIK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53127-2025</t>
        </is>
      </c>
      <c r="B785" s="1" t="n">
        <v>45957</v>
      </c>
      <c r="C785" s="1" t="n">
        <v>46191</v>
      </c>
      <c r="D785" t="inlineStr">
        <is>
          <t>DALARNAS LÄN</t>
        </is>
      </c>
      <c r="E785" t="inlineStr">
        <is>
          <t>RÄTTVIK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2078-2026</t>
        </is>
      </c>
      <c r="B786" s="1" t="n">
        <v>46036</v>
      </c>
      <c r="C786" s="1" t="n">
        <v>46191</v>
      </c>
      <c r="D786" t="inlineStr">
        <is>
          <t>DALARNAS LÄN</t>
        </is>
      </c>
      <c r="E786" t="inlineStr">
        <is>
          <t>RÄTTVIK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9371-2026</t>
        </is>
      </c>
      <c r="B787" s="1" t="n">
        <v>46070</v>
      </c>
      <c r="C787" s="1" t="n">
        <v>46191</v>
      </c>
      <c r="D787" t="inlineStr">
        <is>
          <t>DALARNAS LÄN</t>
        </is>
      </c>
      <c r="E787" t="inlineStr">
        <is>
          <t>RÄTTVIK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463-2024</t>
        </is>
      </c>
      <c r="B788" s="1" t="n">
        <v>45297</v>
      </c>
      <c r="C788" s="1" t="n">
        <v>46191</v>
      </c>
      <c r="D788" t="inlineStr">
        <is>
          <t>DALARNAS LÄN</t>
        </is>
      </c>
      <c r="E788" t="inlineStr">
        <is>
          <t>RÄTTVIK</t>
        </is>
      </c>
      <c r="F788" t="inlineStr">
        <is>
          <t>Övriga statliga verk och myndigheter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8381-2024</t>
        </is>
      </c>
      <c r="B789" s="1" t="n">
        <v>45352</v>
      </c>
      <c r="C789" s="1" t="n">
        <v>46191</v>
      </c>
      <c r="D789" t="inlineStr">
        <is>
          <t>DALARNAS LÄN</t>
        </is>
      </c>
      <c r="E789" t="inlineStr">
        <is>
          <t>RÄTTVIK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14633-2024</t>
        </is>
      </c>
      <c r="B790" s="1" t="n">
        <v>45397</v>
      </c>
      <c r="C790" s="1" t="n">
        <v>46191</v>
      </c>
      <c r="D790" t="inlineStr">
        <is>
          <t>DALARNAS LÄN</t>
        </is>
      </c>
      <c r="E790" t="inlineStr">
        <is>
          <t>RÄTTVIK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4355-2025</t>
        </is>
      </c>
      <c r="B791" s="1" t="n">
        <v>45686</v>
      </c>
      <c r="C791" s="1" t="n">
        <v>46191</v>
      </c>
      <c r="D791" t="inlineStr">
        <is>
          <t>DALARNAS LÄN</t>
        </is>
      </c>
      <c r="E791" t="inlineStr">
        <is>
          <t>RÄTTVIK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11749-2026</t>
        </is>
      </c>
      <c r="B792" s="1" t="n">
        <v>46084</v>
      </c>
      <c r="C792" s="1" t="n">
        <v>46191</v>
      </c>
      <c r="D792" t="inlineStr">
        <is>
          <t>DALARNAS LÄN</t>
        </is>
      </c>
      <c r="E792" t="inlineStr">
        <is>
          <t>RÄTTVIK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20977-2026</t>
        </is>
      </c>
      <c r="B793" s="1" t="n">
        <v>46142</v>
      </c>
      <c r="C793" s="1" t="n">
        <v>46191</v>
      </c>
      <c r="D793" t="inlineStr">
        <is>
          <t>DALARNAS LÄN</t>
        </is>
      </c>
      <c r="E793" t="inlineStr">
        <is>
          <t>RÄTTVIK</t>
        </is>
      </c>
      <c r="F793" t="inlineStr">
        <is>
          <t>Kommuner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44017-2023</t>
        </is>
      </c>
      <c r="B794" s="1" t="n">
        <v>45182</v>
      </c>
      <c r="C794" s="1" t="n">
        <v>46191</v>
      </c>
      <c r="D794" t="inlineStr">
        <is>
          <t>DALARNAS LÄN</t>
        </is>
      </c>
      <c r="E794" t="inlineStr">
        <is>
          <t>RÄTTVIK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3655-2024</t>
        </is>
      </c>
      <c r="B795" s="1" t="n">
        <v>45321</v>
      </c>
      <c r="C795" s="1" t="n">
        <v>46191</v>
      </c>
      <c r="D795" t="inlineStr">
        <is>
          <t>DALARNAS LÄN</t>
        </is>
      </c>
      <c r="E795" t="inlineStr">
        <is>
          <t>RÄTTVIK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20403-2025</t>
        </is>
      </c>
      <c r="B796" s="1" t="n">
        <v>45775</v>
      </c>
      <c r="C796" s="1" t="n">
        <v>46191</v>
      </c>
      <c r="D796" t="inlineStr">
        <is>
          <t>DALARNAS LÄN</t>
        </is>
      </c>
      <c r="E796" t="inlineStr">
        <is>
          <t>RÄTTVIK</t>
        </is>
      </c>
      <c r="F796" t="inlineStr">
        <is>
          <t>Övriga statliga verk och myndigheter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59307-2023</t>
        </is>
      </c>
      <c r="B797" s="1" t="n">
        <v>45253</v>
      </c>
      <c r="C797" s="1" t="n">
        <v>46191</v>
      </c>
      <c r="D797" t="inlineStr">
        <is>
          <t>DALARNAS LÄN</t>
        </is>
      </c>
      <c r="E797" t="inlineStr">
        <is>
          <t>RÄTTVIK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40994-2024</t>
        </is>
      </c>
      <c r="B798" s="1" t="n">
        <v>45558</v>
      </c>
      <c r="C798" s="1" t="n">
        <v>46191</v>
      </c>
      <c r="D798" t="inlineStr">
        <is>
          <t>DALARNAS LÄN</t>
        </is>
      </c>
      <c r="E798" t="inlineStr">
        <is>
          <t>RÄTTVIK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47616-2024</t>
        </is>
      </c>
      <c r="B799" s="1" t="n">
        <v>45588</v>
      </c>
      <c r="C799" s="1" t="n">
        <v>46191</v>
      </c>
      <c r="D799" t="inlineStr">
        <is>
          <t>DALARNAS LÄN</t>
        </is>
      </c>
      <c r="E799" t="inlineStr">
        <is>
          <t>RÄTTVIK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20515-2026</t>
        </is>
      </c>
      <c r="B800" s="1" t="n">
        <v>46140</v>
      </c>
      <c r="C800" s="1" t="n">
        <v>46191</v>
      </c>
      <c r="D800" t="inlineStr">
        <is>
          <t>DALARNAS LÄN</t>
        </is>
      </c>
      <c r="E800" t="inlineStr">
        <is>
          <t>RÄTTVIK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21156-2026</t>
        </is>
      </c>
      <c r="B801" s="1" t="n">
        <v>46146</v>
      </c>
      <c r="C801" s="1" t="n">
        <v>46191</v>
      </c>
      <c r="D801" t="inlineStr">
        <is>
          <t>DALARNAS LÄN</t>
        </is>
      </c>
      <c r="E801" t="inlineStr">
        <is>
          <t>RÄTTVIK</t>
        </is>
      </c>
      <c r="F801" t="inlineStr">
        <is>
          <t>Sveaskog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30776-2023</t>
        </is>
      </c>
      <c r="B802" s="1" t="n">
        <v>45112</v>
      </c>
      <c r="C802" s="1" t="n">
        <v>46191</v>
      </c>
      <c r="D802" t="inlineStr">
        <is>
          <t>DALARNAS LÄN</t>
        </is>
      </c>
      <c r="E802" t="inlineStr">
        <is>
          <t>RÄTTVIK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32862-2023</t>
        </is>
      </c>
      <c r="B803" s="1" t="n">
        <v>45112</v>
      </c>
      <c r="C803" s="1" t="n">
        <v>46191</v>
      </c>
      <c r="D803" t="inlineStr">
        <is>
          <t>DALARNAS LÄN</t>
        </is>
      </c>
      <c r="E803" t="inlineStr">
        <is>
          <t>RÄTTVIK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42089-2024</t>
        </is>
      </c>
      <c r="B804" s="1" t="n">
        <v>45562</v>
      </c>
      <c r="C804" s="1" t="n">
        <v>46191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37591-2024</t>
        </is>
      </c>
      <c r="B805" s="1" t="n">
        <v>45541</v>
      </c>
      <c r="C805" s="1" t="n">
        <v>46191</v>
      </c>
      <c r="D805" t="inlineStr">
        <is>
          <t>DALARNAS LÄN</t>
        </is>
      </c>
      <c r="E805" t="inlineStr">
        <is>
          <t>RÄTTVIK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56383-2024</t>
        </is>
      </c>
      <c r="B806" s="1" t="n">
        <v>45625</v>
      </c>
      <c r="C806" s="1" t="n">
        <v>46191</v>
      </c>
      <c r="D806" t="inlineStr">
        <is>
          <t>DALARNAS LÄN</t>
        </is>
      </c>
      <c r="E806" t="inlineStr">
        <is>
          <t>RÄTTVIK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21143-2026</t>
        </is>
      </c>
      <c r="B807" s="1" t="n">
        <v>46146</v>
      </c>
      <c r="C807" s="1" t="n">
        <v>46191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53932-2024</t>
        </is>
      </c>
      <c r="B808" s="1" t="n">
        <v>45615</v>
      </c>
      <c r="C808" s="1" t="n">
        <v>46191</v>
      </c>
      <c r="D808" t="inlineStr">
        <is>
          <t>DALARNAS LÄN</t>
        </is>
      </c>
      <c r="E808" t="inlineStr">
        <is>
          <t>RÄTTVIK</t>
        </is>
      </c>
      <c r="G808" t="n">
        <v>12.7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55624-2025</t>
        </is>
      </c>
      <c r="B809" s="1" t="n">
        <v>45972</v>
      </c>
      <c r="C809" s="1" t="n">
        <v>46191</v>
      </c>
      <c r="D809" t="inlineStr">
        <is>
          <t>DALARNAS LÄN</t>
        </is>
      </c>
      <c r="E809" t="inlineStr">
        <is>
          <t>RÄTTVIK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55172-2025</t>
        </is>
      </c>
      <c r="B810" s="1" t="n">
        <v>45968</v>
      </c>
      <c r="C810" s="1" t="n">
        <v>46191</v>
      </c>
      <c r="D810" t="inlineStr">
        <is>
          <t>DALARNAS LÄN</t>
        </is>
      </c>
      <c r="E810" t="inlineStr">
        <is>
          <t>RÄTTVIK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55171-2025</t>
        </is>
      </c>
      <c r="B811" s="1" t="n">
        <v>45968</v>
      </c>
      <c r="C811" s="1" t="n">
        <v>46191</v>
      </c>
      <c r="D811" t="inlineStr">
        <is>
          <t>DALARNAS LÄN</t>
        </is>
      </c>
      <c r="E811" t="inlineStr">
        <is>
          <t>RÄTTVIK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55920-2024</t>
        </is>
      </c>
      <c r="B812" s="1" t="n">
        <v>45623</v>
      </c>
      <c r="C812" s="1" t="n">
        <v>46191</v>
      </c>
      <c r="D812" t="inlineStr">
        <is>
          <t>DALARNAS LÄN</t>
        </is>
      </c>
      <c r="E812" t="inlineStr">
        <is>
          <t>RÄTTVIK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16876-2025</t>
        </is>
      </c>
      <c r="B813" s="1" t="n">
        <v>45755</v>
      </c>
      <c r="C813" s="1" t="n">
        <v>46191</v>
      </c>
      <c r="D813" t="inlineStr">
        <is>
          <t>DALARNAS LÄN</t>
        </is>
      </c>
      <c r="E813" t="inlineStr">
        <is>
          <t>RÄTTVIK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11003-2026</t>
        </is>
      </c>
      <c r="B814" s="1" t="n">
        <v>46079</v>
      </c>
      <c r="C814" s="1" t="n">
        <v>46191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9937-2024</t>
        </is>
      </c>
      <c r="B815" s="1" t="n">
        <v>45363</v>
      </c>
      <c r="C815" s="1" t="n">
        <v>46191</v>
      </c>
      <c r="D815" t="inlineStr">
        <is>
          <t>DALARNAS LÄN</t>
        </is>
      </c>
      <c r="E815" t="inlineStr">
        <is>
          <t>RÄTTVIK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21185-2026</t>
        </is>
      </c>
      <c r="B816" s="1" t="n">
        <v>46146</v>
      </c>
      <c r="C816" s="1" t="n">
        <v>46191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58700-2024</t>
        </is>
      </c>
      <c r="B817" s="1" t="n">
        <v>45635</v>
      </c>
      <c r="C817" s="1" t="n">
        <v>46191</v>
      </c>
      <c r="D817" t="inlineStr">
        <is>
          <t>DALARNAS LÄN</t>
        </is>
      </c>
      <c r="E817" t="inlineStr">
        <is>
          <t>RÄTTVIK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15089-2026</t>
        </is>
      </c>
      <c r="B818" s="1" t="n">
        <v>46105</v>
      </c>
      <c r="C818" s="1" t="n">
        <v>46191</v>
      </c>
      <c r="D818" t="inlineStr">
        <is>
          <t>DALARNAS LÄN</t>
        </is>
      </c>
      <c r="E818" t="inlineStr">
        <is>
          <t>RÄTTVIK</t>
        </is>
      </c>
      <c r="F818" t="inlineStr">
        <is>
          <t>Allmännings- och besparingsskogar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19619-2024</t>
        </is>
      </c>
      <c r="B819" s="1" t="n">
        <v>45432</v>
      </c>
      <c r="C819" s="1" t="n">
        <v>46191</v>
      </c>
      <c r="D819" t="inlineStr">
        <is>
          <t>DALARNAS LÄN</t>
        </is>
      </c>
      <c r="E819" t="inlineStr">
        <is>
          <t>RÄTTVIK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59718-2024</t>
        </is>
      </c>
      <c r="B820" s="1" t="n">
        <v>45639</v>
      </c>
      <c r="C820" s="1" t="n">
        <v>46191</v>
      </c>
      <c r="D820" t="inlineStr">
        <is>
          <t>DALARNAS LÄN</t>
        </is>
      </c>
      <c r="E820" t="inlineStr">
        <is>
          <t>RÄTTVIK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21497-2026</t>
        </is>
      </c>
      <c r="B821" s="1" t="n">
        <v>46148</v>
      </c>
      <c r="C821" s="1" t="n">
        <v>46191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10807-2025</t>
        </is>
      </c>
      <c r="B822" s="1" t="n">
        <v>45722</v>
      </c>
      <c r="C822" s="1" t="n">
        <v>46191</v>
      </c>
      <c r="D822" t="inlineStr">
        <is>
          <t>DALARNAS LÄN</t>
        </is>
      </c>
      <c r="E822" t="inlineStr">
        <is>
          <t>RÄTTVIK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2043-2025</t>
        </is>
      </c>
      <c r="B823" s="1" t="n">
        <v>45671</v>
      </c>
      <c r="C823" s="1" t="n">
        <v>46191</v>
      </c>
      <c r="D823" t="inlineStr">
        <is>
          <t>DALARNAS LÄN</t>
        </is>
      </c>
      <c r="E823" t="inlineStr">
        <is>
          <t>RÄTTVIK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21493-2026</t>
        </is>
      </c>
      <c r="B824" s="1" t="n">
        <v>46148</v>
      </c>
      <c r="C824" s="1" t="n">
        <v>46191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21492-2026</t>
        </is>
      </c>
      <c r="B825" s="1" t="n">
        <v>46148</v>
      </c>
      <c r="C825" s="1" t="n">
        <v>46191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21496-2026</t>
        </is>
      </c>
      <c r="B826" s="1" t="n">
        <v>46148</v>
      </c>
      <c r="C826" s="1" t="n">
        <v>46191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20652-2025</t>
        </is>
      </c>
      <c r="B827" s="1" t="n">
        <v>45776</v>
      </c>
      <c r="C827" s="1" t="n">
        <v>46191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21470-2026</t>
        </is>
      </c>
      <c r="B828" s="1" t="n">
        <v>46148</v>
      </c>
      <c r="C828" s="1" t="n">
        <v>46191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21252-2026</t>
        </is>
      </c>
      <c r="B829" s="1" t="n">
        <v>46147</v>
      </c>
      <c r="C829" s="1" t="n">
        <v>46191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20616-2025</t>
        </is>
      </c>
      <c r="B830" s="1" t="n">
        <v>45776</v>
      </c>
      <c r="C830" s="1" t="n">
        <v>46191</v>
      </c>
      <c r="D830" t="inlineStr">
        <is>
          <t>DALARNAS LÄN</t>
        </is>
      </c>
      <c r="E830" t="inlineStr">
        <is>
          <t>RÄTTVIK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5653-2025</t>
        </is>
      </c>
      <c r="B831" s="1" t="n">
        <v>45693</v>
      </c>
      <c r="C831" s="1" t="n">
        <v>46191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27467-2026</t>
        </is>
      </c>
      <c r="B832" s="1" t="n">
        <v>46189</v>
      </c>
      <c r="C832" s="1" t="n">
        <v>46191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27556-2026</t>
        </is>
      </c>
      <c r="B833" s="1" t="n">
        <v>46190</v>
      </c>
      <c r="C833" s="1" t="n">
        <v>46191</v>
      </c>
      <c r="D833" t="inlineStr">
        <is>
          <t>DALARNAS LÄN</t>
        </is>
      </c>
      <c r="E833" t="inlineStr">
        <is>
          <t>RÄTTVIK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21238-2025</t>
        </is>
      </c>
      <c r="B834" s="1" t="n">
        <v>45779</v>
      </c>
      <c r="C834" s="1" t="n">
        <v>46191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21363-2025</t>
        </is>
      </c>
      <c r="B835" s="1" t="n">
        <v>45782</v>
      </c>
      <c r="C835" s="1" t="n">
        <v>46191</v>
      </c>
      <c r="D835" t="inlineStr">
        <is>
          <t>DALARNAS LÄN</t>
        </is>
      </c>
      <c r="E835" t="inlineStr">
        <is>
          <t>RÄTTVIK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21460-2025</t>
        </is>
      </c>
      <c r="B836" s="1" t="n">
        <v>45782</v>
      </c>
      <c r="C836" s="1" t="n">
        <v>46191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27641-2026</t>
        </is>
      </c>
      <c r="B837" s="1" t="n">
        <v>46190</v>
      </c>
      <c r="C837" s="1" t="n">
        <v>46191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64094-2023</t>
        </is>
      </c>
      <c r="B838" s="1" t="n">
        <v>45279</v>
      </c>
      <c r="C838" s="1" t="n">
        <v>46191</v>
      </c>
      <c r="D838" t="inlineStr">
        <is>
          <t>DALARNAS LÄN</t>
        </is>
      </c>
      <c r="E838" t="inlineStr">
        <is>
          <t>RÄTTVIK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31390-2024</t>
        </is>
      </c>
      <c r="B839" s="1" t="n">
        <v>45505</v>
      </c>
      <c r="C839" s="1" t="n">
        <v>46191</v>
      </c>
      <c r="D839" t="inlineStr">
        <is>
          <t>DALARNAS LÄN</t>
        </is>
      </c>
      <c r="E839" t="inlineStr">
        <is>
          <t>RÄTTVIK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2722-2024</t>
        </is>
      </c>
      <c r="B840" s="1" t="n">
        <v>45314</v>
      </c>
      <c r="C840" s="1" t="n">
        <v>46191</v>
      </c>
      <c r="D840" t="inlineStr">
        <is>
          <t>DALARNAS LÄN</t>
        </is>
      </c>
      <c r="E840" t="inlineStr">
        <is>
          <t>RÄTTVIK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1797-2024</t>
        </is>
      </c>
      <c r="B841" s="1" t="n">
        <v>45307</v>
      </c>
      <c r="C841" s="1" t="n">
        <v>46191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54115-2024</t>
        </is>
      </c>
      <c r="B842" s="1" t="n">
        <v>45616</v>
      </c>
      <c r="C842" s="1" t="n">
        <v>46191</v>
      </c>
      <c r="D842" t="inlineStr">
        <is>
          <t>DALARNAS LÄN</t>
        </is>
      </c>
      <c r="E842" t="inlineStr">
        <is>
          <t>RÄTTVIK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7128-2025</t>
        </is>
      </c>
      <c r="B843" s="1" t="n">
        <v>45702</v>
      </c>
      <c r="C843" s="1" t="n">
        <v>46191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32837-2024</t>
        </is>
      </c>
      <c r="B844" s="1" t="n">
        <v>45516</v>
      </c>
      <c r="C844" s="1" t="n">
        <v>46191</v>
      </c>
      <c r="D844" t="inlineStr">
        <is>
          <t>DALARNAS LÄN</t>
        </is>
      </c>
      <c r="E844" t="inlineStr">
        <is>
          <t>RÄTTVIK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51209-2024</t>
        </is>
      </c>
      <c r="B845" s="1" t="n">
        <v>45603</v>
      </c>
      <c r="C845" s="1" t="n">
        <v>46191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22027-2025</t>
        </is>
      </c>
      <c r="B846" s="1" t="n">
        <v>45784</v>
      </c>
      <c r="C846" s="1" t="n">
        <v>46191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63239-2023</t>
        </is>
      </c>
      <c r="B847" s="1" t="n">
        <v>45273</v>
      </c>
      <c r="C847" s="1" t="n">
        <v>46191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46387-2024</t>
        </is>
      </c>
      <c r="B848" s="1" t="n">
        <v>45582</v>
      </c>
      <c r="C848" s="1" t="n">
        <v>46191</v>
      </c>
      <c r="D848" t="inlineStr">
        <is>
          <t>DALARNAS LÄN</t>
        </is>
      </c>
      <c r="E848" t="inlineStr">
        <is>
          <t>RÄTTVIK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38266-2024</t>
        </is>
      </c>
      <c r="B849" s="1" t="n">
        <v>45545</v>
      </c>
      <c r="C849" s="1" t="n">
        <v>46191</v>
      </c>
      <c r="D849" t="inlineStr">
        <is>
          <t>DALARNAS LÄN</t>
        </is>
      </c>
      <c r="E849" t="inlineStr">
        <is>
          <t>RÄTTVIK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50892-2024</t>
        </is>
      </c>
      <c r="B850" s="1" t="n">
        <v>45602</v>
      </c>
      <c r="C850" s="1" t="n">
        <v>46191</v>
      </c>
      <c r="D850" t="inlineStr">
        <is>
          <t>DALARNAS LÄN</t>
        </is>
      </c>
      <c r="E850" t="inlineStr">
        <is>
          <t>RÄTTVIK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8127-2024</t>
        </is>
      </c>
      <c r="B851" s="1" t="n">
        <v>45351</v>
      </c>
      <c r="C851" s="1" t="n">
        <v>46191</v>
      </c>
      <c r="D851" t="inlineStr">
        <is>
          <t>DALARNAS LÄN</t>
        </is>
      </c>
      <c r="E851" t="inlineStr">
        <is>
          <t>RÄTTVIK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35702-2022</t>
        </is>
      </c>
      <c r="B852" s="1" t="n">
        <v>44799</v>
      </c>
      <c r="C852" s="1" t="n">
        <v>46191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19129-2024</t>
        </is>
      </c>
      <c r="B853" s="1" t="n">
        <v>45428</v>
      </c>
      <c r="C853" s="1" t="n">
        <v>46191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2004-2025</t>
        </is>
      </c>
      <c r="B854" s="1" t="n">
        <v>45671</v>
      </c>
      <c r="C854" s="1" t="n">
        <v>46191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2011-2025</t>
        </is>
      </c>
      <c r="B855" s="1" t="n">
        <v>45672</v>
      </c>
      <c r="C855" s="1" t="n">
        <v>46191</v>
      </c>
      <c r="D855" t="inlineStr">
        <is>
          <t>DALARNAS LÄN</t>
        </is>
      </c>
      <c r="E855" t="inlineStr">
        <is>
          <t>RÄTTVIK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31386-2024</t>
        </is>
      </c>
      <c r="B856" s="1" t="n">
        <v>45505</v>
      </c>
      <c r="C856" s="1" t="n">
        <v>46191</v>
      </c>
      <c r="D856" t="inlineStr">
        <is>
          <t>DALARNAS LÄN</t>
        </is>
      </c>
      <c r="E856" t="inlineStr">
        <is>
          <t>RÄTTVIK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22762-2025</t>
        </is>
      </c>
      <c r="B857" s="1" t="n">
        <v>45789</v>
      </c>
      <c r="C857" s="1" t="n">
        <v>46191</v>
      </c>
      <c r="D857" t="inlineStr">
        <is>
          <t>DALARNAS LÄN</t>
        </is>
      </c>
      <c r="E857" t="inlineStr">
        <is>
          <t>RÄTTVIK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22904-2025</t>
        </is>
      </c>
      <c r="B858" s="1" t="n">
        <v>45790</v>
      </c>
      <c r="C858" s="1" t="n">
        <v>46191</v>
      </c>
      <c r="D858" t="inlineStr">
        <is>
          <t>DALARNAS LÄN</t>
        </is>
      </c>
      <c r="E858" t="inlineStr">
        <is>
          <t>RÄTTVIK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31388-2024</t>
        </is>
      </c>
      <c r="B859" s="1" t="n">
        <v>45505</v>
      </c>
      <c r="C859" s="1" t="n">
        <v>46191</v>
      </c>
      <c r="D859" t="inlineStr">
        <is>
          <t>DALARNAS LÄN</t>
        </is>
      </c>
      <c r="E859" t="inlineStr">
        <is>
          <t>RÄTTVIK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32012-2023</t>
        </is>
      </c>
      <c r="B860" s="1" t="n">
        <v>45119</v>
      </c>
      <c r="C860" s="1" t="n">
        <v>46191</v>
      </c>
      <c r="D860" t="inlineStr">
        <is>
          <t>DALARNAS LÄN</t>
        </is>
      </c>
      <c r="E860" t="inlineStr">
        <is>
          <t>RÄTTVIK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29744-2023</t>
        </is>
      </c>
      <c r="B861" s="1" t="n">
        <v>45107</v>
      </c>
      <c r="C861" s="1" t="n">
        <v>46191</v>
      </c>
      <c r="D861" t="inlineStr">
        <is>
          <t>DALARNAS LÄN</t>
        </is>
      </c>
      <c r="E861" t="inlineStr">
        <is>
          <t>RÄTTVIK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22788-2025</t>
        </is>
      </c>
      <c r="B862" s="1" t="n">
        <v>45789</v>
      </c>
      <c r="C862" s="1" t="n">
        <v>46191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2101-2025</t>
        </is>
      </c>
      <c r="B863" s="1" t="n">
        <v>45672</v>
      </c>
      <c r="C863" s="1" t="n">
        <v>46191</v>
      </c>
      <c r="D863" t="inlineStr">
        <is>
          <t>DALARNAS LÄN</t>
        </is>
      </c>
      <c r="E863" t="inlineStr">
        <is>
          <t>RÄTTVIK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23257-2025</t>
        </is>
      </c>
      <c r="B864" s="1" t="n">
        <v>45791</v>
      </c>
      <c r="C864" s="1" t="n">
        <v>46191</v>
      </c>
      <c r="D864" t="inlineStr">
        <is>
          <t>DALARNAS LÄN</t>
        </is>
      </c>
      <c r="E864" t="inlineStr">
        <is>
          <t>RÄTTVIK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49496-2024</t>
        </is>
      </c>
      <c r="B865" s="1" t="n">
        <v>45596</v>
      </c>
      <c r="C865" s="1" t="n">
        <v>46191</v>
      </c>
      <c r="D865" t="inlineStr">
        <is>
          <t>DALARNAS LÄN</t>
        </is>
      </c>
      <c r="E865" t="inlineStr">
        <is>
          <t>RÄTTVIK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61135-2024</t>
        </is>
      </c>
      <c r="B866" s="1" t="n">
        <v>45645</v>
      </c>
      <c r="C866" s="1" t="n">
        <v>46191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33276-2024</t>
        </is>
      </c>
      <c r="B867" s="1" t="n">
        <v>45518</v>
      </c>
      <c r="C867" s="1" t="n">
        <v>46191</v>
      </c>
      <c r="D867" t="inlineStr">
        <is>
          <t>DALARNAS LÄN</t>
        </is>
      </c>
      <c r="E867" t="inlineStr">
        <is>
          <t>RÄTTVIK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33167-2024</t>
        </is>
      </c>
      <c r="B868" s="1" t="n">
        <v>45518</v>
      </c>
      <c r="C868" s="1" t="n">
        <v>46191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14320-2025</t>
        </is>
      </c>
      <c r="B869" s="1" t="n">
        <v>45740</v>
      </c>
      <c r="C869" s="1" t="n">
        <v>46191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3154-2025</t>
        </is>
      </c>
      <c r="B870" s="1" t="n">
        <v>45679</v>
      </c>
      <c r="C870" s="1" t="n">
        <v>46191</v>
      </c>
      <c r="D870" t="inlineStr">
        <is>
          <t>DALARNAS LÄN</t>
        </is>
      </c>
      <c r="E870" t="inlineStr">
        <is>
          <t>RÄTTVIK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44248-2023</t>
        </is>
      </c>
      <c r="B871" s="1" t="n">
        <v>45188</v>
      </c>
      <c r="C871" s="1" t="n">
        <v>46191</v>
      </c>
      <c r="D871" t="inlineStr">
        <is>
          <t>DALARNAS LÄN</t>
        </is>
      </c>
      <c r="E871" t="inlineStr">
        <is>
          <t>RÄTTVIK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41212-2022</t>
        </is>
      </c>
      <c r="B872" s="1" t="n">
        <v>44826</v>
      </c>
      <c r="C872" s="1" t="n">
        <v>46191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24889-2022</t>
        </is>
      </c>
      <c r="B873" s="1" t="n">
        <v>44728</v>
      </c>
      <c r="C873" s="1" t="n">
        <v>46191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59518-2022</t>
        </is>
      </c>
      <c r="B874" s="1" t="n">
        <v>44907</v>
      </c>
      <c r="C874" s="1" t="n">
        <v>46191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39712-2024</t>
        </is>
      </c>
      <c r="B875" s="1" t="n">
        <v>45552</v>
      </c>
      <c r="C875" s="1" t="n">
        <v>46191</v>
      </c>
      <c r="D875" t="inlineStr">
        <is>
          <t>DALARNAS LÄN</t>
        </is>
      </c>
      <c r="E875" t="inlineStr">
        <is>
          <t>RÄTTVIK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440-2025</t>
        </is>
      </c>
      <c r="B876" s="1" t="n">
        <v>45664</v>
      </c>
      <c r="C876" s="1" t="n">
        <v>46191</v>
      </c>
      <c r="D876" t="inlineStr">
        <is>
          <t>DALARNAS LÄN</t>
        </is>
      </c>
      <c r="E876" t="inlineStr">
        <is>
          <t>RÄTTVIK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23836-2025</t>
        </is>
      </c>
      <c r="B877" s="1" t="n">
        <v>45793</v>
      </c>
      <c r="C877" s="1" t="n">
        <v>46191</v>
      </c>
      <c r="D877" t="inlineStr">
        <is>
          <t>DALARNAS LÄN</t>
        </is>
      </c>
      <c r="E877" t="inlineStr">
        <is>
          <t>RÄTTVIK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23982-2025</t>
        </is>
      </c>
      <c r="B878" s="1" t="n">
        <v>45796</v>
      </c>
      <c r="C878" s="1" t="n">
        <v>46191</v>
      </c>
      <c r="D878" t="inlineStr">
        <is>
          <t>DALARNAS LÄN</t>
        </is>
      </c>
      <c r="E878" t="inlineStr">
        <is>
          <t>RÄTTVIK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24024-2025</t>
        </is>
      </c>
      <c r="B879" s="1" t="n">
        <v>45796</v>
      </c>
      <c r="C879" s="1" t="n">
        <v>46191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35889-2024</t>
        </is>
      </c>
      <c r="B880" s="1" t="n">
        <v>45533</v>
      </c>
      <c r="C880" s="1" t="n">
        <v>46191</v>
      </c>
      <c r="D880" t="inlineStr">
        <is>
          <t>DALARNAS LÄN</t>
        </is>
      </c>
      <c r="E880" t="inlineStr">
        <is>
          <t>RÄTTVIK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27535-2023</t>
        </is>
      </c>
      <c r="B881" s="1" t="n">
        <v>45097</v>
      </c>
      <c r="C881" s="1" t="n">
        <v>46191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27522-2023</t>
        </is>
      </c>
      <c r="B882" s="1" t="n">
        <v>45097</v>
      </c>
      <c r="C882" s="1" t="n">
        <v>46191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56523-2024</t>
        </is>
      </c>
      <c r="B883" s="1" t="n">
        <v>45625</v>
      </c>
      <c r="C883" s="1" t="n">
        <v>46191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öst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24022-2025</t>
        </is>
      </c>
      <c r="B884" s="1" t="n">
        <v>45796</v>
      </c>
      <c r="C884" s="1" t="n">
        <v>46191</v>
      </c>
      <c r="D884" t="inlineStr">
        <is>
          <t>DALARNAS LÄN</t>
        </is>
      </c>
      <c r="E884" t="inlineStr">
        <is>
          <t>RÄTTVIK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23814-2025</t>
        </is>
      </c>
      <c r="B885" s="1" t="n">
        <v>45793</v>
      </c>
      <c r="C885" s="1" t="n">
        <v>46191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58835-2024</t>
        </is>
      </c>
      <c r="B886" s="1" t="n">
        <v>45636</v>
      </c>
      <c r="C886" s="1" t="n">
        <v>46191</v>
      </c>
      <c r="D886" t="inlineStr">
        <is>
          <t>DALARNAS LÄN</t>
        </is>
      </c>
      <c r="E886" t="inlineStr">
        <is>
          <t>RÄTTVIK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48939-2024</t>
        </is>
      </c>
      <c r="B887" s="1" t="n">
        <v>45594</v>
      </c>
      <c r="C887" s="1" t="n">
        <v>46191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24573-2025</t>
        </is>
      </c>
      <c r="B888" s="1" t="n">
        <v>45798</v>
      </c>
      <c r="C888" s="1" t="n">
        <v>46191</v>
      </c>
      <c r="D888" t="inlineStr">
        <is>
          <t>DALARNAS LÄN</t>
        </is>
      </c>
      <c r="E888" t="inlineStr">
        <is>
          <t>RÄTTVIK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53666-2024</t>
        </is>
      </c>
      <c r="B889" s="1" t="n">
        <v>45615</v>
      </c>
      <c r="C889" s="1" t="n">
        <v>46191</v>
      </c>
      <c r="D889" t="inlineStr">
        <is>
          <t>DALARNAS LÄN</t>
        </is>
      </c>
      <c r="E889" t="inlineStr">
        <is>
          <t>RÄTTVIK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359-2025</t>
        </is>
      </c>
      <c r="B890" s="1" t="n">
        <v>45659</v>
      </c>
      <c r="C890" s="1" t="n">
        <v>46191</v>
      </c>
      <c r="D890" t="inlineStr">
        <is>
          <t>DALARNAS LÄN</t>
        </is>
      </c>
      <c r="E890" t="inlineStr">
        <is>
          <t>RÄTTVIK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36040-2023</t>
        </is>
      </c>
      <c r="B891" s="1" t="n">
        <v>45148</v>
      </c>
      <c r="C891" s="1" t="n">
        <v>46191</v>
      </c>
      <c r="D891" t="inlineStr">
        <is>
          <t>DALARNAS LÄN</t>
        </is>
      </c>
      <c r="E891" t="inlineStr">
        <is>
          <t>RÄTTVIK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17157-2025</t>
        </is>
      </c>
      <c r="B892" s="1" t="n">
        <v>45756</v>
      </c>
      <c r="C892" s="1" t="n">
        <v>46191</v>
      </c>
      <c r="D892" t="inlineStr">
        <is>
          <t>DALARNAS LÄN</t>
        </is>
      </c>
      <c r="E892" t="inlineStr">
        <is>
          <t>RÄTTVIK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5651-2025</t>
        </is>
      </c>
      <c r="B893" s="1" t="n">
        <v>45693</v>
      </c>
      <c r="C893" s="1" t="n">
        <v>46191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41052-2023</t>
        </is>
      </c>
      <c r="B894" s="1" t="n">
        <v>45173</v>
      </c>
      <c r="C894" s="1" t="n">
        <v>46191</v>
      </c>
      <c r="D894" t="inlineStr">
        <is>
          <t>DALARNAS LÄN</t>
        </is>
      </c>
      <c r="E894" t="inlineStr">
        <is>
          <t>RÄTTVIK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48290-2023</t>
        </is>
      </c>
      <c r="B895" s="1" t="n">
        <v>45205</v>
      </c>
      <c r="C895" s="1" t="n">
        <v>46191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66673-2021</t>
        </is>
      </c>
      <c r="B896" s="1" t="n">
        <v>44519</v>
      </c>
      <c r="C896" s="1" t="n">
        <v>46191</v>
      </c>
      <c r="D896" t="inlineStr">
        <is>
          <t>DALARNAS LÄN</t>
        </is>
      </c>
      <c r="E896" t="inlineStr">
        <is>
          <t>RÄTTVIK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36169-2024</t>
        </is>
      </c>
      <c r="B897" s="1" t="n">
        <v>45534</v>
      </c>
      <c r="C897" s="1" t="n">
        <v>46191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24811-2025</t>
        </is>
      </c>
      <c r="B898" s="1" t="n">
        <v>45799</v>
      </c>
      <c r="C898" s="1" t="n">
        <v>46191</v>
      </c>
      <c r="D898" t="inlineStr">
        <is>
          <t>DALARNAS LÄN</t>
        </is>
      </c>
      <c r="E898" t="inlineStr">
        <is>
          <t>RÄTTVIK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16878-2025</t>
        </is>
      </c>
      <c r="B899" s="1" t="n">
        <v>45755</v>
      </c>
      <c r="C899" s="1" t="n">
        <v>46191</v>
      </c>
      <c r="D899" t="inlineStr">
        <is>
          <t>DALARNAS LÄN</t>
        </is>
      </c>
      <c r="E899" t="inlineStr">
        <is>
          <t>RÄTTVIK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25559-2025</t>
        </is>
      </c>
      <c r="B900" s="1" t="n">
        <v>45803</v>
      </c>
      <c r="C900" s="1" t="n">
        <v>46191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9.699999999999999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11630-2024</t>
        </is>
      </c>
      <c r="B901" s="1" t="n">
        <v>45373</v>
      </c>
      <c r="C901" s="1" t="n">
        <v>46191</v>
      </c>
      <c r="D901" t="inlineStr">
        <is>
          <t>DALARNAS LÄN</t>
        </is>
      </c>
      <c r="E901" t="inlineStr">
        <is>
          <t>RÄTTVIK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40409-2024</t>
        </is>
      </c>
      <c r="B902" s="1" t="n">
        <v>45555</v>
      </c>
      <c r="C902" s="1" t="n">
        <v>46191</v>
      </c>
      <c r="D902" t="inlineStr">
        <is>
          <t>DALARNAS LÄN</t>
        </is>
      </c>
      <c r="E902" t="inlineStr">
        <is>
          <t>RÄTTVIK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25567-2025</t>
        </is>
      </c>
      <c r="B903" s="1" t="n">
        <v>45803</v>
      </c>
      <c r="C903" s="1" t="n">
        <v>46191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15767-2023</t>
        </is>
      </c>
      <c r="B904" s="1" t="n">
        <v>45021</v>
      </c>
      <c r="C904" s="1" t="n">
        <v>46191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59272-2024</t>
        </is>
      </c>
      <c r="B905" s="1" t="n">
        <v>45637</v>
      </c>
      <c r="C905" s="1" t="n">
        <v>46191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55898-2024</t>
        </is>
      </c>
      <c r="B906" s="1" t="n">
        <v>45623</v>
      </c>
      <c r="C906" s="1" t="n">
        <v>46191</v>
      </c>
      <c r="D906" t="inlineStr">
        <is>
          <t>DALARNAS LÄN</t>
        </is>
      </c>
      <c r="E906" t="inlineStr">
        <is>
          <t>RÄTTVIK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46191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40570-2022</t>
        </is>
      </c>
      <c r="B908" s="1" t="n">
        <v>44823</v>
      </c>
      <c r="C908" s="1" t="n">
        <v>46191</v>
      </c>
      <c r="D908" t="inlineStr">
        <is>
          <t>DALARNAS LÄN</t>
        </is>
      </c>
      <c r="E908" t="inlineStr">
        <is>
          <t>RÄTTVIK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4365-2025</t>
        </is>
      </c>
      <c r="B909" s="1" t="n">
        <v>45686</v>
      </c>
      <c r="C909" s="1" t="n">
        <v>46191</v>
      </c>
      <c r="D909" t="inlineStr">
        <is>
          <t>DALARNAS LÄN</t>
        </is>
      </c>
      <c r="E909" t="inlineStr">
        <is>
          <t>RÄTTVIK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19841-2025</t>
        </is>
      </c>
      <c r="B910" s="1" t="n">
        <v>45771</v>
      </c>
      <c r="C910" s="1" t="n">
        <v>46191</v>
      </c>
      <c r="D910" t="inlineStr">
        <is>
          <t>DALARNAS LÄN</t>
        </is>
      </c>
      <c r="E910" t="inlineStr">
        <is>
          <t>RÄTTVIK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49944-2023</t>
        </is>
      </c>
      <c r="B911" s="1" t="n">
        <v>45215</v>
      </c>
      <c r="C911" s="1" t="n">
        <v>46191</v>
      </c>
      <c r="D911" t="inlineStr">
        <is>
          <t>DALARNAS LÄN</t>
        </is>
      </c>
      <c r="E911" t="inlineStr">
        <is>
          <t>RÄTTVIK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12029-2024</t>
        </is>
      </c>
      <c r="B912" s="1" t="n">
        <v>45377</v>
      </c>
      <c r="C912" s="1" t="n">
        <v>46191</v>
      </c>
      <c r="D912" t="inlineStr">
        <is>
          <t>DALARNAS LÄN</t>
        </is>
      </c>
      <c r="E912" t="inlineStr">
        <is>
          <t>RÄTTVIK</t>
        </is>
      </c>
      <c r="F912" t="inlineStr">
        <is>
          <t>Övriga statliga verk och myndigheter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62193-2023</t>
        </is>
      </c>
      <c r="B913" s="1" t="n">
        <v>45267</v>
      </c>
      <c r="C913" s="1" t="n">
        <v>46191</v>
      </c>
      <c r="D913" t="inlineStr">
        <is>
          <t>DALARNAS LÄN</t>
        </is>
      </c>
      <c r="E913" t="inlineStr">
        <is>
          <t>RÄTTVIK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27656-2025</t>
        </is>
      </c>
      <c r="B914" s="1" t="n">
        <v>45813</v>
      </c>
      <c r="C914" s="1" t="n">
        <v>46191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15277-2025</t>
        </is>
      </c>
      <c r="B915" s="1" t="n">
        <v>45744</v>
      </c>
      <c r="C915" s="1" t="n">
        <v>46191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27512-2025</t>
        </is>
      </c>
      <c r="B916" s="1" t="n">
        <v>45813</v>
      </c>
      <c r="C916" s="1" t="n">
        <v>46191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27704-2025</t>
        </is>
      </c>
      <c r="B917" s="1" t="n">
        <v>45813</v>
      </c>
      <c r="C917" s="1" t="n">
        <v>46191</v>
      </c>
      <c r="D917" t="inlineStr">
        <is>
          <t>DALARNAS LÄN</t>
        </is>
      </c>
      <c r="E917" t="inlineStr">
        <is>
          <t>RÄTTVIK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23667-2023</t>
        </is>
      </c>
      <c r="B918" s="1" t="n">
        <v>45077</v>
      </c>
      <c r="C918" s="1" t="n">
        <v>46191</v>
      </c>
      <c r="D918" t="inlineStr">
        <is>
          <t>DALARNAS LÄN</t>
        </is>
      </c>
      <c r="E918" t="inlineStr">
        <is>
          <t>RÄTTVIK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41682-2023</t>
        </is>
      </c>
      <c r="B919" s="1" t="n">
        <v>45176</v>
      </c>
      <c r="C919" s="1" t="n">
        <v>46191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28044-2025</t>
        </is>
      </c>
      <c r="B920" s="1" t="n">
        <v>45817</v>
      </c>
      <c r="C920" s="1" t="n">
        <v>46191</v>
      </c>
      <c r="D920" t="inlineStr">
        <is>
          <t>DALARNAS LÄN</t>
        </is>
      </c>
      <c r="E920" t="inlineStr">
        <is>
          <t>RÄTTVIK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40020-2021</t>
        </is>
      </c>
      <c r="B921" s="1" t="n">
        <v>44418</v>
      </c>
      <c r="C921" s="1" t="n">
        <v>46191</v>
      </c>
      <c r="D921" t="inlineStr">
        <is>
          <t>DALARNAS LÄN</t>
        </is>
      </c>
      <c r="E921" t="inlineStr">
        <is>
          <t>RÄTTVIK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28811-2025</t>
        </is>
      </c>
      <c r="B922" s="1" t="n">
        <v>45820</v>
      </c>
      <c r="C922" s="1" t="n">
        <v>46191</v>
      </c>
      <c r="D922" t="inlineStr">
        <is>
          <t>DALARNAS LÄN</t>
        </is>
      </c>
      <c r="E922" t="inlineStr">
        <is>
          <t>RÄTTVIK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28683-2025</t>
        </is>
      </c>
      <c r="B923" s="1" t="n">
        <v>45819</v>
      </c>
      <c r="C923" s="1" t="n">
        <v>46191</v>
      </c>
      <c r="D923" t="inlineStr">
        <is>
          <t>DALARNAS LÄN</t>
        </is>
      </c>
      <c r="E923" t="inlineStr">
        <is>
          <t>RÄTTVIK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33400-2021</t>
        </is>
      </c>
      <c r="B924" s="1" t="n">
        <v>44377</v>
      </c>
      <c r="C924" s="1" t="n">
        <v>46191</v>
      </c>
      <c r="D924" t="inlineStr">
        <is>
          <t>DALARNAS LÄN</t>
        </is>
      </c>
      <c r="E924" t="inlineStr">
        <is>
          <t>RÄTTVIK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29135-2025</t>
        </is>
      </c>
      <c r="B925" s="1" t="n">
        <v>45821</v>
      </c>
      <c r="C925" s="1" t="n">
        <v>46191</v>
      </c>
      <c r="D925" t="inlineStr">
        <is>
          <t>DALARNAS LÄN</t>
        </is>
      </c>
      <c r="E925" t="inlineStr">
        <is>
          <t>RÄTTVIK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12617-2022</t>
        </is>
      </c>
      <c r="B926" s="1" t="n">
        <v>44641</v>
      </c>
      <c r="C926" s="1" t="n">
        <v>46191</v>
      </c>
      <c r="D926" t="inlineStr">
        <is>
          <t>DALARNAS LÄN</t>
        </is>
      </c>
      <c r="E926" t="inlineStr">
        <is>
          <t>RÄTTVIK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29289-2025</t>
        </is>
      </c>
      <c r="B927" s="1" t="n">
        <v>45824</v>
      </c>
      <c r="C927" s="1" t="n">
        <v>46191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29360-2025</t>
        </is>
      </c>
      <c r="B928" s="1" t="n">
        <v>45824</v>
      </c>
      <c r="C928" s="1" t="n">
        <v>46191</v>
      </c>
      <c r="D928" t="inlineStr">
        <is>
          <t>DALARNAS LÄN</t>
        </is>
      </c>
      <c r="E928" t="inlineStr">
        <is>
          <t>RÄTTVIK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29943-2025</t>
        </is>
      </c>
      <c r="B929" s="1" t="n">
        <v>45826</v>
      </c>
      <c r="C929" s="1" t="n">
        <v>46191</v>
      </c>
      <c r="D929" t="inlineStr">
        <is>
          <t>DALARNAS LÄN</t>
        </is>
      </c>
      <c r="E929" t="inlineStr">
        <is>
          <t>RÄTTVIK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29519-2025</t>
        </is>
      </c>
      <c r="B930" s="1" t="n">
        <v>45825</v>
      </c>
      <c r="C930" s="1" t="n">
        <v>46191</v>
      </c>
      <c r="D930" t="inlineStr">
        <is>
          <t>DALARNAS LÄN</t>
        </is>
      </c>
      <c r="E930" t="inlineStr">
        <is>
          <t>RÄTTVIK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29695-2025</t>
        </is>
      </c>
      <c r="B931" s="1" t="n">
        <v>45825</v>
      </c>
      <c r="C931" s="1" t="n">
        <v>46191</v>
      </c>
      <c r="D931" t="inlineStr">
        <is>
          <t>DALARNAS LÄN</t>
        </is>
      </c>
      <c r="E931" t="inlineStr">
        <is>
          <t>RÄTTVIK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22677-2023</t>
        </is>
      </c>
      <c r="B932" s="1" t="n">
        <v>45071</v>
      </c>
      <c r="C932" s="1" t="n">
        <v>46191</v>
      </c>
      <c r="D932" t="inlineStr">
        <is>
          <t>DALARNAS LÄN</t>
        </is>
      </c>
      <c r="E932" t="inlineStr">
        <is>
          <t>RÄTTVIK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29676-2025</t>
        </is>
      </c>
      <c r="B933" s="1" t="n">
        <v>45825</v>
      </c>
      <c r="C933" s="1" t="n">
        <v>46191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13572-2025</t>
        </is>
      </c>
      <c r="B934" s="1" t="n">
        <v>45736</v>
      </c>
      <c r="C934" s="1" t="n">
        <v>46191</v>
      </c>
      <c r="D934" t="inlineStr">
        <is>
          <t>DALARNAS LÄN</t>
        </is>
      </c>
      <c r="E934" t="inlineStr">
        <is>
          <t>RÄTTVIK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29521-2025</t>
        </is>
      </c>
      <c r="B935" s="1" t="n">
        <v>45825</v>
      </c>
      <c r="C935" s="1" t="n">
        <v>46191</v>
      </c>
      <c r="D935" t="inlineStr">
        <is>
          <t>DALARNAS LÄN</t>
        </is>
      </c>
      <c r="E935" t="inlineStr">
        <is>
          <t>RÄTTVIK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40195-2022</t>
        </is>
      </c>
      <c r="B936" s="1" t="n">
        <v>44818</v>
      </c>
      <c r="C936" s="1" t="n">
        <v>46191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47572-2024</t>
        </is>
      </c>
      <c r="B937" s="1" t="n">
        <v>45587</v>
      </c>
      <c r="C937" s="1" t="n">
        <v>46191</v>
      </c>
      <c r="D937" t="inlineStr">
        <is>
          <t>DALARNAS LÄN</t>
        </is>
      </c>
      <c r="E937" t="inlineStr">
        <is>
          <t>RÄTTVIK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31622-2025</t>
        </is>
      </c>
      <c r="B938" s="1" t="n">
        <v>45833</v>
      </c>
      <c r="C938" s="1" t="n">
        <v>46191</v>
      </c>
      <c r="D938" t="inlineStr">
        <is>
          <t>DALARNAS LÄN</t>
        </is>
      </c>
      <c r="E938" t="inlineStr">
        <is>
          <t>RÄTTVIK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31297-2025</t>
        </is>
      </c>
      <c r="B939" s="1" t="n">
        <v>45833</v>
      </c>
      <c r="C939" s="1" t="n">
        <v>46191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31300-2025</t>
        </is>
      </c>
      <c r="B940" s="1" t="n">
        <v>45833</v>
      </c>
      <c r="C940" s="1" t="n">
        <v>46191</v>
      </c>
      <c r="D940" t="inlineStr">
        <is>
          <t>DALARNAS LÄN</t>
        </is>
      </c>
      <c r="E940" t="inlineStr">
        <is>
          <t>RÄTTVIK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31260-2025</t>
        </is>
      </c>
      <c r="B941" s="1" t="n">
        <v>45833</v>
      </c>
      <c r="C941" s="1" t="n">
        <v>46191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31273-2025</t>
        </is>
      </c>
      <c r="B942" s="1" t="n">
        <v>45833</v>
      </c>
      <c r="C942" s="1" t="n">
        <v>46191</v>
      </c>
      <c r="D942" t="inlineStr">
        <is>
          <t>DALARNAS LÄN</t>
        </is>
      </c>
      <c r="E942" t="inlineStr">
        <is>
          <t>RÄTTVIK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490-2023</t>
        </is>
      </c>
      <c r="B943" s="1" t="n">
        <v>44930</v>
      </c>
      <c r="C943" s="1" t="n">
        <v>46191</v>
      </c>
      <c r="D943" t="inlineStr">
        <is>
          <t>DALARNAS LÄN</t>
        </is>
      </c>
      <c r="E943" t="inlineStr">
        <is>
          <t>RÄTTVIK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31310-2025</t>
        </is>
      </c>
      <c r="B944" s="1" t="n">
        <v>45833</v>
      </c>
      <c r="C944" s="1" t="n">
        <v>46191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31286-2025</t>
        </is>
      </c>
      <c r="B945" s="1" t="n">
        <v>45833</v>
      </c>
      <c r="C945" s="1" t="n">
        <v>46191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32166-2025</t>
        </is>
      </c>
      <c r="B946" s="1" t="n">
        <v>45835</v>
      </c>
      <c r="C946" s="1" t="n">
        <v>46191</v>
      </c>
      <c r="D946" t="inlineStr">
        <is>
          <t>DALARNAS LÄN</t>
        </is>
      </c>
      <c r="E946" t="inlineStr">
        <is>
          <t>RÄTTVIK</t>
        </is>
      </c>
      <c r="F946" t="inlineStr">
        <is>
          <t>Sveaskog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31976-2025</t>
        </is>
      </c>
      <c r="B947" s="1" t="n">
        <v>45835</v>
      </c>
      <c r="C947" s="1" t="n">
        <v>46191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51041-2021</t>
        </is>
      </c>
      <c r="B948" s="1" t="n">
        <v>44461</v>
      </c>
      <c r="C948" s="1" t="n">
        <v>46191</v>
      </c>
      <c r="D948" t="inlineStr">
        <is>
          <t>DALARNAS LÄN</t>
        </is>
      </c>
      <c r="E948" t="inlineStr">
        <is>
          <t>RÄTTVIK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33002-2025</t>
        </is>
      </c>
      <c r="B949" s="1" t="n">
        <v>45840</v>
      </c>
      <c r="C949" s="1" t="n">
        <v>46191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33117-2025</t>
        </is>
      </c>
      <c r="B950" s="1" t="n">
        <v>45840</v>
      </c>
      <c r="C950" s="1" t="n">
        <v>46191</v>
      </c>
      <c r="D950" t="inlineStr">
        <is>
          <t>DALARNAS LÄN</t>
        </is>
      </c>
      <c r="E950" t="inlineStr">
        <is>
          <t>RÄTTVIK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45047-2024</t>
        </is>
      </c>
      <c r="B951" s="1" t="n">
        <v>45575</v>
      </c>
      <c r="C951" s="1" t="n">
        <v>46191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13772-2025</t>
        </is>
      </c>
      <c r="B952" s="1" t="n">
        <v>45737</v>
      </c>
      <c r="C952" s="1" t="n">
        <v>46191</v>
      </c>
      <c r="D952" t="inlineStr">
        <is>
          <t>DALARNAS LÄN</t>
        </is>
      </c>
      <c r="E952" t="inlineStr">
        <is>
          <t>RÄTTVIK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48634-2023</t>
        </is>
      </c>
      <c r="B953" s="1" t="n">
        <v>45202</v>
      </c>
      <c r="C953" s="1" t="n">
        <v>46191</v>
      </c>
      <c r="D953" t="inlineStr">
        <is>
          <t>DALARNAS LÄN</t>
        </is>
      </c>
      <c r="E953" t="inlineStr">
        <is>
          <t>RÄTTVIK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12758-2025</t>
        </is>
      </c>
      <c r="B954" s="1" t="n">
        <v>45733</v>
      </c>
      <c r="C954" s="1" t="n">
        <v>46191</v>
      </c>
      <c r="D954" t="inlineStr">
        <is>
          <t>DALARNAS LÄN</t>
        </is>
      </c>
      <c r="E954" t="inlineStr">
        <is>
          <t>RÄTTVIK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29360-2023</t>
        </is>
      </c>
      <c r="B955" s="1" t="n">
        <v>45106</v>
      </c>
      <c r="C955" s="1" t="n">
        <v>46191</v>
      </c>
      <c r="D955" t="inlineStr">
        <is>
          <t>DALARNAS LÄN</t>
        </is>
      </c>
      <c r="E955" t="inlineStr">
        <is>
          <t>RÄTTVIK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29141-2023</t>
        </is>
      </c>
      <c r="B956" s="1" t="n">
        <v>45105</v>
      </c>
      <c r="C956" s="1" t="n">
        <v>46191</v>
      </c>
      <c r="D956" t="inlineStr">
        <is>
          <t>DALARNAS LÄN</t>
        </is>
      </c>
      <c r="E956" t="inlineStr">
        <is>
          <t>RÄTTVIK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34595-2025</t>
        </is>
      </c>
      <c r="B957" s="1" t="n">
        <v>45847</v>
      </c>
      <c r="C957" s="1" t="n">
        <v>46191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58484-2023</t>
        </is>
      </c>
      <c r="B958" s="1" t="n">
        <v>45251</v>
      </c>
      <c r="C958" s="1" t="n">
        <v>46191</v>
      </c>
      <c r="D958" t="inlineStr">
        <is>
          <t>DALARNAS LÄN</t>
        </is>
      </c>
      <c r="E958" t="inlineStr">
        <is>
          <t>RÄTTVIK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36415-2024</t>
        </is>
      </c>
      <c r="B959" s="1" t="n">
        <v>45536</v>
      </c>
      <c r="C959" s="1" t="n">
        <v>46191</v>
      </c>
      <c r="D959" t="inlineStr">
        <is>
          <t>DALARNAS LÄN</t>
        </is>
      </c>
      <c r="E959" t="inlineStr">
        <is>
          <t>RÄTTVIK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34908-2025</t>
        </is>
      </c>
      <c r="B960" s="1" t="n">
        <v>45849</v>
      </c>
      <c r="C960" s="1" t="n">
        <v>46191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34810-2025</t>
        </is>
      </c>
      <c r="B961" s="1" t="n">
        <v>45849</v>
      </c>
      <c r="C961" s="1" t="n">
        <v>46191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36524-2022</t>
        </is>
      </c>
      <c r="B962" s="1" t="n">
        <v>44804</v>
      </c>
      <c r="C962" s="1" t="n">
        <v>46191</v>
      </c>
      <c r="D962" t="inlineStr">
        <is>
          <t>DALARNAS LÄN</t>
        </is>
      </c>
      <c r="E962" t="inlineStr">
        <is>
          <t>RÄTTVIK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35247-2025</t>
        </is>
      </c>
      <c r="B963" s="1" t="n">
        <v>45853</v>
      </c>
      <c r="C963" s="1" t="n">
        <v>46191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20617-2025</t>
        </is>
      </c>
      <c r="B964" s="1" t="n">
        <v>45776</v>
      </c>
      <c r="C964" s="1" t="n">
        <v>46191</v>
      </c>
      <c r="D964" t="inlineStr">
        <is>
          <t>DALARNAS LÄN</t>
        </is>
      </c>
      <c r="E964" t="inlineStr">
        <is>
          <t>RÄTTVIK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35424-2025</t>
        </is>
      </c>
      <c r="B965" s="1" t="n">
        <v>45855</v>
      </c>
      <c r="C965" s="1" t="n">
        <v>46191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33140-2024</t>
        </is>
      </c>
      <c r="B966" s="1" t="n">
        <v>45518</v>
      </c>
      <c r="C966" s="1" t="n">
        <v>46191</v>
      </c>
      <c r="D966" t="inlineStr">
        <is>
          <t>DALARNAS LÄN</t>
        </is>
      </c>
      <c r="E966" t="inlineStr">
        <is>
          <t>RÄTTVIK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17657-2022</t>
        </is>
      </c>
      <c r="B967" s="1" t="n">
        <v>44680</v>
      </c>
      <c r="C967" s="1" t="n">
        <v>46191</v>
      </c>
      <c r="D967" t="inlineStr">
        <is>
          <t>DALARNAS LÄN</t>
        </is>
      </c>
      <c r="E967" t="inlineStr">
        <is>
          <t>RÄTTVIK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35900-2025</t>
        </is>
      </c>
      <c r="B968" s="1" t="n">
        <v>45862</v>
      </c>
      <c r="C968" s="1" t="n">
        <v>46191</v>
      </c>
      <c r="D968" t="inlineStr">
        <is>
          <t>DALARNAS LÄN</t>
        </is>
      </c>
      <c r="E968" t="inlineStr">
        <is>
          <t>RÄTTVIK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35918-2025</t>
        </is>
      </c>
      <c r="B969" s="1" t="n">
        <v>45862</v>
      </c>
      <c r="C969" s="1" t="n">
        <v>46191</v>
      </c>
      <c r="D969" t="inlineStr">
        <is>
          <t>DALARNAS LÄN</t>
        </is>
      </c>
      <c r="E969" t="inlineStr">
        <is>
          <t>RÄTTVIK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3742-2024</t>
        </is>
      </c>
      <c r="B970" s="1" t="n">
        <v>45321</v>
      </c>
      <c r="C970" s="1" t="n">
        <v>46191</v>
      </c>
      <c r="D970" t="inlineStr">
        <is>
          <t>DALARNAS LÄN</t>
        </is>
      </c>
      <c r="E970" t="inlineStr">
        <is>
          <t>RÄTTVIK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40021-2023</t>
        </is>
      </c>
      <c r="B971" s="1" t="n">
        <v>45167</v>
      </c>
      <c r="C971" s="1" t="n">
        <v>46191</v>
      </c>
      <c r="D971" t="inlineStr">
        <is>
          <t>DALARNAS LÄN</t>
        </is>
      </c>
      <c r="E971" t="inlineStr">
        <is>
          <t>RÄTTVIK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14892-2024</t>
        </is>
      </c>
      <c r="B972" s="1" t="n">
        <v>45398</v>
      </c>
      <c r="C972" s="1" t="n">
        <v>46191</v>
      </c>
      <c r="D972" t="inlineStr">
        <is>
          <t>DALARNAS LÄN</t>
        </is>
      </c>
      <c r="E972" t="inlineStr">
        <is>
          <t>RÄTTVIK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57208-2023</t>
        </is>
      </c>
      <c r="B973" s="1" t="n">
        <v>45245</v>
      </c>
      <c r="C973" s="1" t="n">
        <v>46191</v>
      </c>
      <c r="D973" t="inlineStr">
        <is>
          <t>DALARNAS LÄN</t>
        </is>
      </c>
      <c r="E973" t="inlineStr">
        <is>
          <t>RÄTTVIK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36897-2025</t>
        </is>
      </c>
      <c r="B974" s="1" t="n">
        <v>45874</v>
      </c>
      <c r="C974" s="1" t="n">
        <v>46191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2007-2025</t>
        </is>
      </c>
      <c r="B975" s="1" t="n">
        <v>45672</v>
      </c>
      <c r="C975" s="1" t="n">
        <v>46191</v>
      </c>
      <c r="D975" t="inlineStr">
        <is>
          <t>DALARNAS LÄN</t>
        </is>
      </c>
      <c r="E975" t="inlineStr">
        <is>
          <t>RÄTTVIK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36879-2025</t>
        </is>
      </c>
      <c r="B976" s="1" t="n">
        <v>45874</v>
      </c>
      <c r="C976" s="1" t="n">
        <v>46191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1005-2022</t>
        </is>
      </c>
      <c r="B977" s="1" t="n">
        <v>44571</v>
      </c>
      <c r="C977" s="1" t="n">
        <v>46191</v>
      </c>
      <c r="D977" t="inlineStr">
        <is>
          <t>DALARNAS LÄN</t>
        </is>
      </c>
      <c r="E977" t="inlineStr">
        <is>
          <t>RÄTTVIK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14178-2024</t>
        </is>
      </c>
      <c r="B978" s="1" t="n">
        <v>45393</v>
      </c>
      <c r="C978" s="1" t="n">
        <v>46191</v>
      </c>
      <c r="D978" t="inlineStr">
        <is>
          <t>DALARNAS LÄN</t>
        </is>
      </c>
      <c r="E978" t="inlineStr">
        <is>
          <t>RÄTTVIK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58485-2023</t>
        </is>
      </c>
      <c r="B979" s="1" t="n">
        <v>45251</v>
      </c>
      <c r="C979" s="1" t="n">
        <v>46191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66670-2021</t>
        </is>
      </c>
      <c r="B980" s="1" t="n">
        <v>44519</v>
      </c>
      <c r="C980" s="1" t="n">
        <v>46191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25907-2025</t>
        </is>
      </c>
      <c r="B981" s="1" t="n">
        <v>45803</v>
      </c>
      <c r="C981" s="1" t="n">
        <v>46191</v>
      </c>
      <c r="D981" t="inlineStr">
        <is>
          <t>DALARNAS LÄN</t>
        </is>
      </c>
      <c r="E981" t="inlineStr">
        <is>
          <t>RÄTTVIK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37446-2025</t>
        </is>
      </c>
      <c r="B982" s="1" t="n">
        <v>45877</v>
      </c>
      <c r="C982" s="1" t="n">
        <v>46191</v>
      </c>
      <c r="D982" t="inlineStr">
        <is>
          <t>DALARNAS LÄN</t>
        </is>
      </c>
      <c r="E982" t="inlineStr">
        <is>
          <t>RÄTTVIK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37447-2025</t>
        </is>
      </c>
      <c r="B983" s="1" t="n">
        <v>45877</v>
      </c>
      <c r="C983" s="1" t="n">
        <v>46191</v>
      </c>
      <c r="D983" t="inlineStr">
        <is>
          <t>DALARNAS LÄN</t>
        </is>
      </c>
      <c r="E983" t="inlineStr">
        <is>
          <t>RÄTTVIK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33838-2024</t>
        </is>
      </c>
      <c r="B984" s="1" t="n">
        <v>45520</v>
      </c>
      <c r="C984" s="1" t="n">
        <v>46191</v>
      </c>
      <c r="D984" t="inlineStr">
        <is>
          <t>DALARNAS LÄN</t>
        </is>
      </c>
      <c r="E984" t="inlineStr">
        <is>
          <t>RÄTTVIK</t>
        </is>
      </c>
      <c r="F984" t="inlineStr">
        <is>
          <t>Sveaskog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45052-2024</t>
        </is>
      </c>
      <c r="B985" s="1" t="n">
        <v>45575</v>
      </c>
      <c r="C985" s="1" t="n">
        <v>46191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18487-2024</t>
        </is>
      </c>
      <c r="B986" s="1" t="n">
        <v>45425</v>
      </c>
      <c r="C986" s="1" t="n">
        <v>46191</v>
      </c>
      <c r="D986" t="inlineStr">
        <is>
          <t>DALARNAS LÄN</t>
        </is>
      </c>
      <c r="E986" t="inlineStr">
        <is>
          <t>RÄTTVIK</t>
        </is>
      </c>
      <c r="F986" t="inlineStr">
        <is>
          <t>Sveaskog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72178-2021</t>
        </is>
      </c>
      <c r="B987" s="1" t="n">
        <v>44544</v>
      </c>
      <c r="C987" s="1" t="n">
        <v>46191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12069-2023</t>
        </is>
      </c>
      <c r="B988" s="1" t="n">
        <v>44997</v>
      </c>
      <c r="C988" s="1" t="n">
        <v>46191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37850-2025</t>
        </is>
      </c>
      <c r="B989" s="1" t="n">
        <v>45881</v>
      </c>
      <c r="C989" s="1" t="n">
        <v>46191</v>
      </c>
      <c r="D989" t="inlineStr">
        <is>
          <t>DALARNAS LÄN</t>
        </is>
      </c>
      <c r="E989" t="inlineStr">
        <is>
          <t>RÄTTVIK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37852-2025</t>
        </is>
      </c>
      <c r="B990" s="1" t="n">
        <v>45881</v>
      </c>
      <c r="C990" s="1" t="n">
        <v>46191</v>
      </c>
      <c r="D990" t="inlineStr">
        <is>
          <t>DALARNAS LÄN</t>
        </is>
      </c>
      <c r="E990" t="inlineStr">
        <is>
          <t>RÄTTVIK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47802-2024</t>
        </is>
      </c>
      <c r="B991" s="1" t="n">
        <v>45588</v>
      </c>
      <c r="C991" s="1" t="n">
        <v>46191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38129-2025</t>
        </is>
      </c>
      <c r="B992" s="1" t="n">
        <v>45882</v>
      </c>
      <c r="C992" s="1" t="n">
        <v>46191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55965-2022</t>
        </is>
      </c>
      <c r="B993" s="1" t="n">
        <v>44889</v>
      </c>
      <c r="C993" s="1" t="n">
        <v>46191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37034-2024</t>
        </is>
      </c>
      <c r="B994" s="1" t="n">
        <v>45539</v>
      </c>
      <c r="C994" s="1" t="n">
        <v>46191</v>
      </c>
      <c r="D994" t="inlineStr">
        <is>
          <t>DALARNAS LÄN</t>
        </is>
      </c>
      <c r="E994" t="inlineStr">
        <is>
          <t>RÄTTVIK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37050-2024</t>
        </is>
      </c>
      <c r="B995" s="1" t="n">
        <v>45539</v>
      </c>
      <c r="C995" s="1" t="n">
        <v>46191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2026-06-18T13:15:44Z</dcterms:created>
  <dcterms:modified xmlns:dcterms="http://purl.org/dc/terms/" xmlns:xsi="http://www.w3.org/2001/XMLSchema-instance" xsi:type="dcterms:W3CDTF">2026-06-18T13:15:45Z</dcterms:modified>
</cp:coreProperties>
</file>