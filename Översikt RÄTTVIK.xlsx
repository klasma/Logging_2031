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45832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45832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45832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45832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45832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45832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45832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45832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45832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45832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45832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45832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45832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45832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45832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45832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45832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45832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45832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45832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45832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45832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45832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45832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45832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45832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45832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45832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45832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45832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45832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45832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45832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45832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45832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45832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45832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45832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45832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45832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45832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45832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45832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45832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45832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45832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45832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45832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45832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45832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45832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45832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45832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45832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45832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45832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45832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45832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45832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45832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45832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45832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45832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45832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45832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45832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45832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34305-2024</t>
        </is>
      </c>
      <c r="B69" s="1" t="n">
        <v>45524</v>
      </c>
      <c r="C69" s="1" t="n">
        <v>45832</v>
      </c>
      <c r="D69" t="inlineStr">
        <is>
          <t>DALARNAS LÄN</t>
        </is>
      </c>
      <c r="E69" t="inlineStr">
        <is>
          <t>RÄTTVIK</t>
        </is>
      </c>
      <c r="G69" t="n">
        <v>18.1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34305-2024 artfynd.xlsx", "A 34305-2024")</f>
        <v/>
      </c>
      <c r="T69">
        <f>HYPERLINK("https://klasma.github.io/Logging_2031/kartor/A 34305-2024 karta.png", "A 34305-2024")</f>
        <v/>
      </c>
      <c r="V69">
        <f>HYPERLINK("https://klasma.github.io/Logging_2031/klagomål/A 34305-2024 FSC-klagomål.docx", "A 34305-2024")</f>
        <v/>
      </c>
      <c r="W69">
        <f>HYPERLINK("https://klasma.github.io/Logging_2031/klagomålsmail/A 34305-2024 FSC-klagomål mail.docx", "A 34305-2024")</f>
        <v/>
      </c>
      <c r="X69">
        <f>HYPERLINK("https://klasma.github.io/Logging_2031/tillsyn/A 34305-2024 tillsynsbegäran.docx", "A 34305-2024")</f>
        <v/>
      </c>
      <c r="Y69">
        <f>HYPERLINK("https://klasma.github.io/Logging_2031/tillsynsmail/A 34305-2024 tillsynsbegäran mail.docx", "A 34305-2024")</f>
        <v/>
      </c>
    </row>
    <row r="70" ht="15" customHeight="1">
      <c r="A70" t="inlineStr">
        <is>
          <t>A 35539-2024</t>
        </is>
      </c>
      <c r="B70" s="1" t="n">
        <v>45531</v>
      </c>
      <c r="C70" s="1" t="n">
        <v>45832</v>
      </c>
      <c r="D70" t="inlineStr">
        <is>
          <t>DALARNAS LÄN</t>
        </is>
      </c>
      <c r="E70" t="inlineStr">
        <is>
          <t>RÄTTVIK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HYPERLINK("https://klasma.github.io/Logging_2031/artfynd/A 35539-2024 artfynd.xlsx", "A 35539-2024")</f>
        <v/>
      </c>
      <c r="T70">
        <f>HYPERLINK("https://klasma.github.io/Logging_2031/kartor/A 35539-2024 karta.png", "A 35539-2024")</f>
        <v/>
      </c>
      <c r="V70">
        <f>HYPERLINK("https://klasma.github.io/Logging_2031/klagomål/A 35539-2024 FSC-klagomål.docx", "A 35539-2024")</f>
        <v/>
      </c>
      <c r="W70">
        <f>HYPERLINK("https://klasma.github.io/Logging_2031/klagomålsmail/A 35539-2024 FSC-klagomål mail.docx", "A 35539-2024")</f>
        <v/>
      </c>
      <c r="X70">
        <f>HYPERLINK("https://klasma.github.io/Logging_2031/tillsyn/A 35539-2024 tillsynsbegäran.docx", "A 35539-2024")</f>
        <v/>
      </c>
      <c r="Y70">
        <f>HYPERLINK("https://klasma.github.io/Logging_2031/tillsynsmail/A 35539-2024 tillsynsbegäran mail.docx", "A 35539-2024")</f>
        <v/>
      </c>
    </row>
    <row r="71" ht="15" customHeight="1">
      <c r="A71" t="inlineStr">
        <is>
          <t>A 47620-2024</t>
        </is>
      </c>
      <c r="B71" s="1" t="n">
        <v>45588</v>
      </c>
      <c r="C71" s="1" t="n">
        <v>45832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50117-2024</t>
        </is>
      </c>
      <c r="B72" s="1" t="n">
        <v>45600</v>
      </c>
      <c r="C72" s="1" t="n">
        <v>45832</v>
      </c>
      <c r="D72" t="inlineStr">
        <is>
          <t>DALARNAS LÄN</t>
        </is>
      </c>
      <c r="E72" t="inlineStr">
        <is>
          <t>RÄTTVIK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Finbräken</t>
        </is>
      </c>
      <c r="S72">
        <f>HYPERLINK("https://klasma.github.io/Logging_2031/artfynd/A 50117-2024 artfynd.xlsx", "A 50117-2024")</f>
        <v/>
      </c>
      <c r="T72">
        <f>HYPERLINK("https://klasma.github.io/Logging_2031/kartor/A 50117-2024 karta.png", "A 50117-2024")</f>
        <v/>
      </c>
      <c r="V72">
        <f>HYPERLINK("https://klasma.github.io/Logging_2031/klagomål/A 50117-2024 FSC-klagomål.docx", "A 50117-2024")</f>
        <v/>
      </c>
      <c r="W72">
        <f>HYPERLINK("https://klasma.github.io/Logging_2031/klagomålsmail/A 50117-2024 FSC-klagomål mail.docx", "A 50117-2024")</f>
        <v/>
      </c>
      <c r="X72">
        <f>HYPERLINK("https://klasma.github.io/Logging_2031/tillsyn/A 50117-2024 tillsynsbegäran.docx", "A 50117-2024")</f>
        <v/>
      </c>
      <c r="Y72">
        <f>HYPERLINK("https://klasma.github.io/Logging_2031/tillsynsmail/A 50117-2024 tillsynsbegäran mail.docx", "A 50117-2024")</f>
        <v/>
      </c>
    </row>
    <row r="73" ht="15" customHeight="1">
      <c r="A73" t="inlineStr">
        <is>
          <t>A 4357-2025</t>
        </is>
      </c>
      <c r="B73" s="1" t="n">
        <v>45686</v>
      </c>
      <c r="C73" s="1" t="n">
        <v>45832</v>
      </c>
      <c r="D73" t="inlineStr">
        <is>
          <t>DALARNAS LÄN</t>
        </is>
      </c>
      <c r="E73" t="inlineStr">
        <is>
          <t>RÄTTVIK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HYPERLINK("https://klasma.github.io/Logging_2031/artfynd/A 4357-2025 artfynd.xlsx", "A 4357-2025")</f>
        <v/>
      </c>
      <c r="T73">
        <f>HYPERLINK("https://klasma.github.io/Logging_2031/kartor/A 4357-2025 karta.png", "A 4357-2025")</f>
        <v/>
      </c>
      <c r="V73">
        <f>HYPERLINK("https://klasma.github.io/Logging_2031/klagomål/A 4357-2025 FSC-klagomål.docx", "A 4357-2025")</f>
        <v/>
      </c>
      <c r="W73">
        <f>HYPERLINK("https://klasma.github.io/Logging_2031/klagomålsmail/A 4357-2025 FSC-klagomål mail.docx", "A 4357-2025")</f>
        <v/>
      </c>
      <c r="X73">
        <f>HYPERLINK("https://klasma.github.io/Logging_2031/tillsyn/A 4357-2025 tillsynsbegäran.docx", "A 4357-2025")</f>
        <v/>
      </c>
      <c r="Y73">
        <f>HYPERLINK("https://klasma.github.io/Logging_2031/tillsynsmail/A 4357-2025 tillsynsbegäran mail.docx", "A 4357-2025")</f>
        <v/>
      </c>
    </row>
    <row r="74" ht="15" customHeight="1">
      <c r="A74" t="inlineStr">
        <is>
          <t>A 11320-2025</t>
        </is>
      </c>
      <c r="B74" s="1" t="n">
        <v>45726</v>
      </c>
      <c r="C74" s="1" t="n">
        <v>45832</v>
      </c>
      <c r="D74" t="inlineStr">
        <is>
          <t>DALARNAS LÄN</t>
        </is>
      </c>
      <c r="E74" t="inlineStr">
        <is>
          <t>RÄTTVIK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HYPERLINK("https://klasma.github.io/Logging_202031/artfynd/A 11320-2025 artfynd.xlsx", "A 11320-2025")</f>
        <v/>
      </c>
      <c r="T74">
        <f>HYPERLINK("https://klasma.github.io/Logging_202031/kartor/A 11320-2025 karta.png", "A 11320-2025")</f>
        <v/>
      </c>
      <c r="V74">
        <f>HYPERLINK("https://klasma.github.io/Logging_202031/klagomål/A 11320-2025 FSC-klagomål.docx", "A 11320-2025")</f>
        <v/>
      </c>
      <c r="W74">
        <f>HYPERLINK("https://klasma.github.io/Logging_202031/klagomålsmail/A 11320-2025 FSC-klagomål mail.docx", "A 11320-2025")</f>
        <v/>
      </c>
      <c r="X74">
        <f>HYPERLINK("https://klasma.github.io/Logging_202031/tillsyn/A 11320-2025 tillsynsbegäran.docx", "A 11320-2025")</f>
        <v/>
      </c>
      <c r="Y74">
        <f>HYPERLINK("https://klasma.github.io/Logging_202031/tillsynsmail/A 11320-2025 tillsynsbegäran mail.docx", "A 11320-2025")</f>
        <v/>
      </c>
    </row>
    <row r="75" ht="15" customHeight="1">
      <c r="A75" t="inlineStr">
        <is>
          <t>A 17698-2025</t>
        </is>
      </c>
      <c r="B75" s="1" t="n">
        <v>45758</v>
      </c>
      <c r="C75" s="1" t="n">
        <v>45832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HYPERLINK("https://klasma.github.io/Logging_202031/artfynd/A 17698-2025 artfynd.xlsx", "A 17698-2025")</f>
        <v/>
      </c>
      <c r="T75">
        <f>HYPERLINK("https://klasma.github.io/Logging_202031/kartor/A 17698-2025 karta.png", "A 17698-2025")</f>
        <v/>
      </c>
      <c r="V75">
        <f>HYPERLINK("https://klasma.github.io/Logging_202031/klagomål/A 17698-2025 FSC-klagomål.docx", "A 17698-2025")</f>
        <v/>
      </c>
      <c r="W75">
        <f>HYPERLINK("https://klasma.github.io/Logging_202031/klagomålsmail/A 17698-2025 FSC-klagomål mail.docx", "A 17698-2025")</f>
        <v/>
      </c>
      <c r="X75">
        <f>HYPERLINK("https://klasma.github.io/Logging_202031/tillsyn/A 17698-2025 tillsynsbegäran.docx", "A 17698-2025")</f>
        <v/>
      </c>
      <c r="Y75">
        <f>HYPERLINK("https://klasma.github.io/Logging_202031/tillsynsmail/A 17698-2025 tillsynsbegäran mail.docx", "A 17698-2025")</f>
        <v/>
      </c>
    </row>
    <row r="76" ht="15" customHeight="1">
      <c r="A76" t="inlineStr">
        <is>
          <t>A 20207-2025</t>
        </is>
      </c>
      <c r="B76" s="1" t="n">
        <v>45772</v>
      </c>
      <c r="C76" s="1" t="n">
        <v>45832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HYPERLINK("https://klasma.github.io/Logging_202031/artfynd/A 20207-2025 artfynd.xlsx", "A 20207-2025")</f>
        <v/>
      </c>
      <c r="T76">
        <f>HYPERLINK("https://klasma.github.io/Logging_202031/kartor/A 20207-2025 karta.png", "A 20207-2025")</f>
        <v/>
      </c>
      <c r="V76">
        <f>HYPERLINK("https://klasma.github.io/Logging_202031/klagomål/A 20207-2025 FSC-klagomål.docx", "A 20207-2025")</f>
        <v/>
      </c>
      <c r="W76">
        <f>HYPERLINK("https://klasma.github.io/Logging_202031/klagomålsmail/A 20207-2025 FSC-klagomål mail.docx", "A 20207-2025")</f>
        <v/>
      </c>
      <c r="X76">
        <f>HYPERLINK("https://klasma.github.io/Logging_202031/tillsyn/A 20207-2025 tillsynsbegäran.docx", "A 20207-2025")</f>
        <v/>
      </c>
      <c r="Y76">
        <f>HYPERLINK("https://klasma.github.io/Logging_202031/tillsynsmail/A 20207-2025 tillsynsbegäran mail.docx", "A 20207-2025")</f>
        <v/>
      </c>
      <c r="Z76">
        <f>HYPERLINK("https://klasma.github.io/Logging_202031/fåglar/A 20207-2025 prioriterade fågelarter.docx", "A 20207-2025")</f>
        <v/>
      </c>
    </row>
    <row r="77" ht="15" customHeight="1">
      <c r="A77" t="inlineStr">
        <is>
          <t>A 18098-2019</t>
        </is>
      </c>
      <c r="B77" s="1" t="n">
        <v>43556</v>
      </c>
      <c r="C77" s="1" t="n">
        <v>45832</v>
      </c>
      <c r="D77" t="inlineStr">
        <is>
          <t>DALARNAS LÄN</t>
        </is>
      </c>
      <c r="E77" t="inlineStr">
        <is>
          <t>RÄTTVIK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18534-2019</t>
        </is>
      </c>
      <c r="B78" s="1" t="n">
        <v>43559</v>
      </c>
      <c r="C78" s="1" t="n">
        <v>45832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43.7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19150-2019</t>
        </is>
      </c>
      <c r="B79" s="1" t="n">
        <v>43564</v>
      </c>
      <c r="C79" s="1" t="n">
        <v>45832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19754-2019</t>
        </is>
      </c>
      <c r="B80" s="1" t="n">
        <v>43566</v>
      </c>
      <c r="C80" s="1" t="n">
        <v>45832</v>
      </c>
      <c r="D80" t="inlineStr">
        <is>
          <t>DALARNAS LÄN</t>
        </is>
      </c>
      <c r="E80" t="inlineStr">
        <is>
          <t>RÄTTVIK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20044-2019</t>
        </is>
      </c>
      <c r="B81" s="1" t="n">
        <v>43570</v>
      </c>
      <c r="C81" s="1" t="n">
        <v>45832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20032-2019</t>
        </is>
      </c>
      <c r="B82" s="1" t="n">
        <v>43570</v>
      </c>
      <c r="C82" s="1" t="n">
        <v>45832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20311-2019</t>
        </is>
      </c>
      <c r="B83" s="1" t="n">
        <v>43570</v>
      </c>
      <c r="C83" s="1" t="n">
        <v>45832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21455-2019</t>
        </is>
      </c>
      <c r="B84" s="1" t="n">
        <v>43580</v>
      </c>
      <c r="C84" s="1" t="n">
        <v>45832</v>
      </c>
      <c r="D84" t="inlineStr">
        <is>
          <t>DALARNAS LÄN</t>
        </is>
      </c>
      <c r="E84" t="inlineStr">
        <is>
          <t>RÄTTVIK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21947-2019</t>
        </is>
      </c>
      <c r="B85" s="1" t="n">
        <v>43584</v>
      </c>
      <c r="C85" s="1" t="n">
        <v>45832</v>
      </c>
      <c r="D85" t="inlineStr">
        <is>
          <t>DALARNAS LÄN</t>
        </is>
      </c>
      <c r="E85" t="inlineStr">
        <is>
          <t>RÄTTVIK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22347-2019</t>
        </is>
      </c>
      <c r="B86" s="1" t="n">
        <v>43585</v>
      </c>
      <c r="C86" s="1" t="n">
        <v>45832</v>
      </c>
      <c r="D86" t="inlineStr">
        <is>
          <t>DALARNAS LÄN</t>
        </is>
      </c>
      <c r="E86" t="inlineStr">
        <is>
          <t>RÄTTVIK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22560-2019</t>
        </is>
      </c>
      <c r="B87" s="1" t="n">
        <v>43587</v>
      </c>
      <c r="C87" s="1" t="n">
        <v>45832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23176-2019</t>
        </is>
      </c>
      <c r="B88" s="1" t="n">
        <v>43592</v>
      </c>
      <c r="C88" s="1" t="n">
        <v>45832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23154-2019</t>
        </is>
      </c>
      <c r="B89" s="1" t="n">
        <v>43592</v>
      </c>
      <c r="C89" s="1" t="n">
        <v>45832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23374-2019</t>
        </is>
      </c>
      <c r="B90" s="1" t="n">
        <v>43592</v>
      </c>
      <c r="C90" s="1" t="n">
        <v>45832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24266-2019</t>
        </is>
      </c>
      <c r="B91" s="1" t="n">
        <v>43599</v>
      </c>
      <c r="C91" s="1" t="n">
        <v>45832</v>
      </c>
      <c r="D91" t="inlineStr">
        <is>
          <t>DALARNAS LÄN</t>
        </is>
      </c>
      <c r="E91" t="inlineStr">
        <is>
          <t>RÄTTVIK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26973-2019</t>
        </is>
      </c>
      <c r="B92" s="1" t="n">
        <v>43609</v>
      </c>
      <c r="C92" s="1" t="n">
        <v>45832</v>
      </c>
      <c r="D92" t="inlineStr">
        <is>
          <t>DALARNAS LÄN</t>
        </is>
      </c>
      <c r="E92" t="inlineStr">
        <is>
          <t>RÄTTVIK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27960-2019</t>
        </is>
      </c>
      <c r="B93" s="1" t="n">
        <v>43612</v>
      </c>
      <c r="C93" s="1" t="n">
        <v>45832</v>
      </c>
      <c r="D93" t="inlineStr">
        <is>
          <t>DALARNAS LÄN</t>
        </is>
      </c>
      <c r="E93" t="inlineStr">
        <is>
          <t>RÄTTVIK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27188-2019</t>
        </is>
      </c>
      <c r="B94" s="1" t="n">
        <v>43612</v>
      </c>
      <c r="C94" s="1" t="n">
        <v>45832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27959-2019</t>
        </is>
      </c>
      <c r="B95" s="1" t="n">
        <v>43612</v>
      </c>
      <c r="C95" s="1" t="n">
        <v>45832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26347-2019</t>
        </is>
      </c>
      <c r="B96" s="1" t="n">
        <v>43612</v>
      </c>
      <c r="C96" s="1" t="n">
        <v>45832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28870-2019</t>
        </is>
      </c>
      <c r="B97" s="1" t="n">
        <v>43616</v>
      </c>
      <c r="C97" s="1" t="n">
        <v>45832</v>
      </c>
      <c r="D97" t="inlineStr">
        <is>
          <t>DALARNAS LÄN</t>
        </is>
      </c>
      <c r="E97" t="inlineStr">
        <is>
          <t>RÄTTVIK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27722-2019</t>
        </is>
      </c>
      <c r="B98" s="1" t="n">
        <v>43619</v>
      </c>
      <c r="C98" s="1" t="n">
        <v>45832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29022-2019</t>
        </is>
      </c>
      <c r="B99" s="1" t="n">
        <v>43621</v>
      </c>
      <c r="C99" s="1" t="n">
        <v>45832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29200-2019</t>
        </is>
      </c>
      <c r="B100" s="1" t="n">
        <v>43623</v>
      </c>
      <c r="C100" s="1" t="n">
        <v>45832</v>
      </c>
      <c r="D100" t="inlineStr">
        <is>
          <t>DALARNAS LÄN</t>
        </is>
      </c>
      <c r="E100" t="inlineStr">
        <is>
          <t>RÄTTVIK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29012-2019</t>
        </is>
      </c>
      <c r="B101" s="1" t="n">
        <v>43628</v>
      </c>
      <c r="C101" s="1" t="n">
        <v>45832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28948-2019</t>
        </is>
      </c>
      <c r="B102" s="1" t="n">
        <v>43628</v>
      </c>
      <c r="C102" s="1" t="n">
        <v>45832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29880-2019</t>
        </is>
      </c>
      <c r="B103" s="1" t="n">
        <v>43629</v>
      </c>
      <c r="C103" s="1" t="n">
        <v>45832</v>
      </c>
      <c r="D103" t="inlineStr">
        <is>
          <t>DALARNAS LÄN</t>
        </is>
      </c>
      <c r="E103" t="inlineStr">
        <is>
          <t>RÄTTVIK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29638-2019</t>
        </is>
      </c>
      <c r="B104" s="1" t="n">
        <v>43630</v>
      </c>
      <c r="C104" s="1" t="n">
        <v>45832</v>
      </c>
      <c r="D104" t="inlineStr">
        <is>
          <t>DALARNAS LÄN</t>
        </is>
      </c>
      <c r="E104" t="inlineStr">
        <is>
          <t>RÄTTVIK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29842-2019</t>
        </is>
      </c>
      <c r="B105" s="1" t="n">
        <v>43633</v>
      </c>
      <c r="C105" s="1" t="n">
        <v>45832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30250-2019</t>
        </is>
      </c>
      <c r="B106" s="1" t="n">
        <v>43633</v>
      </c>
      <c r="C106" s="1" t="n">
        <v>45832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31549-2019</t>
        </is>
      </c>
      <c r="B107" s="1" t="n">
        <v>43641</v>
      </c>
      <c r="C107" s="1" t="n">
        <v>45832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32158-2019</t>
        </is>
      </c>
      <c r="B108" s="1" t="n">
        <v>43643</v>
      </c>
      <c r="C108" s="1" t="n">
        <v>45832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32157-2019</t>
        </is>
      </c>
      <c r="B109" s="1" t="n">
        <v>43643</v>
      </c>
      <c r="C109" s="1" t="n">
        <v>45832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34149-2019</t>
        </is>
      </c>
      <c r="B110" s="1" t="n">
        <v>43647</v>
      </c>
      <c r="C110" s="1" t="n">
        <v>45832</v>
      </c>
      <c r="D110" t="inlineStr">
        <is>
          <t>DALARNAS LÄN</t>
        </is>
      </c>
      <c r="E110" t="inlineStr">
        <is>
          <t>RÄTTVIK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35215-2019</t>
        </is>
      </c>
      <c r="B111" s="1" t="n">
        <v>43651</v>
      </c>
      <c r="C111" s="1" t="n">
        <v>45832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35211-2019</t>
        </is>
      </c>
      <c r="B112" s="1" t="n">
        <v>43651</v>
      </c>
      <c r="C112" s="1" t="n">
        <v>45832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34329-2019</t>
        </is>
      </c>
      <c r="B113" s="1" t="n">
        <v>43656</v>
      </c>
      <c r="C113" s="1" t="n">
        <v>45832</v>
      </c>
      <c r="D113" t="inlineStr">
        <is>
          <t>DALARNAS LÄN</t>
        </is>
      </c>
      <c r="E113" t="inlineStr">
        <is>
          <t>RÄTTVIK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36028-2019</t>
        </is>
      </c>
      <c r="B114" s="1" t="n">
        <v>43657</v>
      </c>
      <c r="C114" s="1" t="n">
        <v>45832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36382-2019</t>
        </is>
      </c>
      <c r="B115" s="1" t="n">
        <v>43662</v>
      </c>
      <c r="C115" s="1" t="n">
        <v>45832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36380-2019</t>
        </is>
      </c>
      <c r="B116" s="1" t="n">
        <v>43662</v>
      </c>
      <c r="C116" s="1" t="n">
        <v>45832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35410-2019</t>
        </is>
      </c>
      <c r="B117" s="1" t="n">
        <v>43663</v>
      </c>
      <c r="C117" s="1" t="n">
        <v>45832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HYPERLINK("https://klasma.github.io/Logging_2031/knärot/A 35410-2019 karta knärot.png", "A 35410-2019")</f>
        <v/>
      </c>
      <c r="V117">
        <f>HYPERLINK("https://klasma.github.io/Logging_2031/klagomål/A 35410-2019 FSC-klagomål.docx", "A 35410-2019")</f>
        <v/>
      </c>
      <c r="W117">
        <f>HYPERLINK("https://klasma.github.io/Logging_2031/klagomålsmail/A 35410-2019 FSC-klagomål mail.docx", "A 35410-2019")</f>
        <v/>
      </c>
      <c r="X117">
        <f>HYPERLINK("https://klasma.github.io/Logging_2031/tillsyn/A 35410-2019 tillsynsbegäran.docx", "A 35410-2019")</f>
        <v/>
      </c>
      <c r="Y117">
        <f>HYPERLINK("https://klasma.github.io/Logging_2031/tillsynsmail/A 35410-2019 tillsynsbegäran mail.docx", "A 35410-2019")</f>
        <v/>
      </c>
    </row>
    <row r="118" ht="15" customHeight="1">
      <c r="A118" t="inlineStr">
        <is>
          <t>A 35418-2019</t>
        </is>
      </c>
      <c r="B118" s="1" t="n">
        <v>43663</v>
      </c>
      <c r="C118" s="1" t="n">
        <v>45832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35423-2019</t>
        </is>
      </c>
      <c r="B119" s="1" t="n">
        <v>43663</v>
      </c>
      <c r="C119" s="1" t="n">
        <v>45832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35408-2019</t>
        </is>
      </c>
      <c r="B120" s="1" t="n">
        <v>43663</v>
      </c>
      <c r="C120" s="1" t="n">
        <v>45832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37678-2019</t>
        </is>
      </c>
      <c r="B121" s="1" t="n">
        <v>43682</v>
      </c>
      <c r="C121" s="1" t="n">
        <v>45832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38748-2019</t>
        </is>
      </c>
      <c r="B122" s="1" t="n">
        <v>43686</v>
      </c>
      <c r="C122" s="1" t="n">
        <v>45832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39556-2019</t>
        </is>
      </c>
      <c r="B123" s="1" t="n">
        <v>43686</v>
      </c>
      <c r="C123" s="1" t="n">
        <v>45832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39005-2019</t>
        </is>
      </c>
      <c r="B124" s="1" t="n">
        <v>43689</v>
      </c>
      <c r="C124" s="1" t="n">
        <v>45832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40304-2019</t>
        </is>
      </c>
      <c r="B125" s="1" t="n">
        <v>43690</v>
      </c>
      <c r="C125" s="1" t="n">
        <v>45832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40853-2019</t>
        </is>
      </c>
      <c r="B126" s="1" t="n">
        <v>43697</v>
      </c>
      <c r="C126" s="1" t="n">
        <v>45832</v>
      </c>
      <c r="D126" t="inlineStr">
        <is>
          <t>DALARNAS LÄN</t>
        </is>
      </c>
      <c r="E126" t="inlineStr">
        <is>
          <t>RÄTTVIK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42846-2019</t>
        </is>
      </c>
      <c r="B127" s="1" t="n">
        <v>43700</v>
      </c>
      <c r="C127" s="1" t="n">
        <v>45832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42949-2019</t>
        </is>
      </c>
      <c r="B128" s="1" t="n">
        <v>43705</v>
      </c>
      <c r="C128" s="1" t="n">
        <v>45832</v>
      </c>
      <c r="D128" t="inlineStr">
        <is>
          <t>DALARNAS LÄN</t>
        </is>
      </c>
      <c r="E128" t="inlineStr">
        <is>
          <t>RÄTTVIK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44376-2019</t>
        </is>
      </c>
      <c r="B129" s="1" t="n">
        <v>43711</v>
      </c>
      <c r="C129" s="1" t="n">
        <v>45832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17.4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44697-2019</t>
        </is>
      </c>
      <c r="B130" s="1" t="n">
        <v>43712</v>
      </c>
      <c r="C130" s="1" t="n">
        <v>45832</v>
      </c>
      <c r="D130" t="inlineStr">
        <is>
          <t>DALARNAS LÄN</t>
        </is>
      </c>
      <c r="E130" t="inlineStr">
        <is>
          <t>RÄTTVIK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45991-2019</t>
        </is>
      </c>
      <c r="B131" s="1" t="n">
        <v>43713</v>
      </c>
      <c r="C131" s="1" t="n">
        <v>45832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46214-2019</t>
        </is>
      </c>
      <c r="B132" s="1" t="n">
        <v>43714</v>
      </c>
      <c r="C132" s="1" t="n">
        <v>45832</v>
      </c>
      <c r="D132" t="inlineStr">
        <is>
          <t>DALARNAS LÄN</t>
        </is>
      </c>
      <c r="E132" t="inlineStr">
        <is>
          <t>RÄTTVIK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46213-2019</t>
        </is>
      </c>
      <c r="B133" s="1" t="n">
        <v>43714</v>
      </c>
      <c r="C133" s="1" t="n">
        <v>45832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46525-2019</t>
        </is>
      </c>
      <c r="B134" s="1" t="n">
        <v>43717</v>
      </c>
      <c r="C134" s="1" t="n">
        <v>45832</v>
      </c>
      <c r="D134" t="inlineStr">
        <is>
          <t>DALARNAS LÄN</t>
        </is>
      </c>
      <c r="E134" t="inlineStr">
        <is>
          <t>RÄTTVIK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45598-2019</t>
        </is>
      </c>
      <c r="B135" s="1" t="n">
        <v>43718</v>
      </c>
      <c r="C135" s="1" t="n">
        <v>45832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47036-2019</t>
        </is>
      </c>
      <c r="B136" s="1" t="n">
        <v>43720</v>
      </c>
      <c r="C136" s="1" t="n">
        <v>45832</v>
      </c>
      <c r="D136" t="inlineStr">
        <is>
          <t>DALARNAS LÄN</t>
        </is>
      </c>
      <c r="E136" t="inlineStr">
        <is>
          <t>RÄTTVIK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47650-2019</t>
        </is>
      </c>
      <c r="B137" s="1" t="n">
        <v>43724</v>
      </c>
      <c r="C137" s="1" t="n">
        <v>45832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48518-2019</t>
        </is>
      </c>
      <c r="B138" s="1" t="n">
        <v>43726</v>
      </c>
      <c r="C138" s="1" t="n">
        <v>45832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48541-2019</t>
        </is>
      </c>
      <c r="B139" s="1" t="n">
        <v>43727</v>
      </c>
      <c r="C139" s="1" t="n">
        <v>45832</v>
      </c>
      <c r="D139" t="inlineStr">
        <is>
          <t>DALARNAS LÄN</t>
        </is>
      </c>
      <c r="E139" t="inlineStr">
        <is>
          <t>RÄTTVIK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48548-2019</t>
        </is>
      </c>
      <c r="B140" s="1" t="n">
        <v>43727</v>
      </c>
      <c r="C140" s="1" t="n">
        <v>45832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48537-2019</t>
        </is>
      </c>
      <c r="B141" s="1" t="n">
        <v>43727</v>
      </c>
      <c r="C141" s="1" t="n">
        <v>45832</v>
      </c>
      <c r="D141" t="inlineStr">
        <is>
          <t>DALARNAS LÄN</t>
        </is>
      </c>
      <c r="E141" t="inlineStr">
        <is>
          <t>RÄTTVIK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51369-2019</t>
        </is>
      </c>
      <c r="B142" s="1" t="n">
        <v>43732</v>
      </c>
      <c r="C142" s="1" t="n">
        <v>45832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50213-2019</t>
        </is>
      </c>
      <c r="B143" s="1" t="n">
        <v>43734</v>
      </c>
      <c r="C143" s="1" t="n">
        <v>45832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51773-2019</t>
        </is>
      </c>
      <c r="B144" s="1" t="n">
        <v>43734</v>
      </c>
      <c r="C144" s="1" t="n">
        <v>45832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50362-2019</t>
        </is>
      </c>
      <c r="B145" s="1" t="n">
        <v>43734</v>
      </c>
      <c r="C145" s="1" t="n">
        <v>45832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50460-2019</t>
        </is>
      </c>
      <c r="B146" s="1" t="n">
        <v>43735</v>
      </c>
      <c r="C146" s="1" t="n">
        <v>45832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50471-2019</t>
        </is>
      </c>
      <c r="B147" s="1" t="n">
        <v>43735</v>
      </c>
      <c r="C147" s="1" t="n">
        <v>45832</v>
      </c>
      <c r="D147" t="inlineStr">
        <is>
          <t>DALARNAS LÄN</t>
        </is>
      </c>
      <c r="E147" t="inlineStr">
        <is>
          <t>RÄTTVIK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51526-2019</t>
        </is>
      </c>
      <c r="B148" s="1" t="n">
        <v>43740</v>
      </c>
      <c r="C148" s="1" t="n">
        <v>45832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51536-2019</t>
        </is>
      </c>
      <c r="B149" s="1" t="n">
        <v>43740</v>
      </c>
      <c r="C149" s="1" t="n">
        <v>45832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52865-2019</t>
        </is>
      </c>
      <c r="B150" s="1" t="n">
        <v>43740</v>
      </c>
      <c r="C150" s="1" t="n">
        <v>45832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53060-2019</t>
        </is>
      </c>
      <c r="B151" s="1" t="n">
        <v>43740</v>
      </c>
      <c r="C151" s="1" t="n">
        <v>45832</v>
      </c>
      <c r="D151" t="inlineStr">
        <is>
          <t>DALARNAS LÄN</t>
        </is>
      </c>
      <c r="E151" t="inlineStr">
        <is>
          <t>RÄTTVIK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52221-2019</t>
        </is>
      </c>
      <c r="B152" s="1" t="n">
        <v>43742</v>
      </c>
      <c r="C152" s="1" t="n">
        <v>45832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53998-2019</t>
        </is>
      </c>
      <c r="B153" s="1" t="n">
        <v>43742</v>
      </c>
      <c r="C153" s="1" t="n">
        <v>45832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53099-2019</t>
        </is>
      </c>
      <c r="B154" s="1" t="n">
        <v>43747</v>
      </c>
      <c r="C154" s="1" t="n">
        <v>45832</v>
      </c>
      <c r="D154" t="inlineStr">
        <is>
          <t>DALARNAS LÄN</t>
        </is>
      </c>
      <c r="E154" t="inlineStr">
        <is>
          <t>RÄTTVIK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56609-2019</t>
        </is>
      </c>
      <c r="B155" s="1" t="n">
        <v>43758</v>
      </c>
      <c r="C155" s="1" t="n">
        <v>45832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57663-2019</t>
        </is>
      </c>
      <c r="B156" s="1" t="n">
        <v>43761</v>
      </c>
      <c r="C156" s="1" t="n">
        <v>45832</v>
      </c>
      <c r="D156" t="inlineStr">
        <is>
          <t>DALARNAS LÄN</t>
        </is>
      </c>
      <c r="E156" t="inlineStr">
        <is>
          <t>RÄTTVIK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58514-2019</t>
        </is>
      </c>
      <c r="B157" s="1" t="n">
        <v>43766</v>
      </c>
      <c r="C157" s="1" t="n">
        <v>45832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57490-2019</t>
        </is>
      </c>
      <c r="B158" s="1" t="n">
        <v>43767</v>
      </c>
      <c r="C158" s="1" t="n">
        <v>45832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57951-2019</t>
        </is>
      </c>
      <c r="B159" s="1" t="n">
        <v>43769</v>
      </c>
      <c r="C159" s="1" t="n">
        <v>45832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59171-2019</t>
        </is>
      </c>
      <c r="B160" s="1" t="n">
        <v>43770</v>
      </c>
      <c r="C160" s="1" t="n">
        <v>45832</v>
      </c>
      <c r="D160" t="inlineStr">
        <is>
          <t>DALARNAS LÄN</t>
        </is>
      </c>
      <c r="E160" t="inlineStr">
        <is>
          <t>RÄTTVIK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59176-2019</t>
        </is>
      </c>
      <c r="B161" s="1" t="n">
        <v>43770</v>
      </c>
      <c r="C161" s="1" t="n">
        <v>45832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59301-2019</t>
        </is>
      </c>
      <c r="B162" s="1" t="n">
        <v>43773</v>
      </c>
      <c r="C162" s="1" t="n">
        <v>45832</v>
      </c>
      <c r="D162" t="inlineStr">
        <is>
          <t>DALARNAS LÄN</t>
        </is>
      </c>
      <c r="E162" t="inlineStr">
        <is>
          <t>RÄTTVIK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59816-2019</t>
        </is>
      </c>
      <c r="B163" s="1" t="n">
        <v>43775</v>
      </c>
      <c r="C163" s="1" t="n">
        <v>45832</v>
      </c>
      <c r="D163" t="inlineStr">
        <is>
          <t>DALARNAS LÄN</t>
        </is>
      </c>
      <c r="E163" t="inlineStr">
        <is>
          <t>RÄTTVIK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60578-2019</t>
        </is>
      </c>
      <c r="B164" s="1" t="n">
        <v>43776</v>
      </c>
      <c r="C164" s="1" t="n">
        <v>45832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60474-2019</t>
        </is>
      </c>
      <c r="B165" s="1" t="n">
        <v>43776</v>
      </c>
      <c r="C165" s="1" t="n">
        <v>45832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60575-2019</t>
        </is>
      </c>
      <c r="B166" s="1" t="n">
        <v>43776</v>
      </c>
      <c r="C166" s="1" t="n">
        <v>45832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60473-2019</t>
        </is>
      </c>
      <c r="B167" s="1" t="n">
        <v>43776</v>
      </c>
      <c r="C167" s="1" t="n">
        <v>45832</v>
      </c>
      <c r="D167" t="inlineStr">
        <is>
          <t>DALARNAS LÄN</t>
        </is>
      </c>
      <c r="E167" t="inlineStr">
        <is>
          <t>RÄTTVIK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60467-2019</t>
        </is>
      </c>
      <c r="B168" s="1" t="n">
        <v>43780</v>
      </c>
      <c r="C168" s="1" t="n">
        <v>45832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61112-2019</t>
        </is>
      </c>
      <c r="B169" s="1" t="n">
        <v>43780</v>
      </c>
      <c r="C169" s="1" t="n">
        <v>45832</v>
      </c>
      <c r="D169" t="inlineStr">
        <is>
          <t>DALARNAS LÄN</t>
        </is>
      </c>
      <c r="E169" t="inlineStr">
        <is>
          <t>RÄTTVIK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61115-2019</t>
        </is>
      </c>
      <c r="B170" s="1" t="n">
        <v>43780</v>
      </c>
      <c r="C170" s="1" t="n">
        <v>45832</v>
      </c>
      <c r="D170" t="inlineStr">
        <is>
          <t>DALARNAS LÄN</t>
        </is>
      </c>
      <c r="E170" t="inlineStr">
        <is>
          <t>RÄTTVIK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61117-2019</t>
        </is>
      </c>
      <c r="B171" s="1" t="n">
        <v>43780</v>
      </c>
      <c r="C171" s="1" t="n">
        <v>45832</v>
      </c>
      <c r="D171" t="inlineStr">
        <is>
          <t>DALARNAS LÄN</t>
        </is>
      </c>
      <c r="E171" t="inlineStr">
        <is>
          <t>RÄTTVIK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61257-2019</t>
        </is>
      </c>
      <c r="B172" s="1" t="n">
        <v>43783</v>
      </c>
      <c r="C172" s="1" t="n">
        <v>45832</v>
      </c>
      <c r="D172" t="inlineStr">
        <is>
          <t>DALARNAS LÄN</t>
        </is>
      </c>
      <c r="E172" t="inlineStr">
        <is>
          <t>RÄTTVIK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62807-2019</t>
        </is>
      </c>
      <c r="B173" s="1" t="n">
        <v>43784</v>
      </c>
      <c r="C173" s="1" t="n">
        <v>45832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62738-2019</t>
        </is>
      </c>
      <c r="B174" s="1" t="n">
        <v>43786</v>
      </c>
      <c r="C174" s="1" t="n">
        <v>45832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65199-2019</t>
        </is>
      </c>
      <c r="B175" s="1" t="n">
        <v>43797</v>
      </c>
      <c r="C175" s="1" t="n">
        <v>45832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66771-2019</t>
        </is>
      </c>
      <c r="B176" s="1" t="n">
        <v>43804</v>
      </c>
      <c r="C176" s="1" t="n">
        <v>45832</v>
      </c>
      <c r="D176" t="inlineStr">
        <is>
          <t>DALARNAS LÄN</t>
        </is>
      </c>
      <c r="E176" t="inlineStr">
        <is>
          <t>RÄTTVIK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67053-2019</t>
        </is>
      </c>
      <c r="B177" s="1" t="n">
        <v>43805</v>
      </c>
      <c r="C177" s="1" t="n">
        <v>45832</v>
      </c>
      <c r="D177" t="inlineStr">
        <is>
          <t>DALARNAS LÄN</t>
        </is>
      </c>
      <c r="E177" t="inlineStr">
        <is>
          <t>RÄTTVIK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67049-2019</t>
        </is>
      </c>
      <c r="B178" s="1" t="n">
        <v>43805</v>
      </c>
      <c r="C178" s="1" t="n">
        <v>45832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67308-2019</t>
        </is>
      </c>
      <c r="B179" s="1" t="n">
        <v>43812</v>
      </c>
      <c r="C179" s="1" t="n">
        <v>45832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67404-2019</t>
        </is>
      </c>
      <c r="B180" s="1" t="n">
        <v>43812</v>
      </c>
      <c r="C180" s="1" t="n">
        <v>45832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68806-2019</t>
        </is>
      </c>
      <c r="B181" s="1" t="n">
        <v>43815</v>
      </c>
      <c r="C181" s="1" t="n">
        <v>45832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67503-2019</t>
        </is>
      </c>
      <c r="B182" s="1" t="n">
        <v>43815</v>
      </c>
      <c r="C182" s="1" t="n">
        <v>45832</v>
      </c>
      <c r="D182" t="inlineStr">
        <is>
          <t>DALARNAS LÄN</t>
        </is>
      </c>
      <c r="E182" t="inlineStr">
        <is>
          <t>RÄTTVIK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69097-2019</t>
        </is>
      </c>
      <c r="B183" s="1" t="n">
        <v>43829</v>
      </c>
      <c r="C183" s="1" t="n">
        <v>45832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1771-2020</t>
        </is>
      </c>
      <c r="B184" s="1" t="n">
        <v>43833</v>
      </c>
      <c r="C184" s="1" t="n">
        <v>45832</v>
      </c>
      <c r="D184" t="inlineStr">
        <is>
          <t>DALARNAS LÄN</t>
        </is>
      </c>
      <c r="E184" t="inlineStr">
        <is>
          <t>RÄTTVIK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449-2020</t>
        </is>
      </c>
      <c r="B185" s="1" t="n">
        <v>43837</v>
      </c>
      <c r="C185" s="1" t="n">
        <v>45832</v>
      </c>
      <c r="D185" t="inlineStr">
        <is>
          <t>DALARNAS LÄN</t>
        </is>
      </c>
      <c r="E185" t="inlineStr">
        <is>
          <t>RÄTTVIK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946-2020</t>
        </is>
      </c>
      <c r="B186" s="1" t="n">
        <v>43839</v>
      </c>
      <c r="C186" s="1" t="n">
        <v>45832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1137-2020</t>
        </is>
      </c>
      <c r="B187" s="1" t="n">
        <v>43840</v>
      </c>
      <c r="C187" s="1" t="n">
        <v>45832</v>
      </c>
      <c r="D187" t="inlineStr">
        <is>
          <t>DALARNAS LÄN</t>
        </is>
      </c>
      <c r="E187" t="inlineStr">
        <is>
          <t>RÄTTVIK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2556-2020</t>
        </is>
      </c>
      <c r="B188" s="1" t="n">
        <v>43843</v>
      </c>
      <c r="C188" s="1" t="n">
        <v>45832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3404-2020</t>
        </is>
      </c>
      <c r="B189" s="1" t="n">
        <v>43845</v>
      </c>
      <c r="C189" s="1" t="n">
        <v>45832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4485-2020</t>
        </is>
      </c>
      <c r="B190" s="1" t="n">
        <v>43850</v>
      </c>
      <c r="C190" s="1" t="n">
        <v>45832</v>
      </c>
      <c r="D190" t="inlineStr">
        <is>
          <t>DALARNAS LÄN</t>
        </is>
      </c>
      <c r="E190" t="inlineStr">
        <is>
          <t>RÄTTVIK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3942-2020</t>
        </is>
      </c>
      <c r="B191" s="1" t="n">
        <v>43854</v>
      </c>
      <c r="C191" s="1" t="n">
        <v>45832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4036-2020</t>
        </is>
      </c>
      <c r="B192" s="1" t="n">
        <v>43857</v>
      </c>
      <c r="C192" s="1" t="n">
        <v>45832</v>
      </c>
      <c r="D192" t="inlineStr">
        <is>
          <t>DALARNAS LÄN</t>
        </is>
      </c>
      <c r="E192" t="inlineStr">
        <is>
          <t>RÄTTVIK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4280-2020</t>
        </is>
      </c>
      <c r="B193" s="1" t="n">
        <v>43857</v>
      </c>
      <c r="C193" s="1" t="n">
        <v>45832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5311-2020</t>
        </is>
      </c>
      <c r="B194" s="1" t="n">
        <v>43857</v>
      </c>
      <c r="C194" s="1" t="n">
        <v>45832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5761-2020</t>
        </is>
      </c>
      <c r="B195" s="1" t="n">
        <v>43864</v>
      </c>
      <c r="C195" s="1" t="n">
        <v>45832</v>
      </c>
      <c r="D195" t="inlineStr">
        <is>
          <t>DALARNAS LÄN</t>
        </is>
      </c>
      <c r="E195" t="inlineStr">
        <is>
          <t>RÄTTVIK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5755-2020</t>
        </is>
      </c>
      <c r="B196" s="1" t="n">
        <v>43864</v>
      </c>
      <c r="C196" s="1" t="n">
        <v>45832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6034-2020</t>
        </is>
      </c>
      <c r="B197" s="1" t="n">
        <v>43864</v>
      </c>
      <c r="C197" s="1" t="n">
        <v>45832</v>
      </c>
      <c r="D197" t="inlineStr">
        <is>
          <t>DALARNAS LÄN</t>
        </is>
      </c>
      <c r="E197" t="inlineStr">
        <is>
          <t>RÄTTVIK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6772-2020</t>
        </is>
      </c>
      <c r="B198" s="1" t="n">
        <v>43867</v>
      </c>
      <c r="C198" s="1" t="n">
        <v>45832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7402-2020</t>
        </is>
      </c>
      <c r="B199" s="1" t="n">
        <v>43871</v>
      </c>
      <c r="C199" s="1" t="n">
        <v>45832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7519-2020</t>
        </is>
      </c>
      <c r="B200" s="1" t="n">
        <v>43872</v>
      </c>
      <c r="C200" s="1" t="n">
        <v>45832</v>
      </c>
      <c r="D200" t="inlineStr">
        <is>
          <t>DALARNAS LÄN</t>
        </is>
      </c>
      <c r="E200" t="inlineStr">
        <is>
          <t>RÄTTVIK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8030-2020</t>
        </is>
      </c>
      <c r="B201" s="1" t="n">
        <v>43873</v>
      </c>
      <c r="C201" s="1" t="n">
        <v>45832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8216-2020</t>
        </is>
      </c>
      <c r="B202" s="1" t="n">
        <v>43873</v>
      </c>
      <c r="C202" s="1" t="n">
        <v>45832</v>
      </c>
      <c r="D202" t="inlineStr">
        <is>
          <t>DALARNAS LÄN</t>
        </is>
      </c>
      <c r="E202" t="inlineStr">
        <is>
          <t>RÄTTVIK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8212-2020</t>
        </is>
      </c>
      <c r="B203" s="1" t="n">
        <v>43873</v>
      </c>
      <c r="C203" s="1" t="n">
        <v>45832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8204-2020</t>
        </is>
      </c>
      <c r="B204" s="1" t="n">
        <v>43874</v>
      </c>
      <c r="C204" s="1" t="n">
        <v>45832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8704-2020</t>
        </is>
      </c>
      <c r="B205" s="1" t="n">
        <v>43878</v>
      </c>
      <c r="C205" s="1" t="n">
        <v>45832</v>
      </c>
      <c r="D205" t="inlineStr">
        <is>
          <t>DALARNAS LÄN</t>
        </is>
      </c>
      <c r="E205" t="inlineStr">
        <is>
          <t>RÄTTVIK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9161-2020</t>
        </is>
      </c>
      <c r="B206" s="1" t="n">
        <v>43879</v>
      </c>
      <c r="C206" s="1" t="n">
        <v>45832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9466-2020</t>
        </is>
      </c>
      <c r="B207" s="1" t="n">
        <v>43880</v>
      </c>
      <c r="C207" s="1" t="n">
        <v>45832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11863-2020</t>
        </is>
      </c>
      <c r="B208" s="1" t="n">
        <v>43894</v>
      </c>
      <c r="C208" s="1" t="n">
        <v>45832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11999-2020</t>
        </is>
      </c>
      <c r="B209" s="1" t="n">
        <v>43894</v>
      </c>
      <c r="C209" s="1" t="n">
        <v>45832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14737-2020</t>
        </is>
      </c>
      <c r="B210" s="1" t="n">
        <v>43902</v>
      </c>
      <c r="C210" s="1" t="n">
        <v>45832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16187-2020</t>
        </is>
      </c>
      <c r="B211" s="1" t="n">
        <v>43917</v>
      </c>
      <c r="C211" s="1" t="n">
        <v>45832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16189-2020</t>
        </is>
      </c>
      <c r="B212" s="1" t="n">
        <v>43917</v>
      </c>
      <c r="C212" s="1" t="n">
        <v>45832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16710-2020</t>
        </is>
      </c>
      <c r="B213" s="1" t="n">
        <v>43920</v>
      </c>
      <c r="C213" s="1" t="n">
        <v>45832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16723-2020</t>
        </is>
      </c>
      <c r="B214" s="1" t="n">
        <v>43920</v>
      </c>
      <c r="C214" s="1" t="n">
        <v>45832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16839-2020</t>
        </is>
      </c>
      <c r="B215" s="1" t="n">
        <v>43921</v>
      </c>
      <c r="C215" s="1" t="n">
        <v>45832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17279-2020</t>
        </is>
      </c>
      <c r="B216" s="1" t="n">
        <v>43922</v>
      </c>
      <c r="C216" s="1" t="n">
        <v>45832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17234-2020</t>
        </is>
      </c>
      <c r="B217" s="1" t="n">
        <v>43922</v>
      </c>
      <c r="C217" s="1" t="n">
        <v>45832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18140-2020</t>
        </is>
      </c>
      <c r="B218" s="1" t="n">
        <v>43924</v>
      </c>
      <c r="C218" s="1" t="n">
        <v>45832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18141-2020</t>
        </is>
      </c>
      <c r="B219" s="1" t="n">
        <v>43924</v>
      </c>
      <c r="C219" s="1" t="n">
        <v>45832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18396-2020</t>
        </is>
      </c>
      <c r="B220" s="1" t="n">
        <v>43927</v>
      </c>
      <c r="C220" s="1" t="n">
        <v>45832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18385-2020</t>
        </is>
      </c>
      <c r="B221" s="1" t="n">
        <v>43927</v>
      </c>
      <c r="C221" s="1" t="n">
        <v>45832</v>
      </c>
      <c r="D221" t="inlineStr">
        <is>
          <t>DALARNAS LÄN</t>
        </is>
      </c>
      <c r="E221" t="inlineStr">
        <is>
          <t>RÄTTVIK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18324-2020</t>
        </is>
      </c>
      <c r="B222" s="1" t="n">
        <v>43928</v>
      </c>
      <c r="C222" s="1" t="n">
        <v>45832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18327-2020</t>
        </is>
      </c>
      <c r="B223" s="1" t="n">
        <v>43928</v>
      </c>
      <c r="C223" s="1" t="n">
        <v>45832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18754-2020</t>
        </is>
      </c>
      <c r="B224" s="1" t="n">
        <v>43930</v>
      </c>
      <c r="C224" s="1" t="n">
        <v>45832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18798-2020</t>
        </is>
      </c>
      <c r="B225" s="1" t="n">
        <v>43933</v>
      </c>
      <c r="C225" s="1" t="n">
        <v>45832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18797-2020</t>
        </is>
      </c>
      <c r="B226" s="1" t="n">
        <v>43933</v>
      </c>
      <c r="C226" s="1" t="n">
        <v>45832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19115-2020</t>
        </is>
      </c>
      <c r="B227" s="1" t="n">
        <v>43935</v>
      </c>
      <c r="C227" s="1" t="n">
        <v>45832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19278-2020</t>
        </is>
      </c>
      <c r="B228" s="1" t="n">
        <v>43937</v>
      </c>
      <c r="C228" s="1" t="n">
        <v>45832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19870-2020</t>
        </is>
      </c>
      <c r="B229" s="1" t="n">
        <v>43941</v>
      </c>
      <c r="C229" s="1" t="n">
        <v>45832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19877-2020</t>
        </is>
      </c>
      <c r="B230" s="1" t="n">
        <v>43941</v>
      </c>
      <c r="C230" s="1" t="n">
        <v>45832</v>
      </c>
      <c r="D230" t="inlineStr">
        <is>
          <t>DALARNAS LÄN</t>
        </is>
      </c>
      <c r="E230" t="inlineStr">
        <is>
          <t>RÄTTVIK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45832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45832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45832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45832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45832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45832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45832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45832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45832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45832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45832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45832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45832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45832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45832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45832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45832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45832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45832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45832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45832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45832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45832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45832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45832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45832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45832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45832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45832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45832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45832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45832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45832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45832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45832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45832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45832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45832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45832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45832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45832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45832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45832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45832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45832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45832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45832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45832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45832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45832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45832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45832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45832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45832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45832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45832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45832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45832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45832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45832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45832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45832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45832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45832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45832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45832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45832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45832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45832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45832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45832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45832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45832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45832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45832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45832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45832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45832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45832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45832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45832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45832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45832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45832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45832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45832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45832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45832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45832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45832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45832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45832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45832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45832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45832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45832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45832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45832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45832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45832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45832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45832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45832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45832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45832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45832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45832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45832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45832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45832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45832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45832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45832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45832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45832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45832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45832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45832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45832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45832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45832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45832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45832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45832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45832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45832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45832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45832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45832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45832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45832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45832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45832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45832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45832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45832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45832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45832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45832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45832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45832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45832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45832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45832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45832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45832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45832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45832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45832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45832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45832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45832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45832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45832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45832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45832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45832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45832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45832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45832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45832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45832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45832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45832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45832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45832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45832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45832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45832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45832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45832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45832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45832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45832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45832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45832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45832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45832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45832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45832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45832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45832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45832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45832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45832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45832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45832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45832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45832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45832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45832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45832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45832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45832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45832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45832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45832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45832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45832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45832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45832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45832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45832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45832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45832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45832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45832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45832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45832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45832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45832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45832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45832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45832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45832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45832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45832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45832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45832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45832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45832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45832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45832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45832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45832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45832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45832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45832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45832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45832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45832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45832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45832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45832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45832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45832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45832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45832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45832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45832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45832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45832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45832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45832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45832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45832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45832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45832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45832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45832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45832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45832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45832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45832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45832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45832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45832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45832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45832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45832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45832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45832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45832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45832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45832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45832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45832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45832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45832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45832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45832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45832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45832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45832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45832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45832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45832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45832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45832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45832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45832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45832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45832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45832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45832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45832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45832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45832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45832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45832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45832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45832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45832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45832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45832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45832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45832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45832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45832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45832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45832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45832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45832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45832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45832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45832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45832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45832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45832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45832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45832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45832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45832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45832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45832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45832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45832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45832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45832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45832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45832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45832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45832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45832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45832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45832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45832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45832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45832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45832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45832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45832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45832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45832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45832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45832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45832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45832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45832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45832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45832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45832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45832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45832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45832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45832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45832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45832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45832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45832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45832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45832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45832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45832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45832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45832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45832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45832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45832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45832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45832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45832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45832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45832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45832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45832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45832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45832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45832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45832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45832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45832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45832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45832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45832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45832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45832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45832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45832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45832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45832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45832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45832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45832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45832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45832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45832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45832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45832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45832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45832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45832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45832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45832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45832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45832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45832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45832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45832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45832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45832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45832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45832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45832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45832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45832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45832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45832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45832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45832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45832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45832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45832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45832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45832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45832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45832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45832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45832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45832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45832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45832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45832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45832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45832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45832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45832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45832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45832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45832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45832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45832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45832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45832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45832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45832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45832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45832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45832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45832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45832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45832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45832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45832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45832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45832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45832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45832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45832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45832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45832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45832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45832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45832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45832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45832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45832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45832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45832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45832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45832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45832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45832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45832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45832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45832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45832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45832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45832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45832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45832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45832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45832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45832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45832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45832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45832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45832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45832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45832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45832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45832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45832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45832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45832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45832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45832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45832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45832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45832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45832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45832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45832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45832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45832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45832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45832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45832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45832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45832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45832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45832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45832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45832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45832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45832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45832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45832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45832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45832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45832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45832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45832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45832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45832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45832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45832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45832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45832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45832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45832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45832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45832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45832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45832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45832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45832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45832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45832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45832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45832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45832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45832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45832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45832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45832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45832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45832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45832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45832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45832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45832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45832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45832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45832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45832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45832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45832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45832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45832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45832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45832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45832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45832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45832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45832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45832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45832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45832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45832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45832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45832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45832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45832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45832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45832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45832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45832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45832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45832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45832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45832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45832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45832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45832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45832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45832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45832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45832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45832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45832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45832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45832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45832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45832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45832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45832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45832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45832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45832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45832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45832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45832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45832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45832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45832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45832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45832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45832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45832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45832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45832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45832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45832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45832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45832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45832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45832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45832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45832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45832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45832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45832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45832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45832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45832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45832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45832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45832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45832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45832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45832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45832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45832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45832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45832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45832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45832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45832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45832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45832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45832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45832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45832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45832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45832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45832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45832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45832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45832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45832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45832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45832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45832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45832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45832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45832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45832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45832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45832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45832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45832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45832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45832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45832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45832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45832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45832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45832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45832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45832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45832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45832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45832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45832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45832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45832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45832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45832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45832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45832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45832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45832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45832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45832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45832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45832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45832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45832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45832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45832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45832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45832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45832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45832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45832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45832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45832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45832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45832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45832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45832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45832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45832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45832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45832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45832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45832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45832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45832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45832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45832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45832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45832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45832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45832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45832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45832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45832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45832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45832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45832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45832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45832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45832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45832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45832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45832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45832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45832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45832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45832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45832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45832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45832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45832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45832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45832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45832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45832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45832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45832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45832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45832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45832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45832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45832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45832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45832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45832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45832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45832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45832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45832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45832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45832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45832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45832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45832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45832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45832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45832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45832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45832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45832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45832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45832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45832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45832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45832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45832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45832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45832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45832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45832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45832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45832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45832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45832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45832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45832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45832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45832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45832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45832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45832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45832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45832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45832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45832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45832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45832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45832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45832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45832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45832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45832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45832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45832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45832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45832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45832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45832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45832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45832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45832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45832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45832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45832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45832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45832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45832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45832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45832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45832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45832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45832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45832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45832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45832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45832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45832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45832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45832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45832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45832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45832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45832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45832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45832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45832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45832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45832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45832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45832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45832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45832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45832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45832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45832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45832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45832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45832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45832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45832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45832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45832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45832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45832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45832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45832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45832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45832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45832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45832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45832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45832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45832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45832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45832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45832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45832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45832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45832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45832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45832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45832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45832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45832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45832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45832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45832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45832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45832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45832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45832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45832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45832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45832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45832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45832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45832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45832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45832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45832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45832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45832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45832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45832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45832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45832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45832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45832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45832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45832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45832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45832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45832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45832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45832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45832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45832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45832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45832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45832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45832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45832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45832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45832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45832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45832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45832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45832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45832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45832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45832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45832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45832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45832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45832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45832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45832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45832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45832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45832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45832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45832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45832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45832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45832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45832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45832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45832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45832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45832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45832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45832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45832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45832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45832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45832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45832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45832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45832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45832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45832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45832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45832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45832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45832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45832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45832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45832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45832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45832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45832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45832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45832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45832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45832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45832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45832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45832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45832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45832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45832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45832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45832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45832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45832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45832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45832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45832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45832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45832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45832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45832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45832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45832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45832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45832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45832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45832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45832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45832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45832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45832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45832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45832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45832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45832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45832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45832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45832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45832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45832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45832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45832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45832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45832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45832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45832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45832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45832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45832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45832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45832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45832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45832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45832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45832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45832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45832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45832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45832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45832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45832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45832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45832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45832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45832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45832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45832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45832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45832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45832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45832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45832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45832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45832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45832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45832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45832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45832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45832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45832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45832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45832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45832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45832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45832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45832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45832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45832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45832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45832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45832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45832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45832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45832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45832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45832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45832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45832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45832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45832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45832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45832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45832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45832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45832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45832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45832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45832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45832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45832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45832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45832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45832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45832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45832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45832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45832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45832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45832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45832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45832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45832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45832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45832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45832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45832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45832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45832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45832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45832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45832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45832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45832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45832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45832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45832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45832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45832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45832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45832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45832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45832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45832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45832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45832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45832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45832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45832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45832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45832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45832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45832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45832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45832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45832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45832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45832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45832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45832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45832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45832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45832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45832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45832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45832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45832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45832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45832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45832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45832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45832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45832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45832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45832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45832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45832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45832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45832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45832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45832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45832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45832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45832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45832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45832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45832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45832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45832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45832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45832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45832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45832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45832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45832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45832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45832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45832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45832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45832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45832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45832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45832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45832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45832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45832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45832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45832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45832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45832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45832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45832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45832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45832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45832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45832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45832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45832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45832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45832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45832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45832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45832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45832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45832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45832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45832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45832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45832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45832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45832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45832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45832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45832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45832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45832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45832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45832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45832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45832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45832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45832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45832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45832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45832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45832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45832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45832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45832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45832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45832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45832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45832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45832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45832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45832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45832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45832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45832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45832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45832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45832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45832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45832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45832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45832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45832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45832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45832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45832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45832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45832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45832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45832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45832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45832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45832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45832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45832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45832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45832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45832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45832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45832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45832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45832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45832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45832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45832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45832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45832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45832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45832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45832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45832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45832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45832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45832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45832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45832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45832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45832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45832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45832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45832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45832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45832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45832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45832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45832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45832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45832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45832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45832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45832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45832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45832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45832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45832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45832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45832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45832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45832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45832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45832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45832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45832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45832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45832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45832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45832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45832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45832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45832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25907-2025</t>
        </is>
      </c>
      <c r="B1510" s="1" t="n">
        <v>45803</v>
      </c>
      <c r="C1510" s="1" t="n">
        <v>45832</v>
      </c>
      <c r="D1510" t="inlineStr">
        <is>
          <t>DALARNAS LÄN</t>
        </is>
      </c>
      <c r="E1510" t="inlineStr">
        <is>
          <t>RÄTTVIK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25567-2025</t>
        </is>
      </c>
      <c r="B1511" s="1" t="n">
        <v>45803</v>
      </c>
      <c r="C1511" s="1" t="n">
        <v>45832</v>
      </c>
      <c r="D1511" t="inlineStr">
        <is>
          <t>DALARNAS LÄN</t>
        </is>
      </c>
      <c r="E1511" t="inlineStr">
        <is>
          <t>RÄTTVIK</t>
        </is>
      </c>
      <c r="F1511" t="inlineStr">
        <is>
          <t>Sveaskog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25548-2025</t>
        </is>
      </c>
      <c r="B1512" s="1" t="n">
        <v>45803</v>
      </c>
      <c r="C1512" s="1" t="n">
        <v>45832</v>
      </c>
      <c r="D1512" t="inlineStr">
        <is>
          <t>DALARNAS LÄN</t>
        </is>
      </c>
      <c r="E1512" t="inlineStr">
        <is>
          <t>RÄTTVIK</t>
        </is>
      </c>
      <c r="F1512" t="inlineStr">
        <is>
          <t>Bergvik skog väst AB</t>
        </is>
      </c>
      <c r="G1512" t="n">
        <v>6.8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25559-2025</t>
        </is>
      </c>
      <c r="B1513" s="1" t="n">
        <v>45803</v>
      </c>
      <c r="C1513" s="1" t="n">
        <v>45832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45832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25553-2025</t>
        </is>
      </c>
      <c r="B1515" s="1" t="n">
        <v>45803</v>
      </c>
      <c r="C1515" s="1" t="n">
        <v>45832</v>
      </c>
      <c r="D1515" t="inlineStr">
        <is>
          <t>DALARNAS LÄN</t>
        </is>
      </c>
      <c r="E1515" t="inlineStr">
        <is>
          <t>RÄTTVIK</t>
        </is>
      </c>
      <c r="F1515" t="inlineStr">
        <is>
          <t>Bergvik skog väst AB</t>
        </is>
      </c>
      <c r="G1515" t="n">
        <v>11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25625-2025</t>
        </is>
      </c>
      <c r="B1516" s="1" t="n">
        <v>45803</v>
      </c>
      <c r="C1516" s="1" t="n">
        <v>45832</v>
      </c>
      <c r="D1516" t="inlineStr">
        <is>
          <t>DALARNAS LÄN</t>
        </is>
      </c>
      <c r="E1516" t="inlineStr">
        <is>
          <t>RÄTTVIK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45832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45832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27656-2025</t>
        </is>
      </c>
      <c r="B1519" s="1" t="n">
        <v>45813</v>
      </c>
      <c r="C1519" s="1" t="n">
        <v>45832</v>
      </c>
      <c r="D1519" t="inlineStr">
        <is>
          <t>DALARNAS LÄN</t>
        </is>
      </c>
      <c r="E1519" t="inlineStr">
        <is>
          <t>RÄTTVIK</t>
        </is>
      </c>
      <c r="F1519" t="inlineStr">
        <is>
          <t>Sveaskog</t>
        </is>
      </c>
      <c r="G1519" t="n">
        <v>8.800000000000001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27701-2025</t>
        </is>
      </c>
      <c r="B1520" s="1" t="n">
        <v>45813</v>
      </c>
      <c r="C1520" s="1" t="n">
        <v>45832</v>
      </c>
      <c r="D1520" t="inlineStr">
        <is>
          <t>DALARNAS LÄN</t>
        </is>
      </c>
      <c r="E1520" t="inlineStr">
        <is>
          <t>RÄTTVIK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27704-2025</t>
        </is>
      </c>
      <c r="B1521" s="1" t="n">
        <v>45813</v>
      </c>
      <c r="C1521" s="1" t="n">
        <v>45832</v>
      </c>
      <c r="D1521" t="inlineStr">
        <is>
          <t>DALARNAS LÄN</t>
        </is>
      </c>
      <c r="E1521" t="inlineStr">
        <is>
          <t>RÄTTVIK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27512-2025</t>
        </is>
      </c>
      <c r="B1522" s="1" t="n">
        <v>45813</v>
      </c>
      <c r="C1522" s="1" t="n">
        <v>45832</v>
      </c>
      <c r="D1522" t="inlineStr">
        <is>
          <t>DALARNAS LÄN</t>
        </is>
      </c>
      <c r="E1522" t="inlineStr">
        <is>
          <t>RÄTTVIK</t>
        </is>
      </c>
      <c r="F1522" t="inlineStr">
        <is>
          <t>Bergvik skog väst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28034-2025</t>
        </is>
      </c>
      <c r="B1523" s="1" t="n">
        <v>45817</v>
      </c>
      <c r="C1523" s="1" t="n">
        <v>45832</v>
      </c>
      <c r="D1523" t="inlineStr">
        <is>
          <t>DALARNAS LÄN</t>
        </is>
      </c>
      <c r="E1523" t="inlineStr">
        <is>
          <t>RÄTTVIK</t>
        </is>
      </c>
      <c r="F1523" t="inlineStr">
        <is>
          <t>Sveaskog</t>
        </is>
      </c>
      <c r="G1523" t="n">
        <v>8.699999999999999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28044-2025</t>
        </is>
      </c>
      <c r="B1524" s="1" t="n">
        <v>45817</v>
      </c>
      <c r="C1524" s="1" t="n">
        <v>45832</v>
      </c>
      <c r="D1524" t="inlineStr">
        <is>
          <t>DALARNAS LÄN</t>
        </is>
      </c>
      <c r="E1524" t="inlineStr">
        <is>
          <t>RÄTTVIK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45832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28811-2025</t>
        </is>
      </c>
      <c r="B1526" s="1" t="n">
        <v>45820</v>
      </c>
      <c r="C1526" s="1" t="n">
        <v>45832</v>
      </c>
      <c r="D1526" t="inlineStr">
        <is>
          <t>DALARNAS LÄN</t>
        </is>
      </c>
      <c r="E1526" t="inlineStr">
        <is>
          <t>RÄTTVIK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29135-2025</t>
        </is>
      </c>
      <c r="B1527" s="1" t="n">
        <v>45821</v>
      </c>
      <c r="C1527" s="1" t="n">
        <v>45832</v>
      </c>
      <c r="D1527" t="inlineStr">
        <is>
          <t>DALARNAS LÄN</t>
        </is>
      </c>
      <c r="E1527" t="inlineStr">
        <is>
          <t>RÄTTVIK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29429-2025</t>
        </is>
      </c>
      <c r="B1528" s="1" t="n">
        <v>45824</v>
      </c>
      <c r="C1528" s="1" t="n">
        <v>45832</v>
      </c>
      <c r="D1528" t="inlineStr">
        <is>
          <t>DALARNAS LÄN</t>
        </is>
      </c>
      <c r="E1528" t="inlineStr">
        <is>
          <t>RÄTTVIK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29360-2025</t>
        </is>
      </c>
      <c r="B1529" s="1" t="n">
        <v>45824</v>
      </c>
      <c r="C1529" s="1" t="n">
        <v>45832</v>
      </c>
      <c r="D1529" t="inlineStr">
        <is>
          <t>DALARNAS LÄN</t>
        </is>
      </c>
      <c r="E1529" t="inlineStr">
        <is>
          <t>RÄTTVIK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29289-2025</t>
        </is>
      </c>
      <c r="B1530" s="1" t="n">
        <v>45824</v>
      </c>
      <c r="C1530" s="1" t="n">
        <v>45832</v>
      </c>
      <c r="D1530" t="inlineStr">
        <is>
          <t>DALARNAS LÄN</t>
        </is>
      </c>
      <c r="E1530" t="inlineStr">
        <is>
          <t>RÄTTVIK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29687-2025</t>
        </is>
      </c>
      <c r="B1531" s="1" t="n">
        <v>45825</v>
      </c>
      <c r="C1531" s="1" t="n">
        <v>45832</v>
      </c>
      <c r="D1531" t="inlineStr">
        <is>
          <t>DALARNAS LÄN</t>
        </is>
      </c>
      <c r="E1531" t="inlineStr">
        <is>
          <t>RÄTTVIK</t>
        </is>
      </c>
      <c r="F1531" t="inlineStr">
        <is>
          <t>Bergvik skog väst AB</t>
        </is>
      </c>
      <c r="G1531" t="n">
        <v>6.9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29695-2025</t>
        </is>
      </c>
      <c r="B1532" s="1" t="n">
        <v>45825</v>
      </c>
      <c r="C1532" s="1" t="n">
        <v>45832</v>
      </c>
      <c r="D1532" t="inlineStr">
        <is>
          <t>DALARNAS LÄN</t>
        </is>
      </c>
      <c r="E1532" t="inlineStr">
        <is>
          <t>RÄTTVIK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29519-2025</t>
        </is>
      </c>
      <c r="B1533" s="1" t="n">
        <v>45825</v>
      </c>
      <c r="C1533" s="1" t="n">
        <v>45832</v>
      </c>
      <c r="D1533" t="inlineStr">
        <is>
          <t>DALARNAS LÄN</t>
        </is>
      </c>
      <c r="E1533" t="inlineStr">
        <is>
          <t>RÄTTVIK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29511-2025</t>
        </is>
      </c>
      <c r="B1534" s="1" t="n">
        <v>45825</v>
      </c>
      <c r="C1534" s="1" t="n">
        <v>45832</v>
      </c>
      <c r="D1534" t="inlineStr">
        <is>
          <t>DALARNAS LÄN</t>
        </is>
      </c>
      <c r="E1534" t="inlineStr">
        <is>
          <t>RÄTTVIK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29684-2025</t>
        </is>
      </c>
      <c r="B1535" s="1" t="n">
        <v>45825</v>
      </c>
      <c r="C1535" s="1" t="n">
        <v>45832</v>
      </c>
      <c r="D1535" t="inlineStr">
        <is>
          <t>DALARNAS LÄN</t>
        </is>
      </c>
      <c r="E1535" t="inlineStr">
        <is>
          <t>RÄTTVIK</t>
        </is>
      </c>
      <c r="F1535" t="inlineStr">
        <is>
          <t>Bergvik skog väst AB</t>
        </is>
      </c>
      <c r="G1535" t="n">
        <v>15.3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29521-2025</t>
        </is>
      </c>
      <c r="B1536" s="1" t="n">
        <v>45825</v>
      </c>
      <c r="C1536" s="1" t="n">
        <v>45832</v>
      </c>
      <c r="D1536" t="inlineStr">
        <is>
          <t>DALARNAS LÄN</t>
        </is>
      </c>
      <c r="E1536" t="inlineStr">
        <is>
          <t>RÄTTVIK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29697-2025</t>
        </is>
      </c>
      <c r="B1537" s="1" t="n">
        <v>45825</v>
      </c>
      <c r="C1537" s="1" t="n">
        <v>45832</v>
      </c>
      <c r="D1537" t="inlineStr">
        <is>
          <t>DALARNAS LÄN</t>
        </is>
      </c>
      <c r="E1537" t="inlineStr">
        <is>
          <t>RÄTTVIK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29676-2025</t>
        </is>
      </c>
      <c r="B1538" s="1" t="n">
        <v>45825</v>
      </c>
      <c r="C1538" s="1" t="n">
        <v>45832</v>
      </c>
      <c r="D1538" t="inlineStr">
        <is>
          <t>DALARNAS LÄN</t>
        </is>
      </c>
      <c r="E1538" t="inlineStr">
        <is>
          <t>RÄTTVIK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29943-2025</t>
        </is>
      </c>
      <c r="B1539" s="1" t="n">
        <v>45826</v>
      </c>
      <c r="C1539" s="1" t="n">
        <v>45832</v>
      </c>
      <c r="D1539" t="inlineStr">
        <is>
          <t>DALARNAS LÄN</t>
        </is>
      </c>
      <c r="E1539" t="inlineStr">
        <is>
          <t>RÄTTVIK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30446-2025</t>
        </is>
      </c>
      <c r="B1540" s="1" t="n">
        <v>45827</v>
      </c>
      <c r="C1540" s="1" t="n">
        <v>45832</v>
      </c>
      <c r="D1540" t="inlineStr">
        <is>
          <t>DALARNAS LÄN</t>
        </is>
      </c>
      <c r="E1540" t="inlineStr">
        <is>
          <t>RÄTTVIK</t>
        </is>
      </c>
      <c r="F1540" t="inlineStr">
        <is>
          <t>Sveaskog</t>
        </is>
      </c>
      <c r="G1540" t="n">
        <v>10.2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30444-2025</t>
        </is>
      </c>
      <c r="B1541" s="1" t="n">
        <v>45827</v>
      </c>
      <c r="C1541" s="1" t="n">
        <v>45832</v>
      </c>
      <c r="D1541" t="inlineStr">
        <is>
          <t>DALARNAS LÄN</t>
        </is>
      </c>
      <c r="E1541" t="inlineStr">
        <is>
          <t>RÄTTVIK</t>
        </is>
      </c>
      <c r="F1541" t="inlineStr">
        <is>
          <t>Sveaskog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30148-2025</t>
        </is>
      </c>
      <c r="B1542" s="1" t="n">
        <v>45827</v>
      </c>
      <c r="C1542" s="1" t="n">
        <v>45832</v>
      </c>
      <c r="D1542" t="inlineStr">
        <is>
          <t>DALARNAS LÄN</t>
        </is>
      </c>
      <c r="E1542" t="inlineStr">
        <is>
          <t>RÄTTVIK</t>
        </is>
      </c>
      <c r="G1542" t="n">
        <v>7.5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30724-2025</t>
        </is>
      </c>
      <c r="B1543" s="1" t="n">
        <v>45831</v>
      </c>
      <c r="C1543" s="1" t="n">
        <v>45832</v>
      </c>
      <c r="D1543" t="inlineStr">
        <is>
          <t>DALARNAS LÄN</t>
        </is>
      </c>
      <c r="E1543" t="inlineStr">
        <is>
          <t>RÄTTVIK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30707-2025</t>
        </is>
      </c>
      <c r="B1544" s="1" t="n">
        <v>45831</v>
      </c>
      <c r="C1544" s="1" t="n">
        <v>45832</v>
      </c>
      <c r="D1544" t="inlineStr">
        <is>
          <t>DALARNAS LÄN</t>
        </is>
      </c>
      <c r="E1544" t="inlineStr">
        <is>
          <t>RÄTTVIK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30556-2025</t>
        </is>
      </c>
      <c r="B1545" s="1" t="n">
        <v>45831</v>
      </c>
      <c r="C1545" s="1" t="n">
        <v>45832</v>
      </c>
      <c r="D1545" t="inlineStr">
        <is>
          <t>DALARNAS LÄN</t>
        </is>
      </c>
      <c r="E1545" t="inlineStr">
        <is>
          <t>RÄTTVIK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2025-06-24T19:50:09Z</dcterms:created>
  <dcterms:modified xmlns:dcterms="http://purl.org/dc/terms/" xmlns:xsi="http://www.w3.org/2001/XMLSchema-instance" xsi:type="dcterms:W3CDTF">2025-06-24T19:50:11Z</dcterms:modified>
</cp:coreProperties>
</file>