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46289</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46289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46289</v>
      </c>
      <c r="F4" t="inlineStr">
        <is>
          <t>DALARNAS LÄN</t>
        </is>
      </c>
      <c r="G4" t="inlineStr">
        <is>
          <t>RÄTTVIK</t>
        </is>
      </c>
      <c r="I4" t="n">
        <v>8</v>
      </c>
      <c r="J4" t="n">
        <v>7</v>
      </c>
      <c r="K4" t="n">
        <v>6</v>
      </c>
      <c r="L4" t="n">
        <v>4</v>
      </c>
      <c r="M4" t="n">
        <v>2</v>
      </c>
      <c r="N4" t="n">
        <v>0</v>
      </c>
      <c r="O4" t="n">
        <v>0</v>
      </c>
      <c r="P4" t="n">
        <v>0</v>
      </c>
      <c r="Q4" t="n">
        <v>6</v>
      </c>
      <c r="R4" t="n">
        <v>2</v>
      </c>
      <c r="S4" t="n">
        <v>18</v>
      </c>
      <c r="T4" t="n">
        <v>57</v>
      </c>
      <c r="U4" t="n">
        <v>37</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46289</v>
      </c>
      <c r="F5" t="inlineStr">
        <is>
          <t>DALARNAS LÄN</t>
        </is>
      </c>
      <c r="G5" t="inlineStr">
        <is>
          <t>RÄTTVIK</t>
        </is>
      </c>
      <c r="H5" t="inlineStr">
        <is>
          <t>Sveaskog</t>
        </is>
      </c>
      <c r="I5" t="n">
        <v>10.1</v>
      </c>
      <c r="J5" t="n">
        <v>1</v>
      </c>
      <c r="K5" t="n">
        <v>1</v>
      </c>
      <c r="L5" t="n">
        <v>10</v>
      </c>
      <c r="M5" t="n">
        <v>4</v>
      </c>
      <c r="N5" t="n">
        <v>0</v>
      </c>
      <c r="O5" t="n">
        <v>0</v>
      </c>
      <c r="P5" t="n">
        <v>0</v>
      </c>
      <c r="Q5" t="n">
        <v>15</v>
      </c>
      <c r="R5" t="n">
        <v>4</v>
      </c>
      <c r="S5" t="n">
        <v>16</v>
      </c>
      <c r="T5" t="n">
        <v>98</v>
      </c>
      <c r="U5" t="n">
        <v>3</v>
      </c>
      <c r="V5" s="2" t="inlineStr">
        <is>
          <t>Lammticka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46289</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46289</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46289</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46289</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46289</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46289</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46289</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46289</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46289</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46289</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46289</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46289</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46289</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46289</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46289</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46289</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46289</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46289</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46289</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46289</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46289</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46289</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33079-2024</t>
        </is>
      </c>
      <c r="B28" t="inlineStr">
        <is>
          <t>avverkningsanmälan</t>
        </is>
      </c>
      <c r="C28" t="inlineStr">
        <is>
          <t>Föryngringsavverkning</t>
        </is>
      </c>
      <c r="D28" s="1" t="n">
        <v>45517</v>
      </c>
      <c r="E28" s="1" t="n">
        <v>46289</v>
      </c>
      <c r="F28" t="inlineStr">
        <is>
          <t>DALARNAS LÄN</t>
        </is>
      </c>
      <c r="G28" t="inlineStr">
        <is>
          <t>RÄTTVIK</t>
        </is>
      </c>
      <c r="H28" t="inlineStr">
        <is>
          <t>Övriga statliga verk och myndigheter</t>
        </is>
      </c>
      <c r="I28" t="n">
        <v>1.1</v>
      </c>
      <c r="J28" t="n">
        <v>0</v>
      </c>
      <c r="K28" t="n">
        <v>2</v>
      </c>
      <c r="L28" t="n">
        <v>1</v>
      </c>
      <c r="M28" t="n">
        <v>0</v>
      </c>
      <c r="N28" t="n">
        <v>0</v>
      </c>
      <c r="O28" t="n">
        <v>0</v>
      </c>
      <c r="P28" t="n">
        <v>0</v>
      </c>
      <c r="Q28" t="n">
        <v>1</v>
      </c>
      <c r="R28" t="n">
        <v>0</v>
      </c>
      <c r="S28" t="n">
        <v>3</v>
      </c>
      <c r="T28" t="n">
        <v>3</v>
      </c>
      <c r="U28" t="n">
        <v>3</v>
      </c>
      <c r="V28" s="2" t="inlineStr">
        <is>
          <t>Talltagel
Bronshjon
Mindre märgborre</t>
        </is>
      </c>
      <c r="W28">
        <f>HYPERLINK("https://klasma.github.io/Logging_2031/artfynd/A 33079-2024 artfynd.xlsx", "A 33079-2024")</f>
        <v/>
      </c>
      <c r="X28">
        <f>HYPERLINK("https://klasma.github.io/Logging_2031/kartor/A 33079-2024 karta.png", "A 33079-2024")</f>
        <v/>
      </c>
      <c r="Y28">
        <f>HYPERLINK("https://klasma.github.io/Logging_2031/kartor_geotiff/A 33079-2024 georefererad karta.tif", "A 33079-2024")</f>
        <v/>
      </c>
      <c r="AA28">
        <f>HYPERLINK("https://klasma.github.io/Logging_2031/klagomål/A 33079-2024 FSC-klagomål.docx", "A 33079-2024")</f>
        <v/>
      </c>
      <c r="AB28">
        <f>HYPERLINK("https://klasma.github.io/Logging_2031/klagomålsmail/A 33079-2024 FSC-klagomål mail.docx", "A 33079-2024")</f>
        <v/>
      </c>
      <c r="AC28">
        <f>HYPERLINK("https://klasma.github.io/Logging_2031/tillsyn/A 33079-2024 tillsynsbegäran.docx", "A 33079-2024")</f>
        <v/>
      </c>
      <c r="AD28">
        <f>HYPERLINK("https://klasma.github.io/Logging_2031/tillsynsmail/A 33079-2024 tillsynsbegäran mail.docx", "A 33079-2024")</f>
        <v/>
      </c>
    </row>
    <row r="29" ht="15" customHeight="1">
      <c r="A29" t="inlineStr">
        <is>
          <t>A 5890-2026</t>
        </is>
      </c>
      <c r="B29" t="inlineStr">
        <is>
          <t>avverkningsanmälan</t>
        </is>
      </c>
      <c r="C29" t="inlineStr">
        <is>
          <t>Föryngringsavverkning</t>
        </is>
      </c>
      <c r="D29" s="1" t="n">
        <v>46052</v>
      </c>
      <c r="E29" s="1" t="n">
        <v>46289</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46289</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53468-2023</t>
        </is>
      </c>
      <c r="B31" t="inlineStr">
        <is>
          <t>avverkningsanmälan</t>
        </is>
      </c>
      <c r="C31" t="inlineStr">
        <is>
          <t>Föryngringsavverkning</t>
        </is>
      </c>
      <c r="D31" s="1" t="n">
        <v>45230</v>
      </c>
      <c r="E31" s="1" t="n">
        <v>46289</v>
      </c>
      <c r="F31" t="inlineStr">
        <is>
          <t>DALARNAS LÄN</t>
        </is>
      </c>
      <c r="G31" t="inlineStr">
        <is>
          <t>RÄTTVIK</t>
        </is>
      </c>
      <c r="I31" t="n">
        <v>4.8</v>
      </c>
      <c r="J31" t="n">
        <v>1</v>
      </c>
      <c r="K31" t="n">
        <v>1</v>
      </c>
      <c r="L31" t="n">
        <v>0</v>
      </c>
      <c r="M31" t="n">
        <v>1</v>
      </c>
      <c r="N31" t="n">
        <v>1</v>
      </c>
      <c r="O31" t="n">
        <v>0</v>
      </c>
      <c r="P31" t="n">
        <v>0</v>
      </c>
      <c r="Q31" t="n">
        <v>2</v>
      </c>
      <c r="R31" t="n">
        <v>2</v>
      </c>
      <c r="S31" t="n">
        <v>3</v>
      </c>
      <c r="T31" t="n">
        <v>3</v>
      </c>
      <c r="U31" t="n">
        <v>2</v>
      </c>
      <c r="V31" s="2" t="inlineStr">
        <is>
          <t>Flodpärlmussla
Knärot
Mindre märgborre</t>
        </is>
      </c>
      <c r="W31">
        <f>HYPERLINK("https://klasma.github.io/Logging_2031/artfynd/A 53468-2023 artfynd.xlsx", "A 53468-2023")</f>
        <v/>
      </c>
      <c r="X31">
        <f>HYPERLINK("https://klasma.github.io/Logging_2031/kartor/A 53468-2023 karta.png", "A 53468-2023")</f>
        <v/>
      </c>
      <c r="Y31">
        <f>HYPERLINK("https://klasma.github.io/Logging_2031/kartor_geotiff/A 53468-2023 georefererad karta.tif", "A 53468-2023")</f>
        <v/>
      </c>
      <c r="Z31">
        <f>HYPERLINK("https://klasma.github.io/Logging_2031/knärot/A 53468-2023 karta knärot.png", "A 53468-2023")</f>
        <v/>
      </c>
      <c r="AA31">
        <f>HYPERLINK("https://klasma.github.io/Logging_2031/klagomål/A 53468-2023 FSC-klagomål.docx", "A 53468-2023")</f>
        <v/>
      </c>
      <c r="AB31">
        <f>HYPERLINK("https://klasma.github.io/Logging_2031/klagomålsmail/A 53468-2023 FSC-klagomål mail.docx", "A 53468-2023")</f>
        <v/>
      </c>
      <c r="AC31">
        <f>HYPERLINK("https://klasma.github.io/Logging_2031/tillsyn/A 53468-2023 tillsynsbegäran.docx", "A 53468-2023")</f>
        <v/>
      </c>
      <c r="AD31">
        <f>HYPERLINK("https://klasma.github.io/Logging_2031/tillsynsmail/A 53468-2023 tillsynsbegäran mail.docx", "A 53468-2023")</f>
        <v/>
      </c>
    </row>
    <row r="32" ht="15" customHeight="1">
      <c r="A32" t="inlineStr">
        <is>
          <t>A 23986-2026</t>
        </is>
      </c>
      <c r="B32" t="inlineStr">
        <is>
          <t>avverkningsanmälan</t>
        </is>
      </c>
      <c r="C32" t="inlineStr">
        <is>
          <t>Föryngringsavverkning</t>
        </is>
      </c>
      <c r="D32" s="1" t="n">
        <v>46167</v>
      </c>
      <c r="E32" s="1" t="n">
        <v>46289</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69061-2021</t>
        </is>
      </c>
      <c r="B33" t="inlineStr">
        <is>
          <t>avverkningsanmälan</t>
        </is>
      </c>
      <c r="C33" t="inlineStr">
        <is>
          <t>Föryngringsavverkning</t>
        </is>
      </c>
      <c r="D33" s="1" t="n">
        <v>44529</v>
      </c>
      <c r="E33" s="1" t="n">
        <v>46289</v>
      </c>
      <c r="F33" t="inlineStr">
        <is>
          <t>DALARNAS LÄN</t>
        </is>
      </c>
      <c r="G33" t="inlineStr">
        <is>
          <t>RÄTTVIK</t>
        </is>
      </c>
      <c r="I33" t="n">
        <v>3</v>
      </c>
      <c r="J33" t="n">
        <v>1</v>
      </c>
      <c r="K33" t="n">
        <v>1</v>
      </c>
      <c r="L33" t="n">
        <v>0</v>
      </c>
      <c r="M33" t="n">
        <v>1</v>
      </c>
      <c r="N33" t="n">
        <v>0</v>
      </c>
      <c r="O33" t="n">
        <v>0</v>
      </c>
      <c r="P33" t="n">
        <v>0</v>
      </c>
      <c r="Q33" t="n">
        <v>1</v>
      </c>
      <c r="R33" t="n">
        <v>1</v>
      </c>
      <c r="S33" t="n">
        <v>2</v>
      </c>
      <c r="T33" t="n">
        <v>2</v>
      </c>
      <c r="U33" t="n">
        <v>2</v>
      </c>
      <c r="V33" s="2" t="inlineStr">
        <is>
          <t>Knärot
Mindre märgborre</t>
        </is>
      </c>
      <c r="W33">
        <f>HYPERLINK("https://klasma.github.io/Logging_2031/artfynd/A 69061-2021 artfynd.xlsx", "A 69061-2021")</f>
        <v/>
      </c>
      <c r="X33">
        <f>HYPERLINK("https://klasma.github.io/Logging_2031/kartor/A 69061-2021 karta.png", "A 69061-2021")</f>
        <v/>
      </c>
      <c r="Y33">
        <f>HYPERLINK("https://klasma.github.io/Logging_2031/kartor_geotiff/A 69061-2021 georefererad karta.tif", "A 69061-2021")</f>
        <v/>
      </c>
      <c r="Z33">
        <f>HYPERLINK("https://klasma.github.io/Logging_2031/knärot/A 69061-2021 karta knärot.png", "A 69061-2021")</f>
        <v/>
      </c>
      <c r="AA33">
        <f>HYPERLINK("https://klasma.github.io/Logging_2031/klagomål/A 69061-2021 FSC-klagomål.docx", "A 69061-2021")</f>
        <v/>
      </c>
      <c r="AB33">
        <f>HYPERLINK("https://klasma.github.io/Logging_2031/klagomålsmail/A 69061-2021 FSC-klagomål mail.docx", "A 69061-2021")</f>
        <v/>
      </c>
      <c r="AC33">
        <f>HYPERLINK("https://klasma.github.io/Logging_2031/tillsyn/A 69061-2021 tillsynsbegäran.docx", "A 69061-2021")</f>
        <v/>
      </c>
      <c r="AD33">
        <f>HYPERLINK("https://klasma.github.io/Logging_2031/tillsynsmail/A 69061-2021 tillsynsbegäran mail.docx", "A 69061-2021")</f>
        <v/>
      </c>
    </row>
    <row r="34" ht="15" customHeight="1">
      <c r="A34" t="inlineStr">
        <is>
          <t>A 12034-2024</t>
        </is>
      </c>
      <c r="B34" t="inlineStr">
        <is>
          <t>avverkningsanmälan</t>
        </is>
      </c>
      <c r="C34" t="inlineStr">
        <is>
          <t>Föryngringsavverkning</t>
        </is>
      </c>
      <c r="D34" s="1" t="n">
        <v>45377</v>
      </c>
      <c r="E34" s="1" t="n">
        <v>46289</v>
      </c>
      <c r="F34" t="inlineStr">
        <is>
          <t>DALARNAS LÄN</t>
        </is>
      </c>
      <c r="G34" t="inlineStr">
        <is>
          <t>RÄTTVIK</t>
        </is>
      </c>
      <c r="I34" t="n">
        <v>1.4</v>
      </c>
      <c r="J34" t="n">
        <v>1</v>
      </c>
      <c r="K34" t="n">
        <v>0</v>
      </c>
      <c r="L34" t="n">
        <v>0</v>
      </c>
      <c r="M34" t="n">
        <v>2</v>
      </c>
      <c r="N34" t="n">
        <v>0</v>
      </c>
      <c r="O34" t="n">
        <v>0</v>
      </c>
      <c r="P34" t="n">
        <v>0</v>
      </c>
      <c r="Q34" t="n">
        <v>2</v>
      </c>
      <c r="R34" t="n">
        <v>2</v>
      </c>
      <c r="S34" t="n">
        <v>2</v>
      </c>
      <c r="T34" t="n">
        <v>2</v>
      </c>
      <c r="U34" t="n">
        <v>2</v>
      </c>
      <c r="V34" s="2" t="inlineStr">
        <is>
          <t>Brun gräsfjäril
Violettkantad guldvinge</t>
        </is>
      </c>
      <c r="W34">
        <f>HYPERLINK("https://klasma.github.io/Logging_2031/artfynd/A 12034-2024 artfynd.xlsx", "A 12034-2024")</f>
        <v/>
      </c>
      <c r="X34">
        <f>HYPERLINK("https://klasma.github.io/Logging_2031/kartor/A 12034-2024 karta.png", "A 12034-2024")</f>
        <v/>
      </c>
      <c r="Y34">
        <f>HYPERLINK("https://klasma.github.io/Logging_2031/kartor_geotiff/A 12034-2024 georefererad karta.tif", "A 12034-2024")</f>
        <v/>
      </c>
      <c r="AA34">
        <f>HYPERLINK("https://klasma.github.io/Logging_2031/klagomål/A 12034-2024 FSC-klagomål.docx", "A 12034-2024")</f>
        <v/>
      </c>
      <c r="AB34">
        <f>HYPERLINK("https://klasma.github.io/Logging_2031/klagomålsmail/A 12034-2024 FSC-klagomål mail.docx", "A 12034-2024")</f>
        <v/>
      </c>
      <c r="AC34">
        <f>HYPERLINK("https://klasma.github.io/Logging_2031/tillsyn/A 12034-2024 tillsynsbegäran.docx", "A 12034-2024")</f>
        <v/>
      </c>
      <c r="AD34">
        <f>HYPERLINK("https://klasma.github.io/Logging_2031/tillsynsmail/A 12034-2024 tillsynsbegäran mail.docx", "A 12034-2024")</f>
        <v/>
      </c>
    </row>
    <row r="35" ht="15" customHeight="1">
      <c r="A35" t="inlineStr">
        <is>
          <t>A 16116-2024</t>
        </is>
      </c>
      <c r="B35" t="inlineStr">
        <is>
          <t>avverkningsanmälan</t>
        </is>
      </c>
      <c r="C35" t="inlineStr">
        <is>
          <t>Föryngringsavverkning</t>
        </is>
      </c>
      <c r="D35" s="1" t="n">
        <v>45406</v>
      </c>
      <c r="E35" s="1" t="n">
        <v>46289</v>
      </c>
      <c r="F35" t="inlineStr">
        <is>
          <t>DALARNAS LÄN</t>
        </is>
      </c>
      <c r="G35" t="inlineStr">
        <is>
          <t>RÄTTVIK</t>
        </is>
      </c>
      <c r="I35" t="n">
        <v>19.1</v>
      </c>
      <c r="J35" t="n">
        <v>0</v>
      </c>
      <c r="K35" t="n">
        <v>1</v>
      </c>
      <c r="L35" t="n">
        <v>1</v>
      </c>
      <c r="M35" t="n">
        <v>0</v>
      </c>
      <c r="N35" t="n">
        <v>0</v>
      </c>
      <c r="O35" t="n">
        <v>0</v>
      </c>
      <c r="P35" t="n">
        <v>0</v>
      </c>
      <c r="Q35" t="n">
        <v>1</v>
      </c>
      <c r="R35" t="n">
        <v>0</v>
      </c>
      <c r="S35" t="n">
        <v>2</v>
      </c>
      <c r="T35" t="n">
        <v>2</v>
      </c>
      <c r="U35" t="n">
        <v>0</v>
      </c>
      <c r="V35" s="2" t="inlineStr">
        <is>
          <t>Majviva
Korallblylav</t>
        </is>
      </c>
      <c r="W35">
        <f>HYPERLINK("https://klasma.github.io/Logging_2031/artfynd/A 16116-2024 artfynd.xlsx", "A 16116-2024")</f>
        <v/>
      </c>
      <c r="X35">
        <f>HYPERLINK("https://klasma.github.io/Logging_2031/kartor/A 16116-2024 karta.png", "A 16116-2024")</f>
        <v/>
      </c>
      <c r="Y35">
        <f>HYPERLINK("https://klasma.github.io/Logging_2031/kartor_geotiff/A 16116-2024 georefererad karta.tif", "A 16116-2024")</f>
        <v/>
      </c>
      <c r="AA35">
        <f>HYPERLINK("https://klasma.github.io/Logging_2031/klagomål/A 16116-2024 FSC-klagomål.docx", "A 16116-2024")</f>
        <v/>
      </c>
      <c r="AB35">
        <f>HYPERLINK("https://klasma.github.io/Logging_2031/klagomålsmail/A 16116-2024 FSC-klagomål mail.docx", "A 16116-2024")</f>
        <v/>
      </c>
      <c r="AC35">
        <f>HYPERLINK("https://klasma.github.io/Logging_2031/tillsyn/A 16116-2024 tillsynsbegäran.docx", "A 16116-2024")</f>
        <v/>
      </c>
      <c r="AD35">
        <f>HYPERLINK("https://klasma.github.io/Logging_2031/tillsynsmail/A 16116-2024 tillsynsbegäran mail.docx", "A 16116-2024")</f>
        <v/>
      </c>
    </row>
    <row r="36" ht="15" customHeight="1">
      <c r="A36" t="inlineStr">
        <is>
          <t>A 16832-2023</t>
        </is>
      </c>
      <c r="B36" t="inlineStr">
        <is>
          <t>avverkningsanmälan</t>
        </is>
      </c>
      <c r="C36" t="inlineStr">
        <is>
          <t>Föryngringsavverkning</t>
        </is>
      </c>
      <c r="D36" s="1" t="n">
        <v>45033</v>
      </c>
      <c r="E36" s="1" t="n">
        <v>46289</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23707-2023</t>
        </is>
      </c>
      <c r="B37" t="inlineStr">
        <is>
          <t>avverkningsanmälan</t>
        </is>
      </c>
      <c r="C37" t="inlineStr">
        <is>
          <t>Föryngringsavverkning</t>
        </is>
      </c>
      <c r="D37" s="1" t="n">
        <v>45077</v>
      </c>
      <c r="E37" s="1" t="n">
        <v>46289</v>
      </c>
      <c r="F37" t="inlineStr">
        <is>
          <t>DALARNAS LÄN</t>
        </is>
      </c>
      <c r="G37" t="inlineStr">
        <is>
          <t>RÄTTVIK</t>
        </is>
      </c>
      <c r="I37" t="n">
        <v>3.4</v>
      </c>
      <c r="J37" t="n">
        <v>0</v>
      </c>
      <c r="K37" t="n">
        <v>1</v>
      </c>
      <c r="L37" t="n">
        <v>1</v>
      </c>
      <c r="M37" t="n">
        <v>0</v>
      </c>
      <c r="N37" t="n">
        <v>0</v>
      </c>
      <c r="O37" t="n">
        <v>0</v>
      </c>
      <c r="P37" t="n">
        <v>0</v>
      </c>
      <c r="Q37" t="n">
        <v>1</v>
      </c>
      <c r="R37" t="n">
        <v>0</v>
      </c>
      <c r="S37" t="n">
        <v>2</v>
      </c>
      <c r="T37" t="n">
        <v>2</v>
      </c>
      <c r="U37" t="n">
        <v>0</v>
      </c>
      <c r="V37" s="2" t="inlineStr">
        <is>
          <t>Ullticka
Vedticka</t>
        </is>
      </c>
      <c r="W37">
        <f>HYPERLINK("https://klasma.github.io/Logging_2031/artfynd/A 23707-2023 artfynd.xlsx", "A 23707-2023")</f>
        <v/>
      </c>
      <c r="X37">
        <f>HYPERLINK("https://klasma.github.io/Logging_2031/kartor/A 23707-2023 karta.png", "A 23707-2023")</f>
        <v/>
      </c>
      <c r="Y37">
        <f>HYPERLINK("https://klasma.github.io/Logging_2031/kartor_geotiff/A 23707-2023 georefererad karta.tif", "A 23707-2023")</f>
        <v/>
      </c>
      <c r="AA37">
        <f>HYPERLINK("https://klasma.github.io/Logging_2031/klagomål/A 23707-2023 FSC-klagomål.docx", "A 23707-2023")</f>
        <v/>
      </c>
      <c r="AB37">
        <f>HYPERLINK("https://klasma.github.io/Logging_2031/klagomålsmail/A 23707-2023 FSC-klagomål mail.docx", "A 23707-2023")</f>
        <v/>
      </c>
      <c r="AC37">
        <f>HYPERLINK("https://klasma.github.io/Logging_2031/tillsyn/A 23707-2023 tillsynsbegäran.docx", "A 23707-2023")</f>
        <v/>
      </c>
      <c r="AD37">
        <f>HYPERLINK("https://klasma.github.io/Logging_2031/tillsynsmail/A 23707-2023 tillsynsbegäran mail.docx", "A 23707-2023")</f>
        <v/>
      </c>
    </row>
    <row r="38" ht="15" customHeight="1">
      <c r="A38" t="inlineStr">
        <is>
          <t>A 29511-2025</t>
        </is>
      </c>
      <c r="B38" t="inlineStr">
        <is>
          <t>avverkningsanmälan</t>
        </is>
      </c>
      <c r="C38" t="inlineStr">
        <is>
          <t>Föryngringsavverkning</t>
        </is>
      </c>
      <c r="D38" s="1" t="n">
        <v>45825</v>
      </c>
      <c r="E38" s="1" t="n">
        <v>46289</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46289</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38556-2026</t>
        </is>
      </c>
      <c r="B40" t="inlineStr">
        <is>
          <t>avverkningsanmälan</t>
        </is>
      </c>
      <c r="C40" t="inlineStr">
        <is>
          <t>Föryngringsavverkning</t>
        </is>
      </c>
      <c r="D40" s="1" t="n">
        <v>46283</v>
      </c>
      <c r="E40" s="1" t="n">
        <v>46289</v>
      </c>
      <c r="F40" t="inlineStr">
        <is>
          <t>DALARNAS LÄN</t>
        </is>
      </c>
      <c r="G40" t="inlineStr">
        <is>
          <t>RÄTTVIK</t>
        </is>
      </c>
      <c r="H40" t="inlineStr">
        <is>
          <t>Sveaskog</t>
        </is>
      </c>
      <c r="I40" t="n">
        <v>1.6</v>
      </c>
      <c r="J40" t="n">
        <v>0</v>
      </c>
      <c r="K40" t="n">
        <v>0</v>
      </c>
      <c r="L40" t="n">
        <v>2</v>
      </c>
      <c r="M40" t="n">
        <v>0</v>
      </c>
      <c r="N40" t="n">
        <v>0</v>
      </c>
      <c r="O40" t="n">
        <v>0</v>
      </c>
      <c r="P40" t="n">
        <v>0</v>
      </c>
      <c r="Q40" t="n">
        <v>2</v>
      </c>
      <c r="R40" t="n">
        <v>0</v>
      </c>
      <c r="S40" t="n">
        <v>2</v>
      </c>
      <c r="T40" t="n">
        <v>3</v>
      </c>
      <c r="U40" t="n">
        <v>0</v>
      </c>
      <c r="V40" s="2" t="inlineStr">
        <is>
          <t>Dropptaggsvamp
Skarp dropptaggsvamp</t>
        </is>
      </c>
      <c r="W40">
        <f>HYPERLINK("https://klasma.github.io/Logging_2031/artfynd/A 38556-2026 artfynd.xlsx", "A 38556-2026")</f>
        <v/>
      </c>
      <c r="X40">
        <f>HYPERLINK("https://klasma.github.io/Logging_2031/kartor/A 38556-2026 karta.png", "A 38556-2026")</f>
        <v/>
      </c>
      <c r="Y40">
        <f>HYPERLINK("https://klasma.github.io/Logging_2031/kartor_geotiff/A 38556-2026 georefererad karta.tif", "A 38556-2026")</f>
        <v/>
      </c>
      <c r="AA40">
        <f>HYPERLINK("https://klasma.github.io/Logging_2031/klagomål/A 38556-2026 FSC-klagomål.docx", "A 38556-2026")</f>
        <v/>
      </c>
      <c r="AB40">
        <f>HYPERLINK("https://klasma.github.io/Logging_2031/klagomålsmail/A 38556-2026 FSC-klagomål mail.docx", "A 38556-2026")</f>
        <v/>
      </c>
      <c r="AC40">
        <f>HYPERLINK("https://klasma.github.io/Logging_2031/tillsyn/A 38556-2026 tillsynsbegäran.docx", "A 38556-2026")</f>
        <v/>
      </c>
      <c r="AD40">
        <f>HYPERLINK("https://klasma.github.io/Logging_2031/tillsynsmail/A 38556-2026 tillsynsbegäran mail.docx", "A 38556-2026")</f>
        <v/>
      </c>
    </row>
    <row r="41" ht="15" customHeight="1">
      <c r="A41" t="inlineStr">
        <is>
          <t>A 34241-2025</t>
        </is>
      </c>
      <c r="B41" t="inlineStr">
        <is>
          <t>avverkningsanmälan</t>
        </is>
      </c>
      <c r="C41" t="inlineStr">
        <is>
          <t>Föryngringsavverkning</t>
        </is>
      </c>
      <c r="D41" s="1" t="n">
        <v>45845</v>
      </c>
      <c r="E41" s="1" t="n">
        <v>46289</v>
      </c>
      <c r="F41" t="inlineStr">
        <is>
          <t>DALARNAS LÄN</t>
        </is>
      </c>
      <c r="G41" t="inlineStr">
        <is>
          <t>RÄTTVIK</t>
        </is>
      </c>
      <c r="H41" t="inlineStr">
        <is>
          <t>Sveaskog</t>
        </is>
      </c>
      <c r="I41" t="n">
        <v>23.4</v>
      </c>
      <c r="J41" t="n">
        <v>0</v>
      </c>
      <c r="K41" t="n">
        <v>0</v>
      </c>
      <c r="L41" t="n">
        <v>2</v>
      </c>
      <c r="M41" t="n">
        <v>0</v>
      </c>
      <c r="N41" t="n">
        <v>0</v>
      </c>
      <c r="O41" t="n">
        <v>0</v>
      </c>
      <c r="P41" t="n">
        <v>0</v>
      </c>
      <c r="Q41" t="n">
        <v>2</v>
      </c>
      <c r="R41" t="n">
        <v>0</v>
      </c>
      <c r="S41" t="n">
        <v>2</v>
      </c>
      <c r="T41" t="n">
        <v>2</v>
      </c>
      <c r="U41" t="n">
        <v>2</v>
      </c>
      <c r="V41" s="2" t="inlineStr">
        <is>
          <t>Kolflarnlav
Mörk kolflarnlav</t>
        </is>
      </c>
      <c r="W41">
        <f>HYPERLINK("https://klasma.github.io/Logging_2031/artfynd/A 34241-2025 artfynd.xlsx", "A 34241-2025")</f>
        <v/>
      </c>
      <c r="X41">
        <f>HYPERLINK("https://klasma.github.io/Logging_2031/kartor/A 34241-2025 karta.png", "A 34241-2025")</f>
        <v/>
      </c>
      <c r="Y41">
        <f>HYPERLINK("https://klasma.github.io/Logging_2031/kartor_geotiff/A 34241-2025 georefererad karta.tif", "A 34241-2025")</f>
        <v/>
      </c>
      <c r="AA41">
        <f>HYPERLINK("https://klasma.github.io/Logging_2031/klagomål/A 34241-2025 FSC-klagomål.docx", "A 34241-2025")</f>
        <v/>
      </c>
      <c r="AB41">
        <f>HYPERLINK("https://klasma.github.io/Logging_2031/klagomålsmail/A 34241-2025 FSC-klagomål mail.docx", "A 34241-2025")</f>
        <v/>
      </c>
      <c r="AC41">
        <f>HYPERLINK("https://klasma.github.io/Logging_2031/tillsyn/A 34241-2025 tillsynsbegäran.docx", "A 34241-2025")</f>
        <v/>
      </c>
      <c r="AD41">
        <f>HYPERLINK("https://klasma.github.io/Logging_2031/tillsynsmail/A 34241-2025 tillsynsbegäran mail.docx", "A 34241-2025")</f>
        <v/>
      </c>
    </row>
    <row r="42" ht="15" customHeight="1">
      <c r="A42" t="inlineStr">
        <is>
          <t>A 51519-2023</t>
        </is>
      </c>
      <c r="B42" t="inlineStr">
        <is>
          <t>avverkningsanmälan</t>
        </is>
      </c>
      <c r="C42" t="inlineStr">
        <is>
          <t>Föryngringsavverkning</t>
        </is>
      </c>
      <c r="D42" s="1" t="n">
        <v>45222</v>
      </c>
      <c r="E42" s="1" t="n">
        <v>46289</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821-2025</t>
        </is>
      </c>
      <c r="B43" t="inlineStr">
        <is>
          <t>avverkningsanmälan</t>
        </is>
      </c>
      <c r="C43" t="inlineStr">
        <is>
          <t>Föryngringsavverkning</t>
        </is>
      </c>
      <c r="D43" s="1" t="n">
        <v>45665</v>
      </c>
      <c r="E43" s="1" t="n">
        <v>46289</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t="n">
        <v>2</v>
      </c>
      <c r="V43" s="2" t="inlineStr">
        <is>
          <t>Tvåblad
Huggorm</t>
        </is>
      </c>
      <c r="W43">
        <f>HYPERLINK("https://klasma.github.io/Logging_2031/artfynd/A 821-2025 artfynd.xlsx", "A 821-2025")</f>
        <v/>
      </c>
      <c r="X43">
        <f>HYPERLINK("https://klasma.github.io/Logging_2031/kartor/A 821-2025 karta.png", "A 821-2025")</f>
        <v/>
      </c>
      <c r="Y43">
        <f>HYPERLINK("https://klasma.github.io/Logging_2031/kartor_geotiff/A 821-2025 georefererad karta.tif", "A 821-2025")</f>
        <v/>
      </c>
      <c r="AA43">
        <f>HYPERLINK("https://klasma.github.io/Logging_2031/klagomål/A 821-2025 FSC-klagomål.docx", "A 821-2025")</f>
        <v/>
      </c>
      <c r="AB43">
        <f>HYPERLINK("https://klasma.github.io/Logging_2031/klagomålsmail/A 821-2025 FSC-klagomål mail.docx", "A 821-2025")</f>
        <v/>
      </c>
      <c r="AC43">
        <f>HYPERLINK("https://klasma.github.io/Logging_2031/tillsyn/A 821-2025 tillsynsbegäran.docx", "A 821-2025")</f>
        <v/>
      </c>
      <c r="AD43">
        <f>HYPERLINK("https://klasma.github.io/Logging_2031/tillsynsmail/A 821-2025 tillsynsbegäran mail.docx", "A 821-2025")</f>
        <v/>
      </c>
    </row>
    <row r="44" ht="15" customHeight="1">
      <c r="A44" t="inlineStr">
        <is>
          <t>A 19958-2025</t>
        </is>
      </c>
      <c r="B44" t="inlineStr">
        <is>
          <t>avverkningsanmälan</t>
        </is>
      </c>
      <c r="C44" t="inlineStr">
        <is>
          <t>Föryngringsavverkning</t>
        </is>
      </c>
      <c r="D44" s="1" t="n">
        <v>45771</v>
      </c>
      <c r="E44" s="1" t="n">
        <v>46289</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t="n">
        <v>2</v>
      </c>
      <c r="V44" s="2" t="inlineStr">
        <is>
          <t>Knärot
Orange taggsvamp</t>
        </is>
      </c>
      <c r="W44">
        <f>HYPERLINK("https://klasma.github.io/Logging_2031/artfynd/A 19958-2025 artfynd.xlsx", "A 19958-2025")</f>
        <v/>
      </c>
      <c r="X44">
        <f>HYPERLINK("https://klasma.github.io/Logging_2031/kartor/A 19958-2025 karta.png", "A 19958-2025")</f>
        <v/>
      </c>
      <c r="Y44">
        <f>HYPERLINK("https://klasma.github.io/Logging_2031/kartor_geotiff/A 19958-2025 georefererad karta.tif", "A 19958-2025")</f>
        <v/>
      </c>
      <c r="Z44">
        <f>HYPERLINK("https://klasma.github.io/Logging_2031/knärot/A 19958-2025 karta knärot.png", "A 19958-2025")</f>
        <v/>
      </c>
      <c r="AA44">
        <f>HYPERLINK("https://klasma.github.io/Logging_2031/klagomål/A 19958-2025 FSC-klagomål.docx", "A 19958-2025")</f>
        <v/>
      </c>
      <c r="AB44">
        <f>HYPERLINK("https://klasma.github.io/Logging_2031/klagomålsmail/A 19958-2025 FSC-klagomål mail.docx", "A 19958-2025")</f>
        <v/>
      </c>
      <c r="AC44">
        <f>HYPERLINK("https://klasma.github.io/Logging_2031/tillsyn/A 19958-2025 tillsynsbegäran.docx", "A 19958-2025")</f>
        <v/>
      </c>
      <c r="AD44">
        <f>HYPERLINK("https://klasma.github.io/Logging_2031/tillsynsmail/A 19958-2025 tillsynsbegäran mail.docx", "A 19958-2025")</f>
        <v/>
      </c>
    </row>
    <row r="45" ht="15" customHeight="1">
      <c r="A45" t="inlineStr">
        <is>
          <t>A 27338-2026</t>
        </is>
      </c>
      <c r="B45" t="inlineStr">
        <is>
          <t>avverkningsanmälan</t>
        </is>
      </c>
      <c r="C45" t="inlineStr">
        <is>
          <t>Föryngringsavverkning</t>
        </is>
      </c>
      <c r="D45" s="1" t="n">
        <v>46188</v>
      </c>
      <c r="E45" s="1" t="n">
        <v>46289</v>
      </c>
      <c r="F45" t="inlineStr">
        <is>
          <t>DALARNAS LÄN</t>
        </is>
      </c>
      <c r="G45" t="inlineStr">
        <is>
          <t>RÄTTVIK</t>
        </is>
      </c>
      <c r="H45" t="inlineStr">
        <is>
          <t>Bergvik skog väst AB</t>
        </is>
      </c>
      <c r="I45" t="n">
        <v>2.4</v>
      </c>
      <c r="J45" t="n">
        <v>0</v>
      </c>
      <c r="K45" t="n">
        <v>0</v>
      </c>
      <c r="L45" t="n">
        <v>2</v>
      </c>
      <c r="M45" t="n">
        <v>0</v>
      </c>
      <c r="N45" t="n">
        <v>0</v>
      </c>
      <c r="O45" t="n">
        <v>0</v>
      </c>
      <c r="P45" t="n">
        <v>0</v>
      </c>
      <c r="Q45" t="n">
        <v>2</v>
      </c>
      <c r="R45" t="n">
        <v>0</v>
      </c>
      <c r="S45" t="n">
        <v>2</v>
      </c>
      <c r="T45" t="n">
        <v>2</v>
      </c>
      <c r="U45" t="n">
        <v>0</v>
      </c>
      <c r="V45" s="2" t="inlineStr">
        <is>
          <t>Mörk kolflarnlav
Vedskivlav</t>
        </is>
      </c>
      <c r="W45">
        <f>HYPERLINK("https://klasma.github.io/Logging_2031/artfynd/A 27338-2026 artfynd.xlsx", "A 27338-2026")</f>
        <v/>
      </c>
      <c r="X45">
        <f>HYPERLINK("https://klasma.github.io/Logging_2031/kartor/A 27338-2026 karta.png", "A 27338-2026")</f>
        <v/>
      </c>
      <c r="Y45">
        <f>HYPERLINK("https://klasma.github.io/Logging_2031/kartor_geotiff/A 27338-2026 georefererad karta.tif", "A 27338-2026")</f>
        <v/>
      </c>
      <c r="AA45">
        <f>HYPERLINK("https://klasma.github.io/Logging_2031/klagomål/A 27338-2026 FSC-klagomål.docx", "A 27338-2026")</f>
        <v/>
      </c>
      <c r="AB45">
        <f>HYPERLINK("https://klasma.github.io/Logging_2031/klagomålsmail/A 27338-2026 FSC-klagomål mail.docx", "A 27338-2026")</f>
        <v/>
      </c>
      <c r="AC45">
        <f>HYPERLINK("https://klasma.github.io/Logging_2031/tillsyn/A 27338-2026 tillsynsbegäran.docx", "A 27338-2026")</f>
        <v/>
      </c>
      <c r="AD45">
        <f>HYPERLINK("https://klasma.github.io/Logging_2031/tillsynsmail/A 27338-2026 tillsynsbegäran mail.docx", "A 27338-2026")</f>
        <v/>
      </c>
    </row>
    <row r="46" ht="15" customHeight="1">
      <c r="A46" t="inlineStr">
        <is>
          <t>A 37126-2026</t>
        </is>
      </c>
      <c r="B46" t="inlineStr">
        <is>
          <t>avverkningsanmälan</t>
        </is>
      </c>
      <c r="C46" t="inlineStr">
        <is>
          <t>Föryngringsavverkning</t>
        </is>
      </c>
      <c r="D46" s="1" t="n">
        <v>46274</v>
      </c>
      <c r="E46" s="1" t="n">
        <v>46289</v>
      </c>
      <c r="F46" t="inlineStr">
        <is>
          <t>DALARNAS LÄN</t>
        </is>
      </c>
      <c r="G46" t="inlineStr">
        <is>
          <t>RÄTTVIK</t>
        </is>
      </c>
      <c r="H46" t="inlineStr">
        <is>
          <t>Sveaskog</t>
        </is>
      </c>
      <c r="I46" t="n">
        <v>8.6</v>
      </c>
      <c r="J46" t="n">
        <v>1</v>
      </c>
      <c r="K46" t="n">
        <v>1</v>
      </c>
      <c r="L46" t="n">
        <v>1</v>
      </c>
      <c r="M46" t="n">
        <v>0</v>
      </c>
      <c r="N46" t="n">
        <v>0</v>
      </c>
      <c r="O46" t="n">
        <v>0</v>
      </c>
      <c r="P46" t="n">
        <v>0</v>
      </c>
      <c r="Q46" t="n">
        <v>1</v>
      </c>
      <c r="R46" t="n">
        <v>0</v>
      </c>
      <c r="S46" t="n">
        <v>2</v>
      </c>
      <c r="T46" t="n">
        <v>2</v>
      </c>
      <c r="U46" t="n">
        <v>0</v>
      </c>
      <c r="V46" s="2" t="inlineStr">
        <is>
          <t>Kolflarnlav
Plattlummer</t>
        </is>
      </c>
      <c r="W46">
        <f>HYPERLINK("https://klasma.github.io/Logging_2031/artfynd/A 37126-2026 artfynd.xlsx", "A 37126-2026")</f>
        <v/>
      </c>
      <c r="X46">
        <f>HYPERLINK("https://klasma.github.io/Logging_2031/kartor/A 37126-2026 karta.png", "A 37126-2026")</f>
        <v/>
      </c>
      <c r="Y46">
        <f>HYPERLINK("https://klasma.github.io/Logging_2031/kartor_geotiff/A 37126-2026 georefererad karta.tif", "A 37126-2026")</f>
        <v/>
      </c>
      <c r="AA46">
        <f>HYPERLINK("https://klasma.github.io/Logging_2031/klagomål/A 37126-2026 FSC-klagomål.docx", "A 37126-2026")</f>
        <v/>
      </c>
      <c r="AB46">
        <f>HYPERLINK("https://klasma.github.io/Logging_2031/klagomålsmail/A 37126-2026 FSC-klagomål mail.docx", "A 37126-2026")</f>
        <v/>
      </c>
      <c r="AC46">
        <f>HYPERLINK("https://klasma.github.io/Logging_2031/tillsyn/A 37126-2026 tillsynsbegäran.docx", "A 37126-2026")</f>
        <v/>
      </c>
      <c r="AD46">
        <f>HYPERLINK("https://klasma.github.io/Logging_2031/tillsynsmail/A 37126-2026 tillsynsbegäran mail.docx", "A 37126-2026")</f>
        <v/>
      </c>
    </row>
    <row r="47" ht="15" customHeight="1">
      <c r="A47" t="inlineStr">
        <is>
          <t>S 389-2022</t>
        </is>
      </c>
      <c r="B47" t="inlineStr">
        <is>
          <t>samrådsanmälan</t>
        </is>
      </c>
      <c r="C47" t="inlineStr">
        <is>
          <t>Skogsgödsling</t>
        </is>
      </c>
      <c r="D47" s="1" t="n">
        <v>44582</v>
      </c>
      <c r="E47" s="1" t="n">
        <v>46289</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46289</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46289</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46289</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46289</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46289</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46289</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46289</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46289</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46289</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22026-2025</t>
        </is>
      </c>
      <c r="B57" t="inlineStr">
        <is>
          <t>avverkningsanmälan</t>
        </is>
      </c>
      <c r="C57" t="inlineStr">
        <is>
          <t>Föryngringsavverkning</t>
        </is>
      </c>
      <c r="D57" s="1" t="n">
        <v>45784</v>
      </c>
      <c r="E57" s="1" t="n">
        <v>46289</v>
      </c>
      <c r="F57" t="inlineStr">
        <is>
          <t>DALARNAS LÄN</t>
        </is>
      </c>
      <c r="G57" t="inlineStr">
        <is>
          <t>RÄTTVIK</t>
        </is>
      </c>
      <c r="I57" t="n">
        <v>6.7</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HYPERLINK("https://klasma.github.io/Logging_2031/artfynd/A 22026-2025 artfynd.xlsx", "A 22026-2025")</f>
        <v/>
      </c>
      <c r="X57">
        <f>HYPERLINK("https://klasma.github.io/Logging_2031/kartor/A 22026-2025 karta.png", "A 22026-2025")</f>
        <v/>
      </c>
      <c r="Y57">
        <f>HYPERLINK("https://klasma.github.io/Logging_2031/kartor_geotiff/A 22026-2025 georefererad karta.tif", "A 22026-2025")</f>
        <v/>
      </c>
      <c r="AA57">
        <f>HYPERLINK("https://klasma.github.io/Logging_2031/klagomål/A 22026-2025 FSC-klagomål.docx", "A 22026-2025")</f>
        <v/>
      </c>
      <c r="AB57">
        <f>HYPERLINK("https://klasma.github.io/Logging_2031/klagomålsmail/A 22026-2025 FSC-klagomål mail.docx", "A 22026-2025")</f>
        <v/>
      </c>
      <c r="AC57">
        <f>HYPERLINK("https://klasma.github.io/Logging_2031/tillsyn/A 22026-2025 tillsynsbegäran.docx", "A 22026-2025")</f>
        <v/>
      </c>
      <c r="AD57">
        <f>HYPERLINK("https://klasma.github.io/Logging_2031/tillsynsmail/A 22026-2025 tillsynsbegäran mail.docx", "A 22026-2025")</f>
        <v/>
      </c>
    </row>
    <row r="58" ht="15" customHeight="1">
      <c r="A58" t="inlineStr">
        <is>
          <t>A 30368-2024</t>
        </is>
      </c>
      <c r="B58" t="inlineStr">
        <is>
          <t>avverkningsanmälan</t>
        </is>
      </c>
      <c r="C58" t="inlineStr">
        <is>
          <t>Avverkning för annat ändamål</t>
        </is>
      </c>
      <c r="D58" s="1" t="n">
        <v>45490</v>
      </c>
      <c r="E58" s="1" t="n">
        <v>46289</v>
      </c>
      <c r="F58" t="inlineStr">
        <is>
          <t>DALARNAS LÄN</t>
        </is>
      </c>
      <c r="G58" t="inlineStr">
        <is>
          <t>RÄTTVIK</t>
        </is>
      </c>
      <c r="I58" t="n">
        <v>16.5</v>
      </c>
      <c r="J58" t="n">
        <v>0</v>
      </c>
      <c r="K58" t="n">
        <v>1</v>
      </c>
      <c r="L58" t="n">
        <v>0</v>
      </c>
      <c r="M58" t="n">
        <v>0</v>
      </c>
      <c r="N58" t="n">
        <v>0</v>
      </c>
      <c r="O58" t="n">
        <v>0</v>
      </c>
      <c r="P58" t="n">
        <v>0</v>
      </c>
      <c r="Q58" t="n">
        <v>0</v>
      </c>
      <c r="R58" t="n">
        <v>0</v>
      </c>
      <c r="S58" t="n">
        <v>1</v>
      </c>
      <c r="T58" t="n">
        <v>2</v>
      </c>
      <c r="U58" t="n">
        <v>0</v>
      </c>
      <c r="V58" s="2" t="inlineStr">
        <is>
          <t>Svart trolldruva</t>
        </is>
      </c>
      <c r="W58">
        <f>HYPERLINK("https://klasma.github.io/Logging_2031/artfynd/A 30368-2024 artfynd.xlsx", "A 30368-2024")</f>
        <v/>
      </c>
      <c r="X58">
        <f>HYPERLINK("https://klasma.github.io/Logging_2031/kartor/A 30368-2024 karta.png", "A 30368-2024")</f>
        <v/>
      </c>
      <c r="Y58">
        <f>HYPERLINK("https://klasma.github.io/Logging_2031/kartor_geotiff/A 30368-2024 georefererad karta.tif", "A 30368-2024")</f>
        <v/>
      </c>
      <c r="AA58">
        <f>HYPERLINK("https://klasma.github.io/Logging_2031/klagomål/A 30368-2024 FSC-klagomål.docx", "A 30368-2024")</f>
        <v/>
      </c>
      <c r="AB58">
        <f>HYPERLINK("https://klasma.github.io/Logging_2031/klagomålsmail/A 30368-2024 FSC-klagomål mail.docx", "A 30368-2024")</f>
        <v/>
      </c>
      <c r="AC58">
        <f>HYPERLINK("https://klasma.github.io/Logging_2031/tillsyn/A 30368-2024 tillsynsbegäran.docx", "A 30368-2024")</f>
        <v/>
      </c>
      <c r="AD58">
        <f>HYPERLINK("https://klasma.github.io/Logging_2031/tillsynsmail/A 30368-2024 tillsynsbegäran mail.docx", "A 30368-2024")</f>
        <v/>
      </c>
    </row>
    <row r="59" ht="15" customHeight="1">
      <c r="A59" t="inlineStr">
        <is>
          <t>A 5690-2025</t>
        </is>
      </c>
      <c r="B59" t="inlineStr">
        <is>
          <t>avverkningsanmälan</t>
        </is>
      </c>
      <c r="C59" t="inlineStr">
        <is>
          <t>Avverkning för annat ändamål</t>
        </is>
      </c>
      <c r="D59" s="1" t="n">
        <v>45694</v>
      </c>
      <c r="E59" s="1" t="n">
        <v>46289</v>
      </c>
      <c r="F59" t="inlineStr">
        <is>
          <t>DALARNAS LÄN</t>
        </is>
      </c>
      <c r="G59" t="inlineStr">
        <is>
          <t>RÄTTVIK</t>
        </is>
      </c>
      <c r="H59" t="inlineStr">
        <is>
          <t>Bergvik skog väst AB</t>
        </is>
      </c>
      <c r="I59" t="n">
        <v>1.7</v>
      </c>
      <c r="J59" t="n">
        <v>1</v>
      </c>
      <c r="K59" t="n">
        <v>0</v>
      </c>
      <c r="L59" t="n">
        <v>0</v>
      </c>
      <c r="M59" t="n">
        <v>0</v>
      </c>
      <c r="N59" t="n">
        <v>0</v>
      </c>
      <c r="O59" t="n">
        <v>0</v>
      </c>
      <c r="P59" t="n">
        <v>0</v>
      </c>
      <c r="Q59" t="n">
        <v>0</v>
      </c>
      <c r="R59" t="n">
        <v>0</v>
      </c>
      <c r="S59" t="n">
        <v>1</v>
      </c>
      <c r="T59" t="n">
        <v>1</v>
      </c>
      <c r="U59" t="n">
        <v>0</v>
      </c>
      <c r="V59" s="2" t="inlineStr">
        <is>
          <t>Tjäder</t>
        </is>
      </c>
      <c r="W59">
        <f>HYPERLINK("https://klasma.github.io/Logging_2031/artfynd/A 5690-2025 artfynd.xlsx", "A 5690-2025")</f>
        <v/>
      </c>
      <c r="X59">
        <f>HYPERLINK("https://klasma.github.io/Logging_2031/kartor/A 5690-2025 karta.png", "A 5690-2025")</f>
        <v/>
      </c>
      <c r="Y59">
        <f>HYPERLINK("https://klasma.github.io/Logging_2031/kartor_geotiff/A 5690-2025 georefererad karta.tif", "A 5690-2025")</f>
        <v/>
      </c>
      <c r="AA59">
        <f>HYPERLINK("https://klasma.github.io/Logging_2031/klagomål/A 5690-2025 FSC-klagomål.docx", "A 5690-2025")</f>
        <v/>
      </c>
      <c r="AB59">
        <f>HYPERLINK("https://klasma.github.io/Logging_2031/klagomålsmail/A 5690-2025 FSC-klagomål mail.docx", "A 5690-2025")</f>
        <v/>
      </c>
      <c r="AC59">
        <f>HYPERLINK("https://klasma.github.io/Logging_2031/tillsyn/A 5690-2025 tillsynsbegäran.docx", "A 5690-2025")</f>
        <v/>
      </c>
      <c r="AD59">
        <f>HYPERLINK("https://klasma.github.io/Logging_2031/tillsynsmail/A 5690-2025 tillsynsbegäran mail.docx", "A 5690-2025")</f>
        <v/>
      </c>
      <c r="AE59">
        <f>HYPERLINK("https://klasma.github.io/Logging_2031/fåglar/A 5690-2025 prioriterade fågelarter.docx", "A 5690-2025")</f>
        <v/>
      </c>
    </row>
    <row r="60" ht="15" customHeight="1">
      <c r="A60" t="inlineStr">
        <is>
          <t>A 64451-2021</t>
        </is>
      </c>
      <c r="B60" t="inlineStr">
        <is>
          <t>avverkningsanmälan</t>
        </is>
      </c>
      <c r="C60" t="inlineStr">
        <is>
          <t>Föryngringsavverkning</t>
        </is>
      </c>
      <c r="D60" s="1" t="n">
        <v>44511</v>
      </c>
      <c r="E60" s="1" t="n">
        <v>46289</v>
      </c>
      <c r="F60" t="inlineStr">
        <is>
          <t>DALARNAS LÄN</t>
        </is>
      </c>
      <c r="G60" t="inlineStr">
        <is>
          <t>RÄTTVIK</t>
        </is>
      </c>
      <c r="I60" t="n">
        <v>1.3</v>
      </c>
      <c r="J60" t="n">
        <v>0</v>
      </c>
      <c r="K60" t="n">
        <v>0</v>
      </c>
      <c r="L60" t="n">
        <v>1</v>
      </c>
      <c r="M60" t="n">
        <v>0</v>
      </c>
      <c r="N60" t="n">
        <v>0</v>
      </c>
      <c r="O60" t="n">
        <v>0</v>
      </c>
      <c r="P60" t="n">
        <v>0</v>
      </c>
      <c r="Q60" t="n">
        <v>1</v>
      </c>
      <c r="R60" t="n">
        <v>0</v>
      </c>
      <c r="S60" t="n">
        <v>1</v>
      </c>
      <c r="T60" t="n">
        <v>1</v>
      </c>
      <c r="U60" t="n">
        <v>0</v>
      </c>
      <c r="V60" s="2" t="inlineStr">
        <is>
          <t>Kandelabersvamp</t>
        </is>
      </c>
      <c r="W60">
        <f>HYPERLINK("https://klasma.github.io/Logging_2031/artfynd/A 64451-2021 artfynd.xlsx", "A 64451-2021")</f>
        <v/>
      </c>
      <c r="X60">
        <f>HYPERLINK("https://klasma.github.io/Logging_2031/kartor/A 64451-2021 karta.png", "A 64451-2021")</f>
        <v/>
      </c>
      <c r="Y60">
        <f>HYPERLINK("https://klasma.github.io/Logging_2031/kartor_geotiff/A 64451-2021 georefererad karta.tif", "A 64451-2021")</f>
        <v/>
      </c>
      <c r="AA60">
        <f>HYPERLINK("https://klasma.github.io/Logging_2031/klagomål/A 64451-2021 FSC-klagomål.docx", "A 64451-2021")</f>
        <v/>
      </c>
      <c r="AB60">
        <f>HYPERLINK("https://klasma.github.io/Logging_2031/klagomålsmail/A 64451-2021 FSC-klagomål mail.docx", "A 64451-2021")</f>
        <v/>
      </c>
      <c r="AC60">
        <f>HYPERLINK("https://klasma.github.io/Logging_2031/tillsyn/A 64451-2021 tillsynsbegäran.docx", "A 64451-2021")</f>
        <v/>
      </c>
      <c r="AD60">
        <f>HYPERLINK("https://klasma.github.io/Logging_2031/tillsynsmail/A 64451-2021 tillsynsbegäran mail.docx", "A 64451-2021")</f>
        <v/>
      </c>
    </row>
    <row r="61" ht="15" customHeight="1">
      <c r="A61" t="inlineStr">
        <is>
          <t>A 16818-2024</t>
        </is>
      </c>
      <c r="B61" t="inlineStr">
        <is>
          <t>avverkningsanmälan</t>
        </is>
      </c>
      <c r="C61" t="inlineStr">
        <is>
          <t>Föryngringsavverkning</t>
        </is>
      </c>
      <c r="D61" s="1" t="n">
        <v>45411</v>
      </c>
      <c r="E61" s="1" t="n">
        <v>46289</v>
      </c>
      <c r="F61" t="inlineStr">
        <is>
          <t>DALARNAS LÄN</t>
        </is>
      </c>
      <c r="G61" t="inlineStr">
        <is>
          <t>RÄTTVIK</t>
        </is>
      </c>
      <c r="H61" t="inlineStr">
        <is>
          <t>Sveaskog</t>
        </is>
      </c>
      <c r="I61" t="n">
        <v>2.5</v>
      </c>
      <c r="J61" t="n">
        <v>1</v>
      </c>
      <c r="K61" t="n">
        <v>1</v>
      </c>
      <c r="L61" t="n">
        <v>0</v>
      </c>
      <c r="M61" t="n">
        <v>0</v>
      </c>
      <c r="N61" t="n">
        <v>0</v>
      </c>
      <c r="O61" t="n">
        <v>0</v>
      </c>
      <c r="P61" t="n">
        <v>0</v>
      </c>
      <c r="Q61" t="n">
        <v>0</v>
      </c>
      <c r="R61" t="n">
        <v>0</v>
      </c>
      <c r="S61" t="n">
        <v>1</v>
      </c>
      <c r="T61" t="n">
        <v>1</v>
      </c>
      <c r="U61" t="n">
        <v>1</v>
      </c>
      <c r="V61" s="2" t="inlineStr">
        <is>
          <t>Plattlummer</t>
        </is>
      </c>
      <c r="W61">
        <f>HYPERLINK("https://klasma.github.io/Logging_2031/artfynd/A 16818-2024 artfynd.xlsx", "A 16818-2024")</f>
        <v/>
      </c>
      <c r="X61">
        <f>HYPERLINK("https://klasma.github.io/Logging_2031/kartor/A 16818-2024 karta.png", "A 16818-2024")</f>
        <v/>
      </c>
      <c r="Y61">
        <f>HYPERLINK("https://klasma.github.io/Logging_2031/kartor_geotiff/A 16818-2024 georefererad karta.tif", "A 16818-2024")</f>
        <v/>
      </c>
      <c r="AA61">
        <f>HYPERLINK("https://klasma.github.io/Logging_2031/klagomål/A 16818-2024 FSC-klagomål.docx", "A 16818-2024")</f>
        <v/>
      </c>
      <c r="AB61">
        <f>HYPERLINK("https://klasma.github.io/Logging_2031/klagomålsmail/A 16818-2024 FSC-klagomål mail.docx", "A 16818-2024")</f>
        <v/>
      </c>
      <c r="AC61">
        <f>HYPERLINK("https://klasma.github.io/Logging_2031/tillsyn/A 16818-2024 tillsynsbegäran.docx", "A 16818-2024")</f>
        <v/>
      </c>
      <c r="AD61">
        <f>HYPERLINK("https://klasma.github.io/Logging_2031/tillsynsmail/A 16818-2024 tillsynsbegäran mail.docx", "A 16818-2024")</f>
        <v/>
      </c>
    </row>
    <row r="62" ht="15" customHeight="1">
      <c r="A62" t="inlineStr">
        <is>
          <t>A 10317-2024</t>
        </is>
      </c>
      <c r="B62" t="inlineStr">
        <is>
          <t>avverkningsanmälan</t>
        </is>
      </c>
      <c r="C62" t="inlineStr">
        <is>
          <t>Föryngringsavverkning</t>
        </is>
      </c>
      <c r="D62" s="1" t="n">
        <v>45365</v>
      </c>
      <c r="E62" s="1" t="n">
        <v>46289</v>
      </c>
      <c r="F62" t="inlineStr">
        <is>
          <t>DALARNAS LÄN</t>
        </is>
      </c>
      <c r="G62" t="inlineStr">
        <is>
          <t>RÄTTVIK</t>
        </is>
      </c>
      <c r="I62" t="n">
        <v>4.2</v>
      </c>
      <c r="J62" t="n">
        <v>0</v>
      </c>
      <c r="K62" t="n">
        <v>1</v>
      </c>
      <c r="L62" t="n">
        <v>0</v>
      </c>
      <c r="M62" t="n">
        <v>0</v>
      </c>
      <c r="N62" t="n">
        <v>0</v>
      </c>
      <c r="O62" t="n">
        <v>0</v>
      </c>
      <c r="P62" t="n">
        <v>0</v>
      </c>
      <c r="Q62" t="n">
        <v>0</v>
      </c>
      <c r="R62" t="n">
        <v>0</v>
      </c>
      <c r="S62" t="n">
        <v>1</v>
      </c>
      <c r="T62" t="n">
        <v>1</v>
      </c>
      <c r="U62" t="n">
        <v>0</v>
      </c>
      <c r="V62" s="2" t="inlineStr">
        <is>
          <t>Grönpyrola</t>
        </is>
      </c>
      <c r="W62">
        <f>HYPERLINK("https://klasma.github.io/Logging_2031/artfynd/A 10317-2024 artfynd.xlsx", "A 10317-2024")</f>
        <v/>
      </c>
      <c r="X62">
        <f>HYPERLINK("https://klasma.github.io/Logging_2031/kartor/A 10317-2024 karta.png", "A 10317-2024")</f>
        <v/>
      </c>
      <c r="Y62">
        <f>HYPERLINK("https://klasma.github.io/Logging_2031/kartor_geotiff/A 10317-2024 georefererad karta.tif", "A 10317-2024")</f>
        <v/>
      </c>
      <c r="AA62">
        <f>HYPERLINK("https://klasma.github.io/Logging_2031/klagomål/A 10317-2024 FSC-klagomål.docx", "A 10317-2024")</f>
        <v/>
      </c>
      <c r="AB62">
        <f>HYPERLINK("https://klasma.github.io/Logging_2031/klagomålsmail/A 10317-2024 FSC-klagomål mail.docx", "A 10317-2024")</f>
        <v/>
      </c>
      <c r="AC62">
        <f>HYPERLINK("https://klasma.github.io/Logging_2031/tillsyn/A 10317-2024 tillsynsbegäran.docx", "A 10317-2024")</f>
        <v/>
      </c>
      <c r="AD62">
        <f>HYPERLINK("https://klasma.github.io/Logging_2031/tillsynsmail/A 10317-2024 tillsynsbegäran mail.docx", "A 10317-2024")</f>
        <v/>
      </c>
    </row>
    <row r="63" ht="15" customHeight="1">
      <c r="A63" t="inlineStr">
        <is>
          <t>A 34305-2024</t>
        </is>
      </c>
      <c r="B63" t="inlineStr">
        <is>
          <t>avverkningsanmälan</t>
        </is>
      </c>
      <c r="C63" t="inlineStr">
        <is>
          <t>Föryngringsavverkning</t>
        </is>
      </c>
      <c r="D63" s="1" t="n">
        <v>45524</v>
      </c>
      <c r="E63" s="1" t="n">
        <v>46289</v>
      </c>
      <c r="F63" t="inlineStr">
        <is>
          <t>DALARNAS LÄN</t>
        </is>
      </c>
      <c r="G63" t="inlineStr">
        <is>
          <t>RÄTTVIK</t>
        </is>
      </c>
      <c r="I63" t="n">
        <v>18.1</v>
      </c>
      <c r="J63" t="n">
        <v>0</v>
      </c>
      <c r="K63" t="n">
        <v>1</v>
      </c>
      <c r="L63" t="n">
        <v>0</v>
      </c>
      <c r="M63" t="n">
        <v>0</v>
      </c>
      <c r="N63" t="n">
        <v>0</v>
      </c>
      <c r="O63" t="n">
        <v>0</v>
      </c>
      <c r="P63" t="n">
        <v>0</v>
      </c>
      <c r="Q63" t="n">
        <v>0</v>
      </c>
      <c r="R63" t="n">
        <v>0</v>
      </c>
      <c r="S63" t="n">
        <v>1</v>
      </c>
      <c r="T63" t="n">
        <v>2</v>
      </c>
      <c r="U63" t="n">
        <v>0</v>
      </c>
      <c r="V63" s="2" t="inlineStr">
        <is>
          <t>Mindre märgborre</t>
        </is>
      </c>
      <c r="W63">
        <f>HYPERLINK("https://klasma.github.io/Logging_2031/artfynd/A 34305-2024 artfynd.xlsx", "A 34305-2024")</f>
        <v/>
      </c>
      <c r="X63">
        <f>HYPERLINK("https://klasma.github.io/Logging_2031/kartor/A 34305-2024 karta.png", "A 34305-2024")</f>
        <v/>
      </c>
      <c r="Y63">
        <f>HYPERLINK("https://klasma.github.io/Logging_2031/kartor_geotiff/A 34305-2024 georefererad karta.tif", "A 34305-2024")</f>
        <v/>
      </c>
      <c r="AA63">
        <f>HYPERLINK("https://klasma.github.io/Logging_2031/klagomål/A 34305-2024 FSC-klagomål.docx", "A 34305-2024")</f>
        <v/>
      </c>
      <c r="AB63">
        <f>HYPERLINK("https://klasma.github.io/Logging_2031/klagomålsmail/A 34305-2024 FSC-klagomål mail.docx", "A 34305-2024")</f>
        <v/>
      </c>
      <c r="AC63">
        <f>HYPERLINK("https://klasma.github.io/Logging_2031/tillsyn/A 34305-2024 tillsynsbegäran.docx", "A 34305-2024")</f>
        <v/>
      </c>
      <c r="AD63">
        <f>HYPERLINK("https://klasma.github.io/Logging_2031/tillsynsmail/A 34305-2024 tillsynsbegäran mail.docx", "A 34305-2024")</f>
        <v/>
      </c>
    </row>
    <row r="64" ht="15" customHeight="1">
      <c r="A64" t="inlineStr">
        <is>
          <t>A 64299-2023</t>
        </is>
      </c>
      <c r="B64" t="inlineStr">
        <is>
          <t>avverkningsanmälan</t>
        </is>
      </c>
      <c r="C64" t="inlineStr">
        <is>
          <t>Föryngringsavverkning</t>
        </is>
      </c>
      <c r="D64" s="1" t="n">
        <v>45279</v>
      </c>
      <c r="E64" s="1" t="n">
        <v>46289</v>
      </c>
      <c r="F64" t="inlineStr">
        <is>
          <t>DALARNAS LÄN</t>
        </is>
      </c>
      <c r="G64" t="inlineStr">
        <is>
          <t>RÄTTVIK</t>
        </is>
      </c>
      <c r="I64" t="n">
        <v>4.7</v>
      </c>
      <c r="J64" t="n">
        <v>1</v>
      </c>
      <c r="K64" t="n">
        <v>0</v>
      </c>
      <c r="L64" t="n">
        <v>0</v>
      </c>
      <c r="M64" t="n">
        <v>0</v>
      </c>
      <c r="N64" t="n">
        <v>0</v>
      </c>
      <c r="O64" t="n">
        <v>0</v>
      </c>
      <c r="P64" t="n">
        <v>0</v>
      </c>
      <c r="Q64" t="n">
        <v>0</v>
      </c>
      <c r="R64" t="n">
        <v>0</v>
      </c>
      <c r="S64" t="n">
        <v>1</v>
      </c>
      <c r="T64" t="n">
        <v>1</v>
      </c>
      <c r="U64" t="n">
        <v>0</v>
      </c>
      <c r="V64" s="2" t="inlineStr">
        <is>
          <t>Grönsiska</t>
        </is>
      </c>
      <c r="W64">
        <f>HYPERLINK("https://klasma.github.io/Logging_2031/artfynd/A 64299-2023 artfynd.xlsx", "A 64299-2023")</f>
        <v/>
      </c>
      <c r="X64">
        <f>HYPERLINK("https://klasma.github.io/Logging_2031/kartor/A 64299-2023 karta.png", "A 64299-2023")</f>
        <v/>
      </c>
      <c r="Y64">
        <f>HYPERLINK("https://klasma.github.io/Logging_2031/kartor_geotiff/A 64299-2023 georefererad karta.tif", "A 64299-2023")</f>
        <v/>
      </c>
      <c r="AA64">
        <f>HYPERLINK("https://klasma.github.io/Logging_2031/klagomål/A 64299-2023 FSC-klagomål.docx", "A 64299-2023")</f>
        <v/>
      </c>
      <c r="AB64">
        <f>HYPERLINK("https://klasma.github.io/Logging_2031/klagomålsmail/A 64299-2023 FSC-klagomål mail.docx", "A 64299-2023")</f>
        <v/>
      </c>
      <c r="AC64">
        <f>HYPERLINK("https://klasma.github.io/Logging_2031/tillsyn/A 64299-2023 tillsynsbegäran.docx", "A 64299-2023")</f>
        <v/>
      </c>
      <c r="AD64">
        <f>HYPERLINK("https://klasma.github.io/Logging_2031/tillsynsmail/A 64299-2023 tillsynsbegäran mail.docx", "A 64299-2023")</f>
        <v/>
      </c>
    </row>
    <row r="65" ht="15" customHeight="1">
      <c r="A65" t="inlineStr">
        <is>
          <t>A 40212-2025</t>
        </is>
      </c>
      <c r="B65" t="inlineStr">
        <is>
          <t>avverkningsanmälan</t>
        </is>
      </c>
      <c r="C65" t="inlineStr">
        <is>
          <t>Föryngringsavverkning</t>
        </is>
      </c>
      <c r="D65" s="1" t="n">
        <v>45894</v>
      </c>
      <c r="E65" s="1" t="n">
        <v>46289</v>
      </c>
      <c r="F65" t="inlineStr">
        <is>
          <t>DALARNAS LÄN</t>
        </is>
      </c>
      <c r="G65" t="inlineStr">
        <is>
          <t>RÄTTVIK</t>
        </is>
      </c>
      <c r="H65" t="inlineStr">
        <is>
          <t>Sveaskog</t>
        </is>
      </c>
      <c r="I65" t="n">
        <v>2.8</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40212-2025 artfynd.xlsx", "A 40212-2025")</f>
        <v/>
      </c>
      <c r="X65">
        <f>HYPERLINK("https://klasma.github.io/Logging_2031/kartor/A 40212-2025 karta.png", "A 40212-2025")</f>
        <v/>
      </c>
      <c r="Y65">
        <f>HYPERLINK("https://klasma.github.io/Logging_2031/kartor_geotiff/A 40212-2025 georefererad karta.tif", "A 40212-2025")</f>
        <v/>
      </c>
      <c r="AA65">
        <f>HYPERLINK("https://klasma.github.io/Logging_2031/klagomål/A 40212-2025 FSC-klagomål.docx", "A 40212-2025")</f>
        <v/>
      </c>
      <c r="AB65">
        <f>HYPERLINK("https://klasma.github.io/Logging_2031/klagomålsmail/A 40212-2025 FSC-klagomål mail.docx", "A 40212-2025")</f>
        <v/>
      </c>
      <c r="AC65">
        <f>HYPERLINK("https://klasma.github.io/Logging_2031/tillsyn/A 40212-2025 tillsynsbegäran.docx", "A 40212-2025")</f>
        <v/>
      </c>
      <c r="AD65">
        <f>HYPERLINK("https://klasma.github.io/Logging_2031/tillsynsmail/A 40212-2025 tillsynsbegäran mail.docx", "A 40212-2025")</f>
        <v/>
      </c>
    </row>
    <row r="66" ht="15" customHeight="1">
      <c r="A66" t="inlineStr">
        <is>
          <t>A 40405-2025</t>
        </is>
      </c>
      <c r="B66" t="inlineStr">
        <is>
          <t>avverkningsanmälan</t>
        </is>
      </c>
      <c r="C66" t="inlineStr">
        <is>
          <t>Föryngringsavverkning</t>
        </is>
      </c>
      <c r="D66" s="1" t="n">
        <v>45895</v>
      </c>
      <c r="E66" s="1" t="n">
        <v>46289</v>
      </c>
      <c r="F66" t="inlineStr">
        <is>
          <t>DALARNAS LÄN</t>
        </is>
      </c>
      <c r="G66" t="inlineStr">
        <is>
          <t>RÄTTVIK</t>
        </is>
      </c>
      <c r="I66" t="n">
        <v>3.4</v>
      </c>
      <c r="J66" t="n">
        <v>0</v>
      </c>
      <c r="K66" t="n">
        <v>0</v>
      </c>
      <c r="L66" t="n">
        <v>0</v>
      </c>
      <c r="M66" t="n">
        <v>1</v>
      </c>
      <c r="N66" t="n">
        <v>0</v>
      </c>
      <c r="O66" t="n">
        <v>0</v>
      </c>
      <c r="P66" t="n">
        <v>0</v>
      </c>
      <c r="Q66" t="n">
        <v>1</v>
      </c>
      <c r="R66" t="n">
        <v>1</v>
      </c>
      <c r="S66" t="n">
        <v>1</v>
      </c>
      <c r="T66" t="n">
        <v>1</v>
      </c>
      <c r="U66" t="n">
        <v>1</v>
      </c>
      <c r="V66" s="2" t="inlineStr">
        <is>
          <t>Garnlav</t>
        </is>
      </c>
      <c r="W66">
        <f>HYPERLINK("https://klasma.github.io/Logging_2031/artfynd/A 40405-2025 artfynd.xlsx", "A 40405-2025")</f>
        <v/>
      </c>
      <c r="X66">
        <f>HYPERLINK("https://klasma.github.io/Logging_2031/kartor/A 40405-2025 karta.png", "A 40405-2025")</f>
        <v/>
      </c>
      <c r="Y66">
        <f>HYPERLINK("https://klasma.github.io/Logging_2031/kartor_geotiff/A 40405-2025 georefererad karta.tif", "A 40405-2025")</f>
        <v/>
      </c>
      <c r="AA66">
        <f>HYPERLINK("https://klasma.github.io/Logging_2031/klagomål/A 40405-2025 FSC-klagomål.docx", "A 40405-2025")</f>
        <v/>
      </c>
      <c r="AB66">
        <f>HYPERLINK("https://klasma.github.io/Logging_2031/klagomålsmail/A 40405-2025 FSC-klagomål mail.docx", "A 40405-2025")</f>
        <v/>
      </c>
      <c r="AC66">
        <f>HYPERLINK("https://klasma.github.io/Logging_2031/tillsyn/A 40405-2025 tillsynsbegäran.docx", "A 40405-2025")</f>
        <v/>
      </c>
      <c r="AD66">
        <f>HYPERLINK("https://klasma.github.io/Logging_2031/tillsynsmail/A 40405-2025 tillsynsbegäran mail.docx", "A 40405-2025")</f>
        <v/>
      </c>
    </row>
    <row r="67" ht="15" customHeight="1">
      <c r="A67" t="inlineStr">
        <is>
          <t>A 38384-2024</t>
        </is>
      </c>
      <c r="B67" t="inlineStr">
        <is>
          <t>avverkningsanmälan</t>
        </is>
      </c>
      <c r="C67" t="inlineStr">
        <is>
          <t>Föryngringsavverkning</t>
        </is>
      </c>
      <c r="D67" s="1" t="n">
        <v>45546</v>
      </c>
      <c r="E67" s="1" t="n">
        <v>46289</v>
      </c>
      <c r="F67" t="inlineStr">
        <is>
          <t>DALARNAS LÄN</t>
        </is>
      </c>
      <c r="G67" t="inlineStr">
        <is>
          <t>RÄTTVIK</t>
        </is>
      </c>
      <c r="I67" t="n">
        <v>2.6</v>
      </c>
      <c r="J67" t="n">
        <v>1</v>
      </c>
      <c r="K67" t="n">
        <v>0</v>
      </c>
      <c r="L67" t="n">
        <v>0</v>
      </c>
      <c r="M67" t="n">
        <v>1</v>
      </c>
      <c r="N67" t="n">
        <v>0</v>
      </c>
      <c r="O67" t="n">
        <v>0</v>
      </c>
      <c r="P67" t="n">
        <v>0</v>
      </c>
      <c r="Q67" t="n">
        <v>1</v>
      </c>
      <c r="R67" t="n">
        <v>1</v>
      </c>
      <c r="S67" t="n">
        <v>1</v>
      </c>
      <c r="T67" t="n">
        <v>1</v>
      </c>
      <c r="U67" t="n">
        <v>0</v>
      </c>
      <c r="V67" s="2" t="inlineStr">
        <is>
          <t>Väddnätfjäril</t>
        </is>
      </c>
      <c r="W67">
        <f>HYPERLINK("https://klasma.github.io/Logging_2031/artfynd/A 38384-2024 artfynd.xlsx", "A 38384-2024")</f>
        <v/>
      </c>
      <c r="X67">
        <f>HYPERLINK("https://klasma.github.io/Logging_2031/kartor/A 38384-2024 karta.png", "A 38384-2024")</f>
        <v/>
      </c>
      <c r="Y67">
        <f>HYPERLINK("https://klasma.github.io/Logging_2031/kartor_geotiff/A 38384-2024 georefererad karta.tif", "A 38384-2024")</f>
        <v/>
      </c>
      <c r="AA67">
        <f>HYPERLINK("https://klasma.github.io/Logging_2031/klagomål/A 38384-2024 FSC-klagomål.docx", "A 38384-2024")</f>
        <v/>
      </c>
      <c r="AB67">
        <f>HYPERLINK("https://klasma.github.io/Logging_2031/klagomålsmail/A 38384-2024 FSC-klagomål mail.docx", "A 38384-2024")</f>
        <v/>
      </c>
      <c r="AC67">
        <f>HYPERLINK("https://klasma.github.io/Logging_2031/tillsyn/A 38384-2024 tillsynsbegäran.docx", "A 38384-2024")</f>
        <v/>
      </c>
      <c r="AD67">
        <f>HYPERLINK("https://klasma.github.io/Logging_2031/tillsynsmail/A 38384-2024 tillsynsbegäran mail.docx", "A 38384-2024")</f>
        <v/>
      </c>
    </row>
    <row r="68" ht="15" customHeight="1">
      <c r="A68" t="inlineStr">
        <is>
          <t>A 43450-2025</t>
        </is>
      </c>
      <c r="B68" t="inlineStr">
        <is>
          <t>avverkningsanmälan</t>
        </is>
      </c>
      <c r="C68" t="inlineStr">
        <is>
          <t>Föryngringsavverkning</t>
        </is>
      </c>
      <c r="D68" s="1" t="n">
        <v>45911</v>
      </c>
      <c r="E68" s="1" t="n">
        <v>46289</v>
      </c>
      <c r="F68" t="inlineStr">
        <is>
          <t>DALARNAS LÄN</t>
        </is>
      </c>
      <c r="G68" t="inlineStr">
        <is>
          <t>RÄTTVIK</t>
        </is>
      </c>
      <c r="I68" t="n">
        <v>1.4</v>
      </c>
      <c r="J68" t="n">
        <v>0</v>
      </c>
      <c r="K68" t="n">
        <v>0</v>
      </c>
      <c r="L68" t="n">
        <v>0</v>
      </c>
      <c r="M68" t="n">
        <v>1</v>
      </c>
      <c r="N68" t="n">
        <v>0</v>
      </c>
      <c r="O68" t="n">
        <v>0</v>
      </c>
      <c r="P68" t="n">
        <v>0</v>
      </c>
      <c r="Q68" t="n">
        <v>1</v>
      </c>
      <c r="R68" t="n">
        <v>1</v>
      </c>
      <c r="S68" t="n">
        <v>1</v>
      </c>
      <c r="T68" t="n">
        <v>7</v>
      </c>
      <c r="U68" t="n">
        <v>7</v>
      </c>
      <c r="V68" s="2" t="inlineStr">
        <is>
          <t>Garnlav</t>
        </is>
      </c>
      <c r="W68">
        <f>HYPERLINK("https://klasma.github.io/Logging_2031/artfynd/A 43450-2025 artfynd.xlsx", "A 43450-2025")</f>
        <v/>
      </c>
      <c r="X68">
        <f>HYPERLINK("https://klasma.github.io/Logging_2031/kartor/A 43450-2025 karta.png", "A 43450-2025")</f>
        <v/>
      </c>
      <c r="Y68">
        <f>HYPERLINK("https://klasma.github.io/Logging_2031/kartor_geotiff/A 43450-2025 georefererad karta.tif", "A 43450-2025")</f>
        <v/>
      </c>
      <c r="AA68">
        <f>HYPERLINK("https://klasma.github.io/Logging_2031/klagomål/A 43450-2025 FSC-klagomål.docx", "A 43450-2025")</f>
        <v/>
      </c>
      <c r="AB68">
        <f>HYPERLINK("https://klasma.github.io/Logging_2031/klagomålsmail/A 43450-2025 FSC-klagomål mail.docx", "A 43450-2025")</f>
        <v/>
      </c>
      <c r="AC68">
        <f>HYPERLINK("https://klasma.github.io/Logging_2031/tillsyn/A 43450-2025 tillsynsbegäran.docx", "A 43450-2025")</f>
        <v/>
      </c>
      <c r="AD68">
        <f>HYPERLINK("https://klasma.github.io/Logging_2031/tillsynsmail/A 43450-2025 tillsynsbegäran mail.docx", "A 43450-2025")</f>
        <v/>
      </c>
    </row>
    <row r="69" ht="15" customHeight="1">
      <c r="A69" t="inlineStr">
        <is>
          <t>A 46646-2025</t>
        </is>
      </c>
      <c r="B69" t="inlineStr">
        <is>
          <t>avverkningsanmälan</t>
        </is>
      </c>
      <c r="C69" t="inlineStr">
        <is>
          <t>Föryngringsavverkning</t>
        </is>
      </c>
      <c r="D69" s="1" t="n">
        <v>45926</v>
      </c>
      <c r="E69" s="1" t="n">
        <v>46289</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34368-2024</t>
        </is>
      </c>
      <c r="B70" t="inlineStr">
        <is>
          <t>avverkningsanmälan</t>
        </is>
      </c>
      <c r="C70" t="inlineStr">
        <is>
          <t>Föryngringsavverkning</t>
        </is>
      </c>
      <c r="D70" s="1" t="n">
        <v>45525</v>
      </c>
      <c r="E70" s="1" t="n">
        <v>46289</v>
      </c>
      <c r="F70" t="inlineStr">
        <is>
          <t>DALARNAS LÄN</t>
        </is>
      </c>
      <c r="G70" t="inlineStr">
        <is>
          <t>RÄTTVIK</t>
        </is>
      </c>
      <c r="H70" t="inlineStr">
        <is>
          <t>Bergvik skog väst AB</t>
        </is>
      </c>
      <c r="I70" t="n">
        <v>4</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HYPERLINK("https://klasma.github.io/Logging_2031/artfynd/A 34368-2024 artfynd.xlsx", "A 34368-2024")</f>
        <v/>
      </c>
      <c r="X70">
        <f>HYPERLINK("https://klasma.github.io/Logging_2031/kartor/A 34368-2024 karta.png", "A 34368-2024")</f>
        <v/>
      </c>
      <c r="Y70">
        <f>HYPERLINK("https://klasma.github.io/Logging_2031/kartor_geotiff/A 34368-2024 georefererad karta.tif", "A 34368-2024")</f>
        <v/>
      </c>
      <c r="AA70">
        <f>HYPERLINK("https://klasma.github.io/Logging_2031/klagomål/A 34368-2024 FSC-klagomål.docx", "A 34368-2024")</f>
        <v/>
      </c>
      <c r="AB70">
        <f>HYPERLINK("https://klasma.github.io/Logging_2031/klagomålsmail/A 34368-2024 FSC-klagomål mail.docx", "A 34368-2024")</f>
        <v/>
      </c>
      <c r="AC70">
        <f>HYPERLINK("https://klasma.github.io/Logging_2031/tillsyn/A 34368-2024 tillsynsbegäran.docx", "A 34368-2024")</f>
        <v/>
      </c>
      <c r="AD70">
        <f>HYPERLINK("https://klasma.github.io/Logging_2031/tillsynsmail/A 34368-2024 tillsynsbegäran mail.docx", "A 34368-2024")</f>
        <v/>
      </c>
    </row>
    <row r="71" ht="15" customHeight="1">
      <c r="A71" t="inlineStr">
        <is>
          <t>A 45516-2023</t>
        </is>
      </c>
      <c r="B71" t="inlineStr">
        <is>
          <t>avverkningsanmälan</t>
        </is>
      </c>
      <c r="C71" t="inlineStr">
        <is>
          <t>Föryngringsavverkning</t>
        </is>
      </c>
      <c r="D71" s="1" t="n">
        <v>45194</v>
      </c>
      <c r="E71" s="1" t="n">
        <v>46289</v>
      </c>
      <c r="F71" t="inlineStr">
        <is>
          <t>DALARNAS LÄN</t>
        </is>
      </c>
      <c r="G71" t="inlineStr">
        <is>
          <t>RÄTTVIK</t>
        </is>
      </c>
      <c r="I71" t="n">
        <v>20.3</v>
      </c>
      <c r="J71" t="n">
        <v>0</v>
      </c>
      <c r="K71" t="n">
        <v>0</v>
      </c>
      <c r="L71" t="n">
        <v>1</v>
      </c>
      <c r="M71" t="n">
        <v>0</v>
      </c>
      <c r="N71" t="n">
        <v>0</v>
      </c>
      <c r="O71" t="n">
        <v>0</v>
      </c>
      <c r="P71" t="n">
        <v>0</v>
      </c>
      <c r="Q71" t="n">
        <v>1</v>
      </c>
      <c r="R71" t="n">
        <v>0</v>
      </c>
      <c r="S71" t="n">
        <v>1</v>
      </c>
      <c r="T71" t="n">
        <v>3</v>
      </c>
      <c r="U71" t="n">
        <v>0</v>
      </c>
      <c r="V71" s="2" t="inlineStr">
        <is>
          <t>Mörk kolflarnlav</t>
        </is>
      </c>
      <c r="W71">
        <f>HYPERLINK("https://klasma.github.io/Logging_2031/artfynd/A 45516-2023 artfynd.xlsx", "A 45516-2023")</f>
        <v/>
      </c>
      <c r="X71">
        <f>HYPERLINK("https://klasma.github.io/Logging_2031/kartor/A 45516-2023 karta.png", "A 45516-2023")</f>
        <v/>
      </c>
      <c r="Y71">
        <f>HYPERLINK("https://klasma.github.io/Logging_2031/kartor_geotiff/A 45516-2023 georefererad karta.tif", "A 45516-2023")</f>
        <v/>
      </c>
      <c r="AA71">
        <f>HYPERLINK("https://klasma.github.io/Logging_2031/klagomål/A 45516-2023 FSC-klagomål.docx", "A 45516-2023")</f>
        <v/>
      </c>
      <c r="AB71">
        <f>HYPERLINK("https://klasma.github.io/Logging_2031/klagomålsmail/A 45516-2023 FSC-klagomål mail.docx", "A 45516-2023")</f>
        <v/>
      </c>
      <c r="AC71">
        <f>HYPERLINK("https://klasma.github.io/Logging_2031/tillsyn/A 45516-2023 tillsynsbegäran.docx", "A 45516-2023")</f>
        <v/>
      </c>
      <c r="AD71">
        <f>HYPERLINK("https://klasma.github.io/Logging_2031/tillsynsmail/A 45516-2023 tillsynsbegäran mail.docx", "A 45516-2023")</f>
        <v/>
      </c>
    </row>
    <row r="72" ht="15" customHeight="1">
      <c r="A72" t="inlineStr">
        <is>
          <t>A 18687-2024</t>
        </is>
      </c>
      <c r="B72" t="inlineStr">
        <is>
          <t>avverkningsanmälan</t>
        </is>
      </c>
      <c r="C72" t="inlineStr">
        <is>
          <t>Föryngringsavverkning</t>
        </is>
      </c>
      <c r="D72" s="1" t="n">
        <v>45426</v>
      </c>
      <c r="E72" s="1" t="n">
        <v>46289</v>
      </c>
      <c r="F72" t="inlineStr">
        <is>
          <t>DALARNAS LÄN</t>
        </is>
      </c>
      <c r="G72" t="inlineStr">
        <is>
          <t>RÄTTVIK</t>
        </is>
      </c>
      <c r="I72" t="n">
        <v>2</v>
      </c>
      <c r="J72" t="n">
        <v>0</v>
      </c>
      <c r="K72" t="n">
        <v>0</v>
      </c>
      <c r="L72" t="n">
        <v>1</v>
      </c>
      <c r="M72" t="n">
        <v>0</v>
      </c>
      <c r="N72" t="n">
        <v>0</v>
      </c>
      <c r="O72" t="n">
        <v>0</v>
      </c>
      <c r="P72" t="n">
        <v>0</v>
      </c>
      <c r="Q72" t="n">
        <v>1</v>
      </c>
      <c r="R72" t="n">
        <v>0</v>
      </c>
      <c r="S72" t="n">
        <v>1</v>
      </c>
      <c r="T72" t="n">
        <v>1</v>
      </c>
      <c r="U72" t="n">
        <v>1</v>
      </c>
      <c r="V72" s="2" t="inlineStr">
        <is>
          <t>Vitgrynig nållav</t>
        </is>
      </c>
      <c r="W72">
        <f>HYPERLINK("https://klasma.github.io/Logging_2031/artfynd/A 18687-2024 artfynd.xlsx", "A 18687-2024")</f>
        <v/>
      </c>
      <c r="X72">
        <f>HYPERLINK("https://klasma.github.io/Logging_2031/kartor/A 18687-2024 karta.png", "A 18687-2024")</f>
        <v/>
      </c>
      <c r="Y72">
        <f>HYPERLINK("https://klasma.github.io/Logging_2031/kartor_geotiff/A 18687-2024 georefererad karta.tif", "A 18687-2024")</f>
        <v/>
      </c>
      <c r="AA72">
        <f>HYPERLINK("https://klasma.github.io/Logging_2031/klagomål/A 18687-2024 FSC-klagomål.docx", "A 18687-2024")</f>
        <v/>
      </c>
      <c r="AB72">
        <f>HYPERLINK("https://klasma.github.io/Logging_2031/klagomålsmail/A 18687-2024 FSC-klagomål mail.docx", "A 18687-2024")</f>
        <v/>
      </c>
      <c r="AC72">
        <f>HYPERLINK("https://klasma.github.io/Logging_2031/tillsyn/A 18687-2024 tillsynsbegäran.docx", "A 18687-2024")</f>
        <v/>
      </c>
      <c r="AD72">
        <f>HYPERLINK("https://klasma.github.io/Logging_2031/tillsynsmail/A 18687-2024 tillsynsbegäran mail.docx", "A 18687-2024")</f>
        <v/>
      </c>
    </row>
    <row r="73" ht="15" customHeight="1">
      <c r="A73" t="inlineStr">
        <is>
          <t>A 3651-2024</t>
        </is>
      </c>
      <c r="B73" t="inlineStr">
        <is>
          <t>avverkningsanmälan</t>
        </is>
      </c>
      <c r="C73" t="inlineStr">
        <is>
          <t>Föryngringsavverkning</t>
        </is>
      </c>
      <c r="D73" s="1" t="n">
        <v>45321</v>
      </c>
      <c r="E73" s="1" t="n">
        <v>46289</v>
      </c>
      <c r="F73" t="inlineStr">
        <is>
          <t>DALARNAS LÄN</t>
        </is>
      </c>
      <c r="G73" t="inlineStr">
        <is>
          <t>RÄTTVIK</t>
        </is>
      </c>
      <c r="I73" t="n">
        <v>1</v>
      </c>
      <c r="J73" t="n">
        <v>1</v>
      </c>
      <c r="K73" t="n">
        <v>1</v>
      </c>
      <c r="L73" t="n">
        <v>0</v>
      </c>
      <c r="M73" t="n">
        <v>0</v>
      </c>
      <c r="N73" t="n">
        <v>0</v>
      </c>
      <c r="O73" t="n">
        <v>0</v>
      </c>
      <c r="P73" t="n">
        <v>0</v>
      </c>
      <c r="Q73" t="n">
        <v>0</v>
      </c>
      <c r="R73" t="n">
        <v>0</v>
      </c>
      <c r="S73" t="n">
        <v>1</v>
      </c>
      <c r="T73" t="n">
        <v>1</v>
      </c>
      <c r="U73" t="n">
        <v>1</v>
      </c>
      <c r="V73" s="2" t="inlineStr">
        <is>
          <t>Tvåblad</t>
        </is>
      </c>
      <c r="W73">
        <f>HYPERLINK("https://klasma.github.io/Logging_2031/artfynd/A 3651-2024 artfynd.xlsx", "A 3651-2024")</f>
        <v/>
      </c>
      <c r="X73">
        <f>HYPERLINK("https://klasma.github.io/Logging_2031/kartor/A 3651-2024 karta.png", "A 3651-2024")</f>
        <v/>
      </c>
      <c r="Y73">
        <f>HYPERLINK("https://klasma.github.io/Logging_2031/kartor_geotiff/A 3651-2024 georefererad karta.tif", "A 3651-2024")</f>
        <v/>
      </c>
      <c r="AA73">
        <f>HYPERLINK("https://klasma.github.io/Logging_2031/klagomål/A 3651-2024 FSC-klagomål.docx", "A 3651-2024")</f>
        <v/>
      </c>
      <c r="AB73">
        <f>HYPERLINK("https://klasma.github.io/Logging_2031/klagomålsmail/A 3651-2024 FSC-klagomål mail.docx", "A 3651-2024")</f>
        <v/>
      </c>
      <c r="AC73">
        <f>HYPERLINK("https://klasma.github.io/Logging_2031/tillsyn/A 3651-2024 tillsynsbegäran.docx", "A 3651-2024")</f>
        <v/>
      </c>
      <c r="AD73">
        <f>HYPERLINK("https://klasma.github.io/Logging_2031/tillsynsmail/A 3651-2024 tillsynsbegäran mail.docx", "A 3651-2024")</f>
        <v/>
      </c>
    </row>
    <row r="74" ht="15" customHeight="1">
      <c r="A74" t="inlineStr">
        <is>
          <t>A 9477-2024</t>
        </is>
      </c>
      <c r="B74" t="inlineStr">
        <is>
          <t>avverkningsanmälan</t>
        </is>
      </c>
      <c r="C74" t="inlineStr">
        <is>
          <t>Föryngringsavverkning</t>
        </is>
      </c>
      <c r="D74" s="1" t="n">
        <v>45359</v>
      </c>
      <c r="E74" s="1" t="n">
        <v>46289</v>
      </c>
      <c r="F74" t="inlineStr">
        <is>
          <t>DALARNAS LÄN</t>
        </is>
      </c>
      <c r="G74" t="inlineStr">
        <is>
          <t>RÄTTVIK</t>
        </is>
      </c>
      <c r="I74" t="n">
        <v>5.8</v>
      </c>
      <c r="J74" t="n">
        <v>1</v>
      </c>
      <c r="K74" t="n">
        <v>0</v>
      </c>
      <c r="L74" t="n">
        <v>0</v>
      </c>
      <c r="M74" t="n">
        <v>0</v>
      </c>
      <c r="N74" t="n">
        <v>0</v>
      </c>
      <c r="O74" t="n">
        <v>0</v>
      </c>
      <c r="P74" t="n">
        <v>0</v>
      </c>
      <c r="Q74" t="n">
        <v>0</v>
      </c>
      <c r="R74" t="n">
        <v>0</v>
      </c>
      <c r="S74" t="n">
        <v>1</v>
      </c>
      <c r="T74" t="n">
        <v>1</v>
      </c>
      <c r="U74" t="n">
        <v>0</v>
      </c>
      <c r="V74" s="2" t="inlineStr">
        <is>
          <t>Ljungpipare</t>
        </is>
      </c>
      <c r="W74">
        <f>HYPERLINK("https://klasma.github.io/Logging_2031/artfynd/A 9477-2024 artfynd.xlsx", "A 9477-2024")</f>
        <v/>
      </c>
      <c r="X74">
        <f>HYPERLINK("https://klasma.github.io/Logging_2031/kartor/A 9477-2024 karta.png", "A 9477-2024")</f>
        <v/>
      </c>
      <c r="Y74">
        <f>HYPERLINK("https://klasma.github.io/Logging_2031/kartor_geotiff/A 9477-2024 georefererad karta.tif", "A 9477-2024")</f>
        <v/>
      </c>
      <c r="AA74">
        <f>HYPERLINK("https://klasma.github.io/Logging_2031/klagomål/A 9477-2024 FSC-klagomål.docx", "A 9477-2024")</f>
        <v/>
      </c>
      <c r="AB74">
        <f>HYPERLINK("https://klasma.github.io/Logging_2031/klagomålsmail/A 9477-2024 FSC-klagomål mail.docx", "A 9477-2024")</f>
        <v/>
      </c>
      <c r="AC74">
        <f>HYPERLINK("https://klasma.github.io/Logging_2031/tillsyn/A 9477-2024 tillsynsbegäran.docx", "A 9477-2024")</f>
        <v/>
      </c>
      <c r="AD74">
        <f>HYPERLINK("https://klasma.github.io/Logging_2031/tillsynsmail/A 9477-2024 tillsynsbegäran mail.docx", "A 9477-2024")</f>
        <v/>
      </c>
      <c r="AE74">
        <f>HYPERLINK("https://klasma.github.io/Logging_2031/fåglar/A 9477-2024 prioriterade fågelarter.docx", "A 9477-2024")</f>
        <v/>
      </c>
    </row>
    <row r="75" ht="15" customHeight="1">
      <c r="A75" t="inlineStr">
        <is>
          <t>A 60710-2025</t>
        </is>
      </c>
      <c r="B75" t="inlineStr">
        <is>
          <t>avverkningsanmälan</t>
        </is>
      </c>
      <c r="C75" t="inlineStr">
        <is>
          <t>Föryngringsavverkning</t>
        </is>
      </c>
      <c r="D75" s="1" t="n">
        <v>45996</v>
      </c>
      <c r="E75" s="1" t="n">
        <v>46289</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t="n">
        <v>4</v>
      </c>
      <c r="V75" s="2" t="inlineStr">
        <is>
          <t>Garnlav</t>
        </is>
      </c>
      <c r="W75">
        <f>HYPERLINK("https://klasma.github.io/Logging_2031/artfynd/A 60710-2025 artfynd.xlsx", "A 60710-2025")</f>
        <v/>
      </c>
      <c r="X75">
        <f>HYPERLINK("https://klasma.github.io/Logging_2031/kartor/A 60710-2025 karta.png", "A 60710-2025")</f>
        <v/>
      </c>
      <c r="Y75">
        <f>HYPERLINK("https://klasma.github.io/Logging_2031/kartor_geotiff/A 60710-2025 georefererad karta.tif", "A 60710-2025")</f>
        <v/>
      </c>
      <c r="AA75">
        <f>HYPERLINK("https://klasma.github.io/Logging_2031/klagomål/A 60710-2025 FSC-klagomål.docx", "A 60710-2025")</f>
        <v/>
      </c>
      <c r="AB75">
        <f>HYPERLINK("https://klasma.github.io/Logging_2031/klagomålsmail/A 60710-2025 FSC-klagomål mail.docx", "A 60710-2025")</f>
        <v/>
      </c>
      <c r="AC75">
        <f>HYPERLINK("https://klasma.github.io/Logging_2031/tillsyn/A 60710-2025 tillsynsbegäran.docx", "A 60710-2025")</f>
        <v/>
      </c>
      <c r="AD75">
        <f>HYPERLINK("https://klasma.github.io/Logging_2031/tillsynsmail/A 60710-2025 tillsynsbegäran mail.docx", "A 60710-2025")</f>
        <v/>
      </c>
    </row>
    <row r="76" ht="15" customHeight="1">
      <c r="A76" t="inlineStr">
        <is>
          <t>A 3472-2026</t>
        </is>
      </c>
      <c r="B76" t="inlineStr">
        <is>
          <t>avverkningsanmälan</t>
        </is>
      </c>
      <c r="C76" t="inlineStr">
        <is>
          <t>Föryngringsavverkning</t>
        </is>
      </c>
      <c r="D76" s="1" t="n">
        <v>46042</v>
      </c>
      <c r="E76" s="1" t="n">
        <v>46289</v>
      </c>
      <c r="F76" t="inlineStr">
        <is>
          <t>DALARNAS LÄN</t>
        </is>
      </c>
      <c r="G76" t="inlineStr">
        <is>
          <t>RÄTTVIK</t>
        </is>
      </c>
      <c r="I76" t="n">
        <v>7.4</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HYPERLINK("https://klasma.github.io/Logging_2031/artfynd/A 3472-2026 artfynd.xlsx", "A 3472-2026")</f>
        <v/>
      </c>
      <c r="X76">
        <f>HYPERLINK("https://klasma.github.io/Logging_2031/kartor/A 3472-2026 karta.png", "A 3472-2026")</f>
        <v/>
      </c>
      <c r="Y76">
        <f>HYPERLINK("https://klasma.github.io/Logging_2031/kartor_geotiff/A 3472-2026 georefererad karta.tif", "A 3472-2026")</f>
        <v/>
      </c>
      <c r="AA76">
        <f>HYPERLINK("https://klasma.github.io/Logging_2031/klagomål/A 3472-2026 FSC-klagomål.docx", "A 3472-2026")</f>
        <v/>
      </c>
      <c r="AB76">
        <f>HYPERLINK("https://klasma.github.io/Logging_2031/klagomålsmail/A 3472-2026 FSC-klagomål mail.docx", "A 3472-2026")</f>
        <v/>
      </c>
      <c r="AC76">
        <f>HYPERLINK("https://klasma.github.io/Logging_2031/tillsyn/A 3472-2026 tillsynsbegäran.docx", "A 3472-2026")</f>
        <v/>
      </c>
      <c r="AD76">
        <f>HYPERLINK("https://klasma.github.io/Logging_2031/tillsynsmail/A 3472-2026 tillsynsbegäran mail.docx", "A 3472-2026")</f>
        <v/>
      </c>
    </row>
    <row r="77" ht="15" customHeight="1">
      <c r="A77" t="inlineStr">
        <is>
          <t>A 55268-2023</t>
        </is>
      </c>
      <c r="B77" t="inlineStr">
        <is>
          <t>avverkningsanmälan</t>
        </is>
      </c>
      <c r="C77" t="inlineStr">
        <is>
          <t>Föryngringsavverkning</t>
        </is>
      </c>
      <c r="D77" s="1" t="n">
        <v>45231</v>
      </c>
      <c r="E77" s="1" t="n">
        <v>46289</v>
      </c>
      <c r="F77" t="inlineStr">
        <is>
          <t>DALARNAS LÄN</t>
        </is>
      </c>
      <c r="G77" t="inlineStr">
        <is>
          <t>RÄTTVIK</t>
        </is>
      </c>
      <c r="I77" t="n">
        <v>1.4</v>
      </c>
      <c r="J77" t="n">
        <v>1</v>
      </c>
      <c r="K77" t="n">
        <v>0</v>
      </c>
      <c r="L77" t="n">
        <v>0</v>
      </c>
      <c r="M77" t="n">
        <v>0</v>
      </c>
      <c r="N77" t="n">
        <v>0</v>
      </c>
      <c r="O77" t="n">
        <v>0</v>
      </c>
      <c r="P77" t="n">
        <v>0</v>
      </c>
      <c r="Q77" t="n">
        <v>0</v>
      </c>
      <c r="R77" t="n">
        <v>0</v>
      </c>
      <c r="S77" t="n">
        <v>1</v>
      </c>
      <c r="T77" t="n">
        <v>1</v>
      </c>
      <c r="U77" t="n">
        <v>0</v>
      </c>
      <c r="V77" s="2" t="inlineStr">
        <is>
          <t>Utter</t>
        </is>
      </c>
      <c r="W77">
        <f>HYPERLINK("https://klasma.github.io/Logging_2031/artfynd/A 55268-2023 artfynd.xlsx", "A 55268-2023")</f>
        <v/>
      </c>
      <c r="X77">
        <f>HYPERLINK("https://klasma.github.io/Logging_2031/kartor/A 55268-2023 karta.png", "A 55268-2023")</f>
        <v/>
      </c>
      <c r="Y77">
        <f>HYPERLINK("https://klasma.github.io/Logging_2031/kartor_geotiff/A 55268-2023 georefererad karta.tif", "A 55268-2023")</f>
        <v/>
      </c>
      <c r="AA77">
        <f>HYPERLINK("https://klasma.github.io/Logging_2031/klagomål/A 55268-2023 FSC-klagomål.docx", "A 55268-2023")</f>
        <v/>
      </c>
      <c r="AB77">
        <f>HYPERLINK("https://klasma.github.io/Logging_2031/klagomålsmail/A 55268-2023 FSC-klagomål mail.docx", "A 55268-2023")</f>
        <v/>
      </c>
      <c r="AC77">
        <f>HYPERLINK("https://klasma.github.io/Logging_2031/tillsyn/A 55268-2023 tillsynsbegäran.docx", "A 55268-2023")</f>
        <v/>
      </c>
      <c r="AD77">
        <f>HYPERLINK("https://klasma.github.io/Logging_2031/tillsynsmail/A 55268-2023 tillsynsbegäran mail.docx", "A 55268-2023")</f>
        <v/>
      </c>
    </row>
    <row r="78" ht="15" customHeight="1">
      <c r="A78" t="inlineStr">
        <is>
          <t>A 33392-2025</t>
        </is>
      </c>
      <c r="B78" t="inlineStr">
        <is>
          <t>avverkningsanmälan</t>
        </is>
      </c>
      <c r="C78" t="inlineStr">
        <is>
          <t>Avverkning för annat ändamål</t>
        </is>
      </c>
      <c r="D78" s="1" t="n">
        <v>45841</v>
      </c>
      <c r="E78" s="1" t="n">
        <v>46289</v>
      </c>
      <c r="F78" t="inlineStr">
        <is>
          <t>DALARNAS LÄN</t>
        </is>
      </c>
      <c r="G78" t="inlineStr">
        <is>
          <t>RÄTTVIK</t>
        </is>
      </c>
      <c r="H78" t="inlineStr">
        <is>
          <t>Sveaskog</t>
        </is>
      </c>
      <c r="I78" t="n">
        <v>1.5</v>
      </c>
      <c r="J78" t="n">
        <v>0</v>
      </c>
      <c r="K78" t="n">
        <v>0</v>
      </c>
      <c r="L78" t="n">
        <v>1</v>
      </c>
      <c r="M78" t="n">
        <v>0</v>
      </c>
      <c r="N78" t="n">
        <v>0</v>
      </c>
      <c r="O78" t="n">
        <v>0</v>
      </c>
      <c r="P78" t="n">
        <v>0</v>
      </c>
      <c r="Q78" t="n">
        <v>1</v>
      </c>
      <c r="R78" t="n">
        <v>0</v>
      </c>
      <c r="S78" t="n">
        <v>1</v>
      </c>
      <c r="T78" t="n">
        <v>1</v>
      </c>
      <c r="U78" t="n">
        <v>0</v>
      </c>
      <c r="V78" s="2" t="inlineStr">
        <is>
          <t>Brunklöver</t>
        </is>
      </c>
      <c r="W78">
        <f>HYPERLINK("https://klasma.github.io/Logging_2031/artfynd/A 33392-2025 artfynd.xlsx", "A 33392-2025")</f>
        <v/>
      </c>
      <c r="X78">
        <f>HYPERLINK("https://klasma.github.io/Logging_2031/kartor/A 33392-2025 karta.png", "A 33392-2025")</f>
        <v/>
      </c>
      <c r="Y78">
        <f>HYPERLINK("https://klasma.github.io/Logging_2031/kartor_geotiff/A 33392-2025 georefererad karta.tif", "A 33392-2025")</f>
        <v/>
      </c>
      <c r="AA78">
        <f>HYPERLINK("https://klasma.github.io/Logging_2031/klagomål/A 33392-2025 FSC-klagomål.docx", "A 33392-2025")</f>
        <v/>
      </c>
      <c r="AB78">
        <f>HYPERLINK("https://klasma.github.io/Logging_2031/klagomålsmail/A 33392-2025 FSC-klagomål mail.docx", "A 33392-2025")</f>
        <v/>
      </c>
      <c r="AC78">
        <f>HYPERLINK("https://klasma.github.io/Logging_2031/tillsyn/A 33392-2025 tillsynsbegäran.docx", "A 33392-2025")</f>
        <v/>
      </c>
      <c r="AD78">
        <f>HYPERLINK("https://klasma.github.io/Logging_2031/tillsynsmail/A 33392-2025 tillsynsbegäran mail.docx", "A 33392-2025")</f>
        <v/>
      </c>
    </row>
    <row r="79" ht="15" customHeight="1">
      <c r="A79" t="inlineStr">
        <is>
          <t>A 16626-2026</t>
        </is>
      </c>
      <c r="B79" t="inlineStr">
        <is>
          <t>avverkningsanmälan</t>
        </is>
      </c>
      <c r="C79" t="inlineStr">
        <is>
          <t>Föryngringsavverkning</t>
        </is>
      </c>
      <c r="D79" s="1" t="n">
        <v>46112</v>
      </c>
      <c r="E79" s="1" t="n">
        <v>46289</v>
      </c>
      <c r="F79" t="inlineStr">
        <is>
          <t>DALARNAS LÄN</t>
        </is>
      </c>
      <c r="G79" t="inlineStr">
        <is>
          <t>RÄTTVIK</t>
        </is>
      </c>
      <c r="H79" t="inlineStr">
        <is>
          <t>Bergvik skog väst AB</t>
        </is>
      </c>
      <c r="I79" t="n">
        <v>12.1</v>
      </c>
      <c r="J79" t="n">
        <v>1</v>
      </c>
      <c r="K79" t="n">
        <v>0</v>
      </c>
      <c r="L79" t="n">
        <v>0</v>
      </c>
      <c r="M79" t="n">
        <v>0</v>
      </c>
      <c r="N79" t="n">
        <v>0</v>
      </c>
      <c r="O79" t="n">
        <v>0</v>
      </c>
      <c r="P79" t="n">
        <v>0</v>
      </c>
      <c r="Q79" t="n">
        <v>0</v>
      </c>
      <c r="R79" t="n">
        <v>0</v>
      </c>
      <c r="S79" t="n">
        <v>1</v>
      </c>
      <c r="T79" t="n">
        <v>1</v>
      </c>
      <c r="U79" t="n">
        <v>0</v>
      </c>
      <c r="V79" s="2" t="inlineStr">
        <is>
          <t>Utter</t>
        </is>
      </c>
      <c r="W79">
        <f>HYPERLINK("https://klasma.github.io/Logging_2031/artfynd/A 16626-2026 artfynd.xlsx", "A 16626-2026")</f>
        <v/>
      </c>
      <c r="X79">
        <f>HYPERLINK("https://klasma.github.io/Logging_2031/kartor/A 16626-2026 karta.png", "A 16626-2026")</f>
        <v/>
      </c>
      <c r="Y79">
        <f>HYPERLINK("https://klasma.github.io/Logging_2031/kartor_geotiff/A 16626-2026 georefererad karta.tif", "A 16626-2026")</f>
        <v/>
      </c>
      <c r="AA79">
        <f>HYPERLINK("https://klasma.github.io/Logging_2031/klagomål/A 16626-2026 FSC-klagomål.docx", "A 16626-2026")</f>
        <v/>
      </c>
      <c r="AB79">
        <f>HYPERLINK("https://klasma.github.io/Logging_2031/klagomålsmail/A 16626-2026 FSC-klagomål mail.docx", "A 16626-2026")</f>
        <v/>
      </c>
      <c r="AC79">
        <f>HYPERLINK("https://klasma.github.io/Logging_2031/tillsyn/A 16626-2026 tillsynsbegäran.docx", "A 16626-2026")</f>
        <v/>
      </c>
      <c r="AD79">
        <f>HYPERLINK("https://klasma.github.io/Logging_2031/tillsynsmail/A 16626-2026 tillsynsbegäran mail.docx", "A 16626-2026")</f>
        <v/>
      </c>
    </row>
    <row r="80" ht="15" customHeight="1">
      <c r="A80" t="inlineStr">
        <is>
          <t>A 39106-2026</t>
        </is>
      </c>
      <c r="B80" t="inlineStr">
        <is>
          <t>avverkningsanmälan</t>
        </is>
      </c>
      <c r="C80" t="inlineStr">
        <is>
          <t>Föryngringsavverkning</t>
        </is>
      </c>
      <c r="D80" s="1" t="n">
        <v>46287</v>
      </c>
      <c r="E80" s="1" t="n">
        <v>46289</v>
      </c>
      <c r="F80" t="inlineStr">
        <is>
          <t>DALARNAS LÄN</t>
        </is>
      </c>
      <c r="G80" t="inlineStr">
        <is>
          <t>RÄTTVIK</t>
        </is>
      </c>
      <c r="H80" t="inlineStr">
        <is>
          <t>Sveaskog</t>
        </is>
      </c>
      <c r="I80" t="n">
        <v>2.2</v>
      </c>
      <c r="J80" t="n">
        <v>1</v>
      </c>
      <c r="K80" t="n">
        <v>0</v>
      </c>
      <c r="L80" t="n">
        <v>0</v>
      </c>
      <c r="M80" t="n">
        <v>0</v>
      </c>
      <c r="N80" t="n">
        <v>0</v>
      </c>
      <c r="O80" t="n">
        <v>0</v>
      </c>
      <c r="P80" t="n">
        <v>0</v>
      </c>
      <c r="Q80" t="n">
        <v>0</v>
      </c>
      <c r="R80" t="n">
        <v>0</v>
      </c>
      <c r="S80" t="n">
        <v>1</v>
      </c>
      <c r="T80" t="n">
        <v>2</v>
      </c>
      <c r="U80" t="n">
        <v>0</v>
      </c>
      <c r="V80" s="2" t="inlineStr">
        <is>
          <t>Revlummer</t>
        </is>
      </c>
      <c r="W80">
        <f>HYPERLINK("https://klasma.github.io/Logging_2031/artfynd/A 39106-2026 artfynd.xlsx", "A 39106-2026")</f>
        <v/>
      </c>
      <c r="X80">
        <f>HYPERLINK("https://klasma.github.io/Logging_2031/kartor/A 39106-2026 karta.png", "A 39106-2026")</f>
        <v/>
      </c>
      <c r="Y80">
        <f>HYPERLINK("https://klasma.github.io/Logging_2031/kartor_geotiff/A 39106-2026 georefererad karta.tif", "A 39106-2026")</f>
        <v/>
      </c>
      <c r="AA80">
        <f>HYPERLINK("https://klasma.github.io/Logging_2031/klagomål/A 39106-2026 FSC-klagomål.docx", "A 39106-2026")</f>
        <v/>
      </c>
      <c r="AB80">
        <f>HYPERLINK("https://klasma.github.io/Logging_2031/klagomålsmail/A 39106-2026 FSC-klagomål mail.docx", "A 39106-2026")</f>
        <v/>
      </c>
      <c r="AC80">
        <f>HYPERLINK("https://klasma.github.io/Logging_2031/tillsyn/A 39106-2026 tillsynsbegäran.docx", "A 39106-2026")</f>
        <v/>
      </c>
      <c r="AD80">
        <f>HYPERLINK("https://klasma.github.io/Logging_2031/tillsynsmail/A 39106-2026 tillsynsbegäran mail.docx", "A 39106-2026")</f>
        <v/>
      </c>
    </row>
    <row r="81" ht="15" customHeight="1">
      <c r="A81" t="inlineStr">
        <is>
          <t>A 12391-2026</t>
        </is>
      </c>
      <c r="B81" t="inlineStr">
        <is>
          <t>avverkningsanmälan</t>
        </is>
      </c>
      <c r="C81" t="inlineStr">
        <is>
          <t>Föryngringsavverkning</t>
        </is>
      </c>
      <c r="D81" s="1" t="n">
        <v>46090</v>
      </c>
      <c r="E81" s="1" t="n">
        <v>46289</v>
      </c>
      <c r="F81" t="inlineStr">
        <is>
          <t>DALARNAS LÄN</t>
        </is>
      </c>
      <c r="G81" t="inlineStr">
        <is>
          <t>RÄTTVIK</t>
        </is>
      </c>
      <c r="H81" t="inlineStr">
        <is>
          <t>Sveaskog</t>
        </is>
      </c>
      <c r="I81" t="n">
        <v>1.8</v>
      </c>
      <c r="J81" t="n">
        <v>0</v>
      </c>
      <c r="K81" t="n">
        <v>0</v>
      </c>
      <c r="L81" t="n">
        <v>1</v>
      </c>
      <c r="M81" t="n">
        <v>0</v>
      </c>
      <c r="N81" t="n">
        <v>0</v>
      </c>
      <c r="O81" t="n">
        <v>0</v>
      </c>
      <c r="P81" t="n">
        <v>0</v>
      </c>
      <c r="Q81" t="n">
        <v>1</v>
      </c>
      <c r="R81" t="n">
        <v>0</v>
      </c>
      <c r="S81" t="n">
        <v>1</v>
      </c>
      <c r="T81" t="n">
        <v>1</v>
      </c>
      <c r="U81" t="n">
        <v>0</v>
      </c>
      <c r="V81" s="2" t="inlineStr">
        <is>
          <t>Vedflamlav</t>
        </is>
      </c>
      <c r="W81">
        <f>HYPERLINK("https://klasma.github.io/Logging_2031/artfynd/A 12391-2026 artfynd.xlsx", "A 12391-2026")</f>
        <v/>
      </c>
      <c r="X81">
        <f>HYPERLINK("https://klasma.github.io/Logging_2031/kartor/A 12391-2026 karta.png", "A 12391-2026")</f>
        <v/>
      </c>
      <c r="Y81">
        <f>HYPERLINK("https://klasma.github.io/Logging_2031/kartor_geotiff/A 12391-2026 georefererad karta.tif", "A 12391-2026")</f>
        <v/>
      </c>
      <c r="AA81">
        <f>HYPERLINK("https://klasma.github.io/Logging_2031/klagomål/A 12391-2026 FSC-klagomål.docx", "A 12391-2026")</f>
        <v/>
      </c>
      <c r="AB81">
        <f>HYPERLINK("https://klasma.github.io/Logging_2031/klagomålsmail/A 12391-2026 FSC-klagomål mail.docx", "A 12391-2026")</f>
        <v/>
      </c>
      <c r="AC81">
        <f>HYPERLINK("https://klasma.github.io/Logging_2031/tillsyn/A 12391-2026 tillsynsbegäran.docx", "A 12391-2026")</f>
        <v/>
      </c>
      <c r="AD81">
        <f>HYPERLINK("https://klasma.github.io/Logging_2031/tillsynsmail/A 12391-2026 tillsynsbegäran mail.docx", "A 12391-2026")</f>
        <v/>
      </c>
    </row>
    <row r="82" ht="15" customHeight="1">
      <c r="A82" t="inlineStr">
        <is>
          <t>A 15164-2026</t>
        </is>
      </c>
      <c r="B82" t="inlineStr">
        <is>
          <t>avverkningsanmälan</t>
        </is>
      </c>
      <c r="C82" t="inlineStr">
        <is>
          <t>Föryngringsavverkning</t>
        </is>
      </c>
      <c r="D82" s="1" t="n">
        <v>46105</v>
      </c>
      <c r="E82" s="1" t="n">
        <v>46289</v>
      </c>
      <c r="F82" t="inlineStr">
        <is>
          <t>DALARNAS LÄN</t>
        </is>
      </c>
      <c r="G82" t="inlineStr">
        <is>
          <t>RÄTTVIK</t>
        </is>
      </c>
      <c r="H82" t="inlineStr">
        <is>
          <t>Bergvik skog väst AB</t>
        </is>
      </c>
      <c r="I82" t="n">
        <v>15.9</v>
      </c>
      <c r="J82" t="n">
        <v>0</v>
      </c>
      <c r="K82" t="n">
        <v>0</v>
      </c>
      <c r="L82" t="n">
        <v>1</v>
      </c>
      <c r="M82" t="n">
        <v>0</v>
      </c>
      <c r="N82" t="n">
        <v>0</v>
      </c>
      <c r="O82" t="n">
        <v>0</v>
      </c>
      <c r="P82" t="n">
        <v>0</v>
      </c>
      <c r="Q82" t="n">
        <v>1</v>
      </c>
      <c r="R82" t="n">
        <v>0</v>
      </c>
      <c r="S82" t="n">
        <v>1</v>
      </c>
      <c r="T82" t="n">
        <v>1</v>
      </c>
      <c r="U82" t="n">
        <v>0</v>
      </c>
      <c r="V82" s="2" t="inlineStr">
        <is>
          <t>Brunklöver</t>
        </is>
      </c>
      <c r="W82">
        <f>HYPERLINK("https://klasma.github.io/Logging_2031/artfynd/A 15164-2026 artfynd.xlsx", "A 15164-2026")</f>
        <v/>
      </c>
      <c r="X82">
        <f>HYPERLINK("https://klasma.github.io/Logging_2031/kartor/A 15164-2026 karta.png", "A 15164-2026")</f>
        <v/>
      </c>
      <c r="Y82">
        <f>HYPERLINK("https://klasma.github.io/Logging_2031/kartor_geotiff/A 15164-2026 georefererad karta.tif", "A 15164-2026")</f>
        <v/>
      </c>
      <c r="AA82">
        <f>HYPERLINK("https://klasma.github.io/Logging_2031/klagomål/A 15164-2026 FSC-klagomål.docx", "A 15164-2026")</f>
        <v/>
      </c>
      <c r="AB82">
        <f>HYPERLINK("https://klasma.github.io/Logging_2031/klagomålsmail/A 15164-2026 FSC-klagomål mail.docx", "A 15164-2026")</f>
        <v/>
      </c>
      <c r="AC82">
        <f>HYPERLINK("https://klasma.github.io/Logging_2031/tillsyn/A 15164-2026 tillsynsbegäran.docx", "A 15164-2026")</f>
        <v/>
      </c>
      <c r="AD82">
        <f>HYPERLINK("https://klasma.github.io/Logging_2031/tillsynsmail/A 15164-2026 tillsynsbegäran mail.docx", "A 15164-2026")</f>
        <v/>
      </c>
    </row>
    <row r="83" ht="15" customHeight="1">
      <c r="A83" t="inlineStr">
        <is>
          <t>A 56438-2023</t>
        </is>
      </c>
      <c r="B83" t="inlineStr">
        <is>
          <t>avverkningsanmälan</t>
        </is>
      </c>
      <c r="C83" t="inlineStr">
        <is>
          <t>Föryngringsavverkning</t>
        </is>
      </c>
      <c r="D83" s="1" t="n">
        <v>45243</v>
      </c>
      <c r="E83" s="1" t="n">
        <v>46289</v>
      </c>
      <c r="F83" t="inlineStr">
        <is>
          <t>DALARNAS LÄN</t>
        </is>
      </c>
      <c r="G83" t="inlineStr">
        <is>
          <t>RÄTTVIK</t>
        </is>
      </c>
      <c r="I83" t="n">
        <v>2.4</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HYPERLINK("https://klasma.github.io/Logging_2031/artfynd/A 56438-2023 artfynd.xlsx", "A 56438-2023")</f>
        <v/>
      </c>
      <c r="X83">
        <f>HYPERLINK("https://klasma.github.io/Logging_2031/kartor/A 56438-2023 karta.png", "A 56438-2023")</f>
        <v/>
      </c>
      <c r="Y83">
        <f>HYPERLINK("https://klasma.github.io/Logging_2031/kartor_geotiff/A 56438-2023 georefererad karta.tif", "A 56438-2023")</f>
        <v/>
      </c>
      <c r="AA83">
        <f>HYPERLINK("https://klasma.github.io/Logging_2031/klagomål/A 56438-2023 FSC-klagomål.docx", "A 56438-2023")</f>
        <v/>
      </c>
      <c r="AB83">
        <f>HYPERLINK("https://klasma.github.io/Logging_2031/klagomålsmail/A 56438-2023 FSC-klagomål mail.docx", "A 56438-2023")</f>
        <v/>
      </c>
      <c r="AC83">
        <f>HYPERLINK("https://klasma.github.io/Logging_2031/tillsyn/A 56438-2023 tillsynsbegäran.docx", "A 56438-2023")</f>
        <v/>
      </c>
      <c r="AD83">
        <f>HYPERLINK("https://klasma.github.io/Logging_2031/tillsynsmail/A 56438-2023 tillsynsbegäran mail.docx", "A 56438-2023")</f>
        <v/>
      </c>
    </row>
    <row r="84" ht="15" customHeight="1">
      <c r="A84" t="inlineStr">
        <is>
          <t>A 18527-2026</t>
        </is>
      </c>
      <c r="B84" t="inlineStr">
        <is>
          <t>avverkningsanmälan</t>
        </is>
      </c>
      <c r="C84" t="inlineStr">
        <is>
          <t>Föryngringsavverkning</t>
        </is>
      </c>
      <c r="D84" s="1" t="n">
        <v>46127</v>
      </c>
      <c r="E84" s="1" t="n">
        <v>46289</v>
      </c>
      <c r="F84" t="inlineStr">
        <is>
          <t>DALARNAS LÄN</t>
        </is>
      </c>
      <c r="G84" t="inlineStr">
        <is>
          <t>RÄTTVIK</t>
        </is>
      </c>
      <c r="I84" t="n">
        <v>3.2</v>
      </c>
      <c r="J84" t="n">
        <v>1</v>
      </c>
      <c r="K84" t="n">
        <v>0</v>
      </c>
      <c r="L84" t="n">
        <v>0</v>
      </c>
      <c r="M84" t="n">
        <v>1</v>
      </c>
      <c r="N84" t="n">
        <v>0</v>
      </c>
      <c r="O84" t="n">
        <v>0</v>
      </c>
      <c r="P84" t="n">
        <v>0</v>
      </c>
      <c r="Q84" t="n">
        <v>1</v>
      </c>
      <c r="R84" t="n">
        <v>1</v>
      </c>
      <c r="S84" t="n">
        <v>1</v>
      </c>
      <c r="T84" t="n">
        <v>4</v>
      </c>
      <c r="U84" t="n">
        <v>0</v>
      </c>
      <c r="V84" s="2" t="inlineStr">
        <is>
          <t>Väddnätfjäril</t>
        </is>
      </c>
      <c r="W84">
        <f>HYPERLINK("https://klasma.github.io/Logging_2031/artfynd/A 18527-2026 artfynd.xlsx", "A 18527-2026")</f>
        <v/>
      </c>
      <c r="X84">
        <f>HYPERLINK("https://klasma.github.io/Logging_2031/kartor/A 18527-2026 karta.png", "A 18527-2026")</f>
        <v/>
      </c>
      <c r="Y84">
        <f>HYPERLINK("https://klasma.github.io/Logging_2031/kartor_geotiff/A 18527-2026 georefererad karta.tif", "A 18527-2026")</f>
        <v/>
      </c>
      <c r="AA84">
        <f>HYPERLINK("https://klasma.github.io/Logging_2031/klagomål/A 18527-2026 FSC-klagomål.docx", "A 18527-2026")</f>
        <v/>
      </c>
      <c r="AB84">
        <f>HYPERLINK("https://klasma.github.io/Logging_2031/klagomålsmail/A 18527-2026 FSC-klagomål mail.docx", "A 18527-2026")</f>
        <v/>
      </c>
      <c r="AC84">
        <f>HYPERLINK("https://klasma.github.io/Logging_2031/tillsyn/A 18527-2026 tillsynsbegäran.docx", "A 18527-2026")</f>
        <v/>
      </c>
      <c r="AD84">
        <f>HYPERLINK("https://klasma.github.io/Logging_2031/tillsynsmail/A 18527-2026 tillsynsbegäran mail.docx", "A 18527-2026")</f>
        <v/>
      </c>
    </row>
    <row r="85" ht="15" customHeight="1">
      <c r="A85" t="inlineStr">
        <is>
          <t>A 19775-2026</t>
        </is>
      </c>
      <c r="B85" t="inlineStr">
        <is>
          <t>avverkningsanmälan</t>
        </is>
      </c>
      <c r="C85" t="inlineStr">
        <is>
          <t>Föryngringsavverkning</t>
        </is>
      </c>
      <c r="D85" s="1" t="n">
        <v>46135</v>
      </c>
      <c r="E85" s="1" t="n">
        <v>46289</v>
      </c>
      <c r="F85" t="inlineStr">
        <is>
          <t>DALARNAS LÄN</t>
        </is>
      </c>
      <c r="G85" t="inlineStr">
        <is>
          <t>RÄTTVIK</t>
        </is>
      </c>
      <c r="I85" t="n">
        <v>1</v>
      </c>
      <c r="J85" t="n">
        <v>0</v>
      </c>
      <c r="K85" t="n">
        <v>0</v>
      </c>
      <c r="L85" t="n">
        <v>1</v>
      </c>
      <c r="M85" t="n">
        <v>0</v>
      </c>
      <c r="N85" t="n">
        <v>0</v>
      </c>
      <c r="O85" t="n">
        <v>0</v>
      </c>
      <c r="P85" t="n">
        <v>0</v>
      </c>
      <c r="Q85" t="n">
        <v>1</v>
      </c>
      <c r="R85" t="n">
        <v>0</v>
      </c>
      <c r="S85" t="n">
        <v>1</v>
      </c>
      <c r="T85" t="n">
        <v>1</v>
      </c>
      <c r="U85" t="n">
        <v>0</v>
      </c>
      <c r="V85" s="2" t="inlineStr">
        <is>
          <t>Orange taggsvamp</t>
        </is>
      </c>
      <c r="W85">
        <f>HYPERLINK("https://klasma.github.io/Logging_2031/artfynd/A 19775-2026 artfynd.xlsx", "A 19775-2026")</f>
        <v/>
      </c>
      <c r="X85">
        <f>HYPERLINK("https://klasma.github.io/Logging_2031/kartor/A 19775-2026 karta.png", "A 19775-2026")</f>
        <v/>
      </c>
      <c r="Y85">
        <f>HYPERLINK("https://klasma.github.io/Logging_2031/kartor_geotiff/A 19775-2026 georefererad karta.tif", "A 19775-2026")</f>
        <v/>
      </c>
      <c r="AA85">
        <f>HYPERLINK("https://klasma.github.io/Logging_2031/klagomål/A 19775-2026 FSC-klagomål.docx", "A 19775-2026")</f>
        <v/>
      </c>
      <c r="AB85">
        <f>HYPERLINK("https://klasma.github.io/Logging_2031/klagomålsmail/A 19775-2026 FSC-klagomål mail.docx", "A 19775-2026")</f>
        <v/>
      </c>
      <c r="AC85">
        <f>HYPERLINK("https://klasma.github.io/Logging_2031/tillsyn/A 19775-2026 tillsynsbegäran.docx", "A 19775-2026")</f>
        <v/>
      </c>
      <c r="AD85">
        <f>HYPERLINK("https://klasma.github.io/Logging_2031/tillsynsmail/A 19775-2026 tillsynsbegäran mail.docx", "A 19775-2026")</f>
        <v/>
      </c>
    </row>
    <row r="86" ht="15" customHeight="1">
      <c r="A86" t="inlineStr">
        <is>
          <t>A 352-2026</t>
        </is>
      </c>
      <c r="B86" t="inlineStr">
        <is>
          <t>avverkningsanmälan</t>
        </is>
      </c>
      <c r="C86" t="inlineStr">
        <is>
          <t>Föryngringsavverkning</t>
        </is>
      </c>
      <c r="D86" s="1" t="n">
        <v>46027</v>
      </c>
      <c r="E86" s="1" t="n">
        <v>46289</v>
      </c>
      <c r="F86" t="inlineStr">
        <is>
          <t>DALARNAS LÄN</t>
        </is>
      </c>
      <c r="G86" t="inlineStr">
        <is>
          <t>RÄTTVIK</t>
        </is>
      </c>
      <c r="I86" t="n">
        <v>3.7</v>
      </c>
      <c r="J86" t="n">
        <v>1</v>
      </c>
      <c r="K86" t="n">
        <v>0</v>
      </c>
      <c r="L86" t="n">
        <v>0</v>
      </c>
      <c r="M86" t="n">
        <v>1</v>
      </c>
      <c r="N86" t="n">
        <v>0</v>
      </c>
      <c r="O86" t="n">
        <v>0</v>
      </c>
      <c r="P86" t="n">
        <v>0</v>
      </c>
      <c r="Q86" t="n">
        <v>1</v>
      </c>
      <c r="R86" t="n">
        <v>1</v>
      </c>
      <c r="S86" t="n">
        <v>1</v>
      </c>
      <c r="T86" t="n">
        <v>3</v>
      </c>
      <c r="U86" t="n">
        <v>0</v>
      </c>
      <c r="V86" s="2" t="inlineStr">
        <is>
          <t>Väddnätfjäril</t>
        </is>
      </c>
      <c r="W86">
        <f>HYPERLINK("https://klasma.github.io/Logging_2031/artfynd/A 352-2026 artfynd.xlsx", "A 352-2026")</f>
        <v/>
      </c>
      <c r="X86">
        <f>HYPERLINK("https://klasma.github.io/Logging_2031/kartor/A 352-2026 karta.png", "A 352-2026")</f>
        <v/>
      </c>
      <c r="Y86">
        <f>HYPERLINK("https://klasma.github.io/Logging_2031/kartor_geotiff/A 352-2026 georefererad karta.tif", "A 352-2026")</f>
        <v/>
      </c>
      <c r="AA86">
        <f>HYPERLINK("https://klasma.github.io/Logging_2031/klagomål/A 352-2026 FSC-klagomål.docx", "A 352-2026")</f>
        <v/>
      </c>
      <c r="AB86">
        <f>HYPERLINK("https://klasma.github.io/Logging_2031/klagomålsmail/A 352-2026 FSC-klagomål mail.docx", "A 352-2026")</f>
        <v/>
      </c>
      <c r="AC86">
        <f>HYPERLINK("https://klasma.github.io/Logging_2031/tillsyn/A 352-2026 tillsynsbegäran.docx", "A 352-2026")</f>
        <v/>
      </c>
      <c r="AD86">
        <f>HYPERLINK("https://klasma.github.io/Logging_2031/tillsynsmail/A 352-2026 tillsynsbegäran mail.docx", "A 352-2026")</f>
        <v/>
      </c>
    </row>
    <row r="87" ht="15" customHeight="1">
      <c r="A87" t="inlineStr">
        <is>
          <t>A 58233-2025</t>
        </is>
      </c>
      <c r="B87" t="inlineStr">
        <is>
          <t>avverkningsanmälan</t>
        </is>
      </c>
      <c r="C87" t="inlineStr">
        <is>
          <t>Föryngringsavverkning</t>
        </is>
      </c>
      <c r="D87" s="1" t="n">
        <v>45985</v>
      </c>
      <c r="E87" s="1" t="n">
        <v>46289</v>
      </c>
      <c r="F87" t="inlineStr">
        <is>
          <t>DALARNAS LÄN</t>
        </is>
      </c>
      <c r="G87" t="inlineStr">
        <is>
          <t>RÄTTVIK</t>
        </is>
      </c>
      <c r="I87" t="n">
        <v>1.7</v>
      </c>
      <c r="J87" t="n">
        <v>0</v>
      </c>
      <c r="K87" t="n">
        <v>0</v>
      </c>
      <c r="L87" t="n">
        <v>1</v>
      </c>
      <c r="M87" t="n">
        <v>0</v>
      </c>
      <c r="N87" t="n">
        <v>0</v>
      </c>
      <c r="O87" t="n">
        <v>0</v>
      </c>
      <c r="P87" t="n">
        <v>0</v>
      </c>
      <c r="Q87" t="n">
        <v>1</v>
      </c>
      <c r="R87" t="n">
        <v>0</v>
      </c>
      <c r="S87" t="n">
        <v>1</v>
      </c>
      <c r="T87" t="n">
        <v>1</v>
      </c>
      <c r="U87" t="n">
        <v>0</v>
      </c>
      <c r="V87" s="2" t="inlineStr">
        <is>
          <t>Rynkskinn</t>
        </is>
      </c>
      <c r="W87">
        <f>HYPERLINK("https://klasma.github.io/Logging_2031/artfynd/A 58233-2025 artfynd.xlsx", "A 58233-2025")</f>
        <v/>
      </c>
      <c r="X87">
        <f>HYPERLINK("https://klasma.github.io/Logging_2031/kartor/A 58233-2025 karta.png", "A 58233-2025")</f>
        <v/>
      </c>
      <c r="Y87">
        <f>HYPERLINK("https://klasma.github.io/Logging_2031/kartor_geotiff/A 58233-2025 georefererad karta.tif", "A 58233-2025")</f>
        <v/>
      </c>
      <c r="AA87">
        <f>HYPERLINK("https://klasma.github.io/Logging_2031/klagomål/A 58233-2025 FSC-klagomål.docx", "A 58233-2025")</f>
        <v/>
      </c>
      <c r="AB87">
        <f>HYPERLINK("https://klasma.github.io/Logging_2031/klagomålsmail/A 58233-2025 FSC-klagomål mail.docx", "A 58233-2025")</f>
        <v/>
      </c>
      <c r="AC87">
        <f>HYPERLINK("https://klasma.github.io/Logging_2031/tillsyn/A 58233-2025 tillsynsbegäran.docx", "A 58233-2025")</f>
        <v/>
      </c>
      <c r="AD87">
        <f>HYPERLINK("https://klasma.github.io/Logging_2031/tillsynsmail/A 58233-2025 tillsynsbegäran mail.docx", "A 58233-2025")</f>
        <v/>
      </c>
    </row>
    <row r="88" ht="15" customHeight="1">
      <c r="A88" t="inlineStr">
        <is>
          <t>A 2112-2026</t>
        </is>
      </c>
      <c r="B88" t="inlineStr">
        <is>
          <t>avverkningsanmälan</t>
        </is>
      </c>
      <c r="C88" t="inlineStr">
        <is>
          <t>Föryngringsavverkning</t>
        </is>
      </c>
      <c r="D88" s="1" t="n">
        <v>46036</v>
      </c>
      <c r="E88" s="1" t="n">
        <v>46289</v>
      </c>
      <c r="F88" t="inlineStr">
        <is>
          <t>DALARNAS LÄN</t>
        </is>
      </c>
      <c r="G88" t="inlineStr">
        <is>
          <t>RÄTTVIK</t>
        </is>
      </c>
      <c r="I88" t="n">
        <v>8.6</v>
      </c>
      <c r="J88" t="n">
        <v>0</v>
      </c>
      <c r="K88" t="n">
        <v>1</v>
      </c>
      <c r="L88" t="n">
        <v>0</v>
      </c>
      <c r="M88" t="n">
        <v>0</v>
      </c>
      <c r="N88" t="n">
        <v>0</v>
      </c>
      <c r="O88" t="n">
        <v>0</v>
      </c>
      <c r="P88" t="n">
        <v>0</v>
      </c>
      <c r="Q88" t="n">
        <v>0</v>
      </c>
      <c r="R88" t="n">
        <v>0</v>
      </c>
      <c r="S88" t="n">
        <v>1</v>
      </c>
      <c r="T88" t="n">
        <v>1</v>
      </c>
      <c r="U88" t="n">
        <v>0</v>
      </c>
      <c r="V88" s="2" t="inlineStr">
        <is>
          <t>Axag</t>
        </is>
      </c>
      <c r="W88">
        <f>HYPERLINK("https://klasma.github.io/Logging_2031/artfynd/A 2112-2026 artfynd.xlsx", "A 2112-2026")</f>
        <v/>
      </c>
      <c r="X88">
        <f>HYPERLINK("https://klasma.github.io/Logging_2031/kartor/A 2112-2026 karta.png", "A 2112-2026")</f>
        <v/>
      </c>
      <c r="Y88">
        <f>HYPERLINK("https://klasma.github.io/Logging_2031/kartor_geotiff/A 2112-2026 georefererad karta.tif", "A 2112-2026")</f>
        <v/>
      </c>
      <c r="AA88">
        <f>HYPERLINK("https://klasma.github.io/Logging_2031/klagomål/A 2112-2026 FSC-klagomål.docx", "A 2112-2026")</f>
        <v/>
      </c>
      <c r="AB88">
        <f>HYPERLINK("https://klasma.github.io/Logging_2031/klagomålsmail/A 2112-2026 FSC-klagomål mail.docx", "A 2112-2026")</f>
        <v/>
      </c>
      <c r="AC88">
        <f>HYPERLINK("https://klasma.github.io/Logging_2031/tillsyn/A 2112-2026 tillsynsbegäran.docx", "A 2112-2026")</f>
        <v/>
      </c>
      <c r="AD88">
        <f>HYPERLINK("https://klasma.github.io/Logging_2031/tillsynsmail/A 2112-2026 tillsynsbegäran mail.docx", "A 2112-2026")</f>
        <v/>
      </c>
    </row>
    <row r="89" ht="15" customHeight="1">
      <c r="A89" t="inlineStr">
        <is>
          <t>A 22518-2026</t>
        </is>
      </c>
      <c r="B89" t="inlineStr">
        <is>
          <t>avverkningsanmälan</t>
        </is>
      </c>
      <c r="C89" t="inlineStr">
        <is>
          <t>Föryngringsavverkning</t>
        </is>
      </c>
      <c r="D89" s="1" t="n">
        <v>46155</v>
      </c>
      <c r="E89" s="1" t="n">
        <v>46289</v>
      </c>
      <c r="F89" t="inlineStr">
        <is>
          <t>DALARNAS LÄN</t>
        </is>
      </c>
      <c r="G89" t="inlineStr">
        <is>
          <t>RÄTTVIK</t>
        </is>
      </c>
      <c r="H89" t="inlineStr">
        <is>
          <t>Bergvik skog väst AB</t>
        </is>
      </c>
      <c r="I89" t="n">
        <v>1.4</v>
      </c>
      <c r="J89" t="n">
        <v>1</v>
      </c>
      <c r="K89" t="n">
        <v>0</v>
      </c>
      <c r="L89" t="n">
        <v>0</v>
      </c>
      <c r="M89" t="n">
        <v>0</v>
      </c>
      <c r="N89" t="n">
        <v>0</v>
      </c>
      <c r="O89" t="n">
        <v>0</v>
      </c>
      <c r="P89" t="n">
        <v>0</v>
      </c>
      <c r="Q89" t="n">
        <v>0</v>
      </c>
      <c r="R89" t="n">
        <v>0</v>
      </c>
      <c r="S89" t="n">
        <v>1</v>
      </c>
      <c r="T89" t="n">
        <v>1</v>
      </c>
      <c r="U89" t="n">
        <v>0</v>
      </c>
      <c r="V89" s="2" t="inlineStr">
        <is>
          <t>Orre</t>
        </is>
      </c>
      <c r="W89">
        <f>HYPERLINK("https://klasma.github.io/Logging_2031/artfynd/A 22518-2026 artfynd.xlsx", "A 22518-2026")</f>
        <v/>
      </c>
      <c r="X89">
        <f>HYPERLINK("https://klasma.github.io/Logging_2031/kartor/A 22518-2026 karta.png", "A 22518-2026")</f>
        <v/>
      </c>
      <c r="Y89">
        <f>HYPERLINK("https://klasma.github.io/Logging_2031/kartor_geotiff/A 22518-2026 georefererad karta.tif", "A 22518-2026")</f>
        <v/>
      </c>
      <c r="AA89">
        <f>HYPERLINK("https://klasma.github.io/Logging_2031/klagomål/A 22518-2026 FSC-klagomål.docx", "A 22518-2026")</f>
        <v/>
      </c>
      <c r="AB89">
        <f>HYPERLINK("https://klasma.github.io/Logging_2031/klagomålsmail/A 22518-2026 FSC-klagomål mail.docx", "A 22518-2026")</f>
        <v/>
      </c>
      <c r="AC89">
        <f>HYPERLINK("https://klasma.github.io/Logging_2031/tillsyn/A 22518-2026 tillsynsbegäran.docx", "A 22518-2026")</f>
        <v/>
      </c>
      <c r="AD89">
        <f>HYPERLINK("https://klasma.github.io/Logging_2031/tillsynsmail/A 22518-2026 tillsynsbegäran mail.docx", "A 22518-2026")</f>
        <v/>
      </c>
      <c r="AE89">
        <f>HYPERLINK("https://klasma.github.io/Logging_2031/fåglar/A 22518-2026 prioriterade fågelarter.docx", "A 22518-2026")</f>
        <v/>
      </c>
    </row>
    <row r="90" ht="15" customHeight="1">
      <c r="A90" t="inlineStr">
        <is>
          <t>A 18535-2026</t>
        </is>
      </c>
      <c r="B90" t="inlineStr">
        <is>
          <t>avverkningsanmälan</t>
        </is>
      </c>
      <c r="C90" t="inlineStr">
        <is>
          <t>Föryngringsavverkning</t>
        </is>
      </c>
      <c r="D90" s="1" t="n">
        <v>46127</v>
      </c>
      <c r="E90" s="1" t="n">
        <v>46289</v>
      </c>
      <c r="F90" t="inlineStr">
        <is>
          <t>DALARNAS LÄN</t>
        </is>
      </c>
      <c r="G90" t="inlineStr">
        <is>
          <t>RÄTTVIK</t>
        </is>
      </c>
      <c r="I90" t="n">
        <v>5</v>
      </c>
      <c r="J90" t="n">
        <v>1</v>
      </c>
      <c r="K90" t="n">
        <v>0</v>
      </c>
      <c r="L90" t="n">
        <v>0</v>
      </c>
      <c r="M90" t="n">
        <v>1</v>
      </c>
      <c r="N90" t="n">
        <v>0</v>
      </c>
      <c r="O90" t="n">
        <v>0</v>
      </c>
      <c r="P90" t="n">
        <v>0</v>
      </c>
      <c r="Q90" t="n">
        <v>1</v>
      </c>
      <c r="R90" t="n">
        <v>1</v>
      </c>
      <c r="S90" t="n">
        <v>1</v>
      </c>
      <c r="T90" t="n">
        <v>2</v>
      </c>
      <c r="U90" t="n">
        <v>0</v>
      </c>
      <c r="V90" s="2" t="inlineStr">
        <is>
          <t>Väddnätfjäril</t>
        </is>
      </c>
      <c r="W90">
        <f>HYPERLINK("https://klasma.github.io/Logging_2031/artfynd/A 18535-2026 artfynd.xlsx", "A 18535-2026")</f>
        <v/>
      </c>
      <c r="X90">
        <f>HYPERLINK("https://klasma.github.io/Logging_2031/kartor/A 18535-2026 karta.png", "A 18535-2026")</f>
        <v/>
      </c>
      <c r="Y90">
        <f>HYPERLINK("https://klasma.github.io/Logging_2031/kartor_geotiff/A 18535-2026 georefererad karta.tif", "A 18535-2026")</f>
        <v/>
      </c>
      <c r="AA90">
        <f>HYPERLINK("https://klasma.github.io/Logging_2031/klagomål/A 18535-2026 FSC-klagomål.docx", "A 18535-2026")</f>
        <v/>
      </c>
      <c r="AB90">
        <f>HYPERLINK("https://klasma.github.io/Logging_2031/klagomålsmail/A 18535-2026 FSC-klagomål mail.docx", "A 18535-2026")</f>
        <v/>
      </c>
      <c r="AC90">
        <f>HYPERLINK("https://klasma.github.io/Logging_2031/tillsyn/A 18535-2026 tillsynsbegäran.docx", "A 18535-2026")</f>
        <v/>
      </c>
      <c r="AD90">
        <f>HYPERLINK("https://klasma.github.io/Logging_2031/tillsynsmail/A 18535-2026 tillsynsbegäran mail.docx", "A 18535-2026")</f>
        <v/>
      </c>
    </row>
    <row r="91" ht="15" customHeight="1">
      <c r="A91" t="inlineStr">
        <is>
          <t>A 29941-2026</t>
        </is>
      </c>
      <c r="B91" t="inlineStr">
        <is>
          <t>avverkningsanmälan</t>
        </is>
      </c>
      <c r="C91" t="inlineStr">
        <is>
          <t>Föryngringsavverkning</t>
        </is>
      </c>
      <c r="D91" s="1" t="n">
        <v>46205</v>
      </c>
      <c r="E91" s="1" t="n">
        <v>46289</v>
      </c>
      <c r="F91" t="inlineStr">
        <is>
          <t>DALARNAS LÄN</t>
        </is>
      </c>
      <c r="G91" t="inlineStr">
        <is>
          <t>RÄTTVIK</t>
        </is>
      </c>
      <c r="I91" t="n">
        <v>10.3</v>
      </c>
      <c r="J91" t="n">
        <v>1</v>
      </c>
      <c r="K91" t="n">
        <v>0</v>
      </c>
      <c r="L91" t="n">
        <v>0</v>
      </c>
      <c r="M91" t="n">
        <v>1</v>
      </c>
      <c r="N91" t="n">
        <v>0</v>
      </c>
      <c r="O91" t="n">
        <v>0</v>
      </c>
      <c r="P91" t="n">
        <v>0</v>
      </c>
      <c r="Q91" t="n">
        <v>1</v>
      </c>
      <c r="R91" t="n">
        <v>1</v>
      </c>
      <c r="S91" t="n">
        <v>1</v>
      </c>
      <c r="T91" t="n">
        <v>6</v>
      </c>
      <c r="U91" t="n">
        <v>0</v>
      </c>
      <c r="V91" s="2" t="inlineStr">
        <is>
          <t>Väddnätfjäril</t>
        </is>
      </c>
      <c r="W91">
        <f>HYPERLINK("https://klasma.github.io/Logging_2031/artfynd/A 29941-2026 artfynd.xlsx", "A 29941-2026")</f>
        <v/>
      </c>
      <c r="X91">
        <f>HYPERLINK("https://klasma.github.io/Logging_2031/kartor/A 29941-2026 karta.png", "A 29941-2026")</f>
        <v/>
      </c>
      <c r="Y91">
        <f>HYPERLINK("https://klasma.github.io/Logging_2031/kartor_geotiff/A 29941-2026 georefererad karta.tif", "A 29941-2026")</f>
        <v/>
      </c>
      <c r="AA91">
        <f>HYPERLINK("https://klasma.github.io/Logging_2031/klagomål/A 29941-2026 FSC-klagomål.docx", "A 29941-2026")</f>
        <v/>
      </c>
      <c r="AB91">
        <f>HYPERLINK("https://klasma.github.io/Logging_2031/klagomålsmail/A 29941-2026 FSC-klagomål mail.docx", "A 29941-2026")</f>
        <v/>
      </c>
      <c r="AC91">
        <f>HYPERLINK("https://klasma.github.io/Logging_2031/tillsyn/A 29941-2026 tillsynsbegäran.docx", "A 29941-2026")</f>
        <v/>
      </c>
      <c r="AD91">
        <f>HYPERLINK("https://klasma.github.io/Logging_2031/tillsynsmail/A 29941-2026 tillsynsbegäran mail.docx", "A 29941-2026")</f>
        <v/>
      </c>
    </row>
    <row r="92" ht="15" customHeight="1">
      <c r="A92" t="inlineStr">
        <is>
          <t>A 30692-2026</t>
        </is>
      </c>
      <c r="B92" t="inlineStr">
        <is>
          <t>avverkningsanmälan</t>
        </is>
      </c>
      <c r="C92" t="inlineStr">
        <is>
          <t>Föryngringsavverkning</t>
        </is>
      </c>
      <c r="D92" s="1" t="n">
        <v>46211</v>
      </c>
      <c r="E92" s="1" t="n">
        <v>46289</v>
      </c>
      <c r="F92" t="inlineStr">
        <is>
          <t>DALARNAS LÄN</t>
        </is>
      </c>
      <c r="G92" t="inlineStr">
        <is>
          <t>RÄTTVIK</t>
        </is>
      </c>
      <c r="H92" t="inlineStr">
        <is>
          <t>Sveaskog</t>
        </is>
      </c>
      <c r="I92" t="n">
        <v>14.6</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HYPERLINK("https://klasma.github.io/Logging_2031/artfynd/A 30692-2026 artfynd.xlsx", "A 30692-2026")</f>
        <v/>
      </c>
      <c r="X92">
        <f>HYPERLINK("https://klasma.github.io/Logging_2031/kartor/A 30692-2026 karta.png", "A 30692-2026")</f>
        <v/>
      </c>
      <c r="Y92">
        <f>HYPERLINK("https://klasma.github.io/Logging_2031/kartor_geotiff/A 30692-2026 georefererad karta.tif", "A 30692-2026")</f>
        <v/>
      </c>
      <c r="AA92">
        <f>HYPERLINK("https://klasma.github.io/Logging_2031/klagomål/A 30692-2026 FSC-klagomål.docx", "A 30692-2026")</f>
        <v/>
      </c>
      <c r="AB92">
        <f>HYPERLINK("https://klasma.github.io/Logging_2031/klagomålsmail/A 30692-2026 FSC-klagomål mail.docx", "A 30692-2026")</f>
        <v/>
      </c>
      <c r="AC92">
        <f>HYPERLINK("https://klasma.github.io/Logging_2031/tillsyn/A 30692-2026 tillsynsbegäran.docx", "A 30692-2026")</f>
        <v/>
      </c>
      <c r="AD92">
        <f>HYPERLINK("https://klasma.github.io/Logging_2031/tillsynsmail/A 30692-2026 tillsynsbegäran mail.docx", "A 30692-2026")</f>
        <v/>
      </c>
    </row>
    <row r="93" ht="15" customHeight="1">
      <c r="A93" t="inlineStr">
        <is>
          <t>A 35824-2026</t>
        </is>
      </c>
      <c r="B93" t="inlineStr">
        <is>
          <t>avverkningsanmälan</t>
        </is>
      </c>
      <c r="C93" t="inlineStr">
        <is>
          <t>Föryngringsavverkning</t>
        </is>
      </c>
      <c r="D93" s="1" t="n">
        <v>46265</v>
      </c>
      <c r="E93" s="1" t="n">
        <v>46289</v>
      </c>
      <c r="F93" t="inlineStr">
        <is>
          <t>DALARNAS LÄN</t>
        </is>
      </c>
      <c r="G93" t="inlineStr">
        <is>
          <t>RÄTTVIK</t>
        </is>
      </c>
      <c r="H93" t="inlineStr">
        <is>
          <t>Sveaskog</t>
        </is>
      </c>
      <c r="I93" t="n">
        <v>8.800000000000001</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HYPERLINK("https://klasma.github.io/Logging_2031/artfynd/A 35824-2026 artfynd.xlsx", "A 35824-2026")</f>
        <v/>
      </c>
      <c r="X93">
        <f>HYPERLINK("https://klasma.github.io/Logging_2031/kartor/A 35824-2026 karta.png", "A 35824-2026")</f>
        <v/>
      </c>
      <c r="Y93">
        <f>HYPERLINK("https://klasma.github.io/Logging_2031/kartor_geotiff/A 35824-2026 georefererad karta.tif", "A 35824-2026")</f>
        <v/>
      </c>
      <c r="AA93">
        <f>HYPERLINK("https://klasma.github.io/Logging_2031/klagomål/A 35824-2026 FSC-klagomål.docx", "A 35824-2026")</f>
        <v/>
      </c>
      <c r="AB93">
        <f>HYPERLINK("https://klasma.github.io/Logging_2031/klagomålsmail/A 35824-2026 FSC-klagomål mail.docx", "A 35824-2026")</f>
        <v/>
      </c>
      <c r="AC93">
        <f>HYPERLINK("https://klasma.github.io/Logging_2031/tillsyn/A 35824-2026 tillsynsbegäran.docx", "A 35824-2026")</f>
        <v/>
      </c>
      <c r="AD93">
        <f>HYPERLINK("https://klasma.github.io/Logging_2031/tillsynsmail/A 35824-2026 tillsynsbegäran mail.docx", "A 35824-2026")</f>
        <v/>
      </c>
    </row>
    <row r="94" ht="15" customHeight="1">
      <c r="A94" t="inlineStr">
        <is>
          <t>A 37275-2026</t>
        </is>
      </c>
      <c r="B94" t="inlineStr">
        <is>
          <t>avverkningsanmälan</t>
        </is>
      </c>
      <c r="C94" t="inlineStr">
        <is>
          <t>Föryngringsavverkning</t>
        </is>
      </c>
      <c r="D94" s="1" t="n">
        <v>46274</v>
      </c>
      <c r="E94" s="1" t="n">
        <v>46289</v>
      </c>
      <c r="F94" t="inlineStr">
        <is>
          <t>DALARNAS LÄN</t>
        </is>
      </c>
      <c r="G94" t="inlineStr">
        <is>
          <t>RÄTTVIK</t>
        </is>
      </c>
      <c r="H94" t="inlineStr">
        <is>
          <t>Sveaskog</t>
        </is>
      </c>
      <c r="I94" t="n">
        <v>6.8</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HYPERLINK("https://klasma.github.io/Logging_2031/artfynd/A 37275-2026 artfynd.xlsx", "A 37275-2026")</f>
        <v/>
      </c>
      <c r="X94">
        <f>HYPERLINK("https://klasma.github.io/Logging_2031/kartor/A 37275-2026 karta.png", "A 37275-2026")</f>
        <v/>
      </c>
      <c r="Y94">
        <f>HYPERLINK("https://klasma.github.io/Logging_2031/kartor_geotiff/A 37275-2026 georefererad karta.tif", "A 37275-2026")</f>
        <v/>
      </c>
      <c r="AA94">
        <f>HYPERLINK("https://klasma.github.io/Logging_2031/klagomål/A 37275-2026 FSC-klagomål.docx", "A 37275-2026")</f>
        <v/>
      </c>
      <c r="AB94">
        <f>HYPERLINK("https://klasma.github.io/Logging_2031/klagomålsmail/A 37275-2026 FSC-klagomål mail.docx", "A 37275-2026")</f>
        <v/>
      </c>
      <c r="AC94">
        <f>HYPERLINK("https://klasma.github.io/Logging_2031/tillsyn/A 37275-2026 tillsynsbegäran.docx", "A 37275-2026")</f>
        <v/>
      </c>
      <c r="AD94">
        <f>HYPERLINK("https://klasma.github.io/Logging_2031/tillsynsmail/A 37275-2026 tillsynsbegäran mail.docx", "A 37275-2026")</f>
        <v/>
      </c>
    </row>
    <row r="95" ht="15" customHeight="1">
      <c r="A95" t="inlineStr">
        <is>
          <t>A 31861-2026</t>
        </is>
      </c>
      <c r="B95" t="inlineStr">
        <is>
          <t>avverkningsanmälan</t>
        </is>
      </c>
      <c r="C95" t="inlineStr">
        <is>
          <t>Föryngringsavverkning</t>
        </is>
      </c>
      <c r="D95" s="1" t="n">
        <v>46231</v>
      </c>
      <c r="E95" s="1" t="n">
        <v>46289</v>
      </c>
      <c r="F95" t="inlineStr">
        <is>
          <t>DALARNAS LÄN</t>
        </is>
      </c>
      <c r="G95" t="inlineStr">
        <is>
          <t>RÄTTVIK</t>
        </is>
      </c>
      <c r="I95" t="n">
        <v>2.8</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HYPERLINK("https://klasma.github.io/Logging_2031/artfynd/A 31861-2026 artfynd.xlsx", "A 31861-2026")</f>
        <v/>
      </c>
      <c r="X95">
        <f>HYPERLINK("https://klasma.github.io/Logging_2031/kartor/A 31861-2026 karta.png", "A 31861-2026")</f>
        <v/>
      </c>
      <c r="Y95">
        <f>HYPERLINK("https://klasma.github.io/Logging_2031/kartor_geotiff/A 31861-2026 georefererad karta.tif", "A 31861-2026")</f>
        <v/>
      </c>
      <c r="AA95">
        <f>HYPERLINK("https://klasma.github.io/Logging_2031/klagomål/A 31861-2026 FSC-klagomål.docx", "A 31861-2026")</f>
        <v/>
      </c>
      <c r="AB95">
        <f>HYPERLINK("https://klasma.github.io/Logging_2031/klagomålsmail/A 31861-2026 FSC-klagomål mail.docx", "A 31861-2026")</f>
        <v/>
      </c>
      <c r="AC95">
        <f>HYPERLINK("https://klasma.github.io/Logging_2031/tillsyn/A 31861-2026 tillsynsbegäran.docx", "A 31861-2026")</f>
        <v/>
      </c>
      <c r="AD95">
        <f>HYPERLINK("https://klasma.github.io/Logging_2031/tillsynsmail/A 31861-2026 tillsynsbegäran mail.docx", "A 31861-2026")</f>
        <v/>
      </c>
      <c r="AE95">
        <f>HYPERLINK("https://klasma.github.io/Logging_2031/fåglar/A 31861-2026 prioriterade fågelarter.docx", "A 31861-2026")</f>
        <v/>
      </c>
    </row>
    <row r="96" ht="15" customHeight="1">
      <c r="A96" t="inlineStr">
        <is>
          <t>A 37633-2026</t>
        </is>
      </c>
      <c r="B96" t="inlineStr">
        <is>
          <t>avverkningsanmälan</t>
        </is>
      </c>
      <c r="C96" t="inlineStr">
        <is>
          <t>Föryngringsavverkning</t>
        </is>
      </c>
      <c r="D96" s="1" t="n">
        <v>46276</v>
      </c>
      <c r="E96" s="1" t="n">
        <v>46289</v>
      </c>
      <c r="F96" t="inlineStr">
        <is>
          <t>DALARNAS LÄN</t>
        </is>
      </c>
      <c r="G96" t="inlineStr">
        <is>
          <t>RÄTTVIK</t>
        </is>
      </c>
      <c r="H96" t="inlineStr">
        <is>
          <t>Sveaskog</t>
        </is>
      </c>
      <c r="I96" t="n">
        <v>3.6</v>
      </c>
      <c r="J96" t="n">
        <v>0</v>
      </c>
      <c r="K96" t="n">
        <v>0</v>
      </c>
      <c r="L96" t="n">
        <v>1</v>
      </c>
      <c r="M96" t="n">
        <v>0</v>
      </c>
      <c r="N96" t="n">
        <v>0</v>
      </c>
      <c r="O96" t="n">
        <v>0</v>
      </c>
      <c r="P96" t="n">
        <v>0</v>
      </c>
      <c r="Q96" t="n">
        <v>1</v>
      </c>
      <c r="R96" t="n">
        <v>0</v>
      </c>
      <c r="S96" t="n">
        <v>1</v>
      </c>
      <c r="T96" t="n">
        <v>1</v>
      </c>
      <c r="U96" t="n">
        <v>1</v>
      </c>
      <c r="V96" s="2" t="inlineStr">
        <is>
          <t>Kolflarnlav</t>
        </is>
      </c>
      <c r="W96">
        <f>HYPERLINK("https://klasma.github.io/Logging_2031/artfynd/A 37633-2026 artfynd.xlsx", "A 37633-2026")</f>
        <v/>
      </c>
      <c r="X96">
        <f>HYPERLINK("https://klasma.github.io/Logging_2031/kartor/A 37633-2026 karta.png", "A 37633-2026")</f>
        <v/>
      </c>
      <c r="Y96">
        <f>HYPERLINK("https://klasma.github.io/Logging_2031/kartor_geotiff/A 37633-2026 georefererad karta.tif", "A 37633-2026")</f>
        <v/>
      </c>
      <c r="AA96">
        <f>HYPERLINK("https://klasma.github.io/Logging_2031/klagomål/A 37633-2026 FSC-klagomål.docx", "A 37633-2026")</f>
        <v/>
      </c>
      <c r="AB96">
        <f>HYPERLINK("https://klasma.github.io/Logging_2031/klagomålsmail/A 37633-2026 FSC-klagomål mail.docx", "A 37633-2026")</f>
        <v/>
      </c>
      <c r="AC96">
        <f>HYPERLINK("https://klasma.github.io/Logging_2031/tillsyn/A 37633-2026 tillsynsbegäran.docx", "A 37633-2026")</f>
        <v/>
      </c>
      <c r="AD96">
        <f>HYPERLINK("https://klasma.github.io/Logging_2031/tillsynsmail/A 37633-2026 tillsynsbegäran mail.docx", "A 37633-2026")</f>
        <v/>
      </c>
    </row>
    <row r="97" ht="15" customHeight="1">
      <c r="A97" t="inlineStr">
        <is>
          <t>A 37635-2026</t>
        </is>
      </c>
      <c r="B97" t="inlineStr">
        <is>
          <t>avverkningsanmälan</t>
        </is>
      </c>
      <c r="C97" t="inlineStr">
        <is>
          <t>Föryngringsavverkning</t>
        </is>
      </c>
      <c r="D97" s="1" t="n">
        <v>46276</v>
      </c>
      <c r="E97" s="1" t="n">
        <v>46289</v>
      </c>
      <c r="F97" t="inlineStr">
        <is>
          <t>DALARNAS LÄN</t>
        </is>
      </c>
      <c r="G97" t="inlineStr">
        <is>
          <t>RÄTTVIK</t>
        </is>
      </c>
      <c r="H97" t="inlineStr">
        <is>
          <t>Sveaskog</t>
        </is>
      </c>
      <c r="I97" t="n">
        <v>13.9</v>
      </c>
      <c r="J97" t="n">
        <v>1</v>
      </c>
      <c r="K97" t="n">
        <v>0</v>
      </c>
      <c r="L97" t="n">
        <v>0</v>
      </c>
      <c r="M97" t="n">
        <v>1</v>
      </c>
      <c r="N97" t="n">
        <v>0</v>
      </c>
      <c r="O97" t="n">
        <v>0</v>
      </c>
      <c r="P97" t="n">
        <v>0</v>
      </c>
      <c r="Q97" t="n">
        <v>1</v>
      </c>
      <c r="R97" t="n">
        <v>1</v>
      </c>
      <c r="S97" t="n">
        <v>1</v>
      </c>
      <c r="T97" t="n">
        <v>24</v>
      </c>
      <c r="U97" t="n">
        <v>0</v>
      </c>
      <c r="V97" s="2" t="inlineStr">
        <is>
          <t>Brun gräsfjäril</t>
        </is>
      </c>
      <c r="W97">
        <f>HYPERLINK("https://klasma.github.io/Logging_2031/artfynd/A 37635-2026 artfynd.xlsx", "A 37635-2026")</f>
        <v/>
      </c>
      <c r="X97">
        <f>HYPERLINK("https://klasma.github.io/Logging_2031/kartor/A 37635-2026 karta.png", "A 37635-2026")</f>
        <v/>
      </c>
      <c r="Y97">
        <f>HYPERLINK("https://klasma.github.io/Logging_2031/kartor_geotiff/A 37635-2026 georefererad karta.tif", "A 37635-2026")</f>
        <v/>
      </c>
      <c r="AA97">
        <f>HYPERLINK("https://klasma.github.io/Logging_2031/klagomål/A 37635-2026 FSC-klagomål.docx", "A 37635-2026")</f>
        <v/>
      </c>
      <c r="AB97">
        <f>HYPERLINK("https://klasma.github.io/Logging_2031/klagomålsmail/A 37635-2026 FSC-klagomål mail.docx", "A 37635-2026")</f>
        <v/>
      </c>
      <c r="AC97">
        <f>HYPERLINK("https://klasma.github.io/Logging_2031/tillsyn/A 37635-2026 tillsynsbegäran.docx", "A 37635-2026")</f>
        <v/>
      </c>
      <c r="AD97">
        <f>HYPERLINK("https://klasma.github.io/Logging_2031/tillsynsmail/A 37635-2026 tillsynsbegäran mail.docx", "A 37635-2026")</f>
        <v/>
      </c>
    </row>
    <row r="98" ht="15" customHeight="1">
      <c r="A98" t="inlineStr">
        <is>
          <t>A 37634-2026</t>
        </is>
      </c>
      <c r="B98" t="inlineStr">
        <is>
          <t>avverkningsanmälan</t>
        </is>
      </c>
      <c r="C98" t="inlineStr">
        <is>
          <t>Föryngringsavverkning</t>
        </is>
      </c>
      <c r="D98" s="1" t="n">
        <v>46276</v>
      </c>
      <c r="E98" s="1" t="n">
        <v>46289</v>
      </c>
      <c r="F98" t="inlineStr">
        <is>
          <t>DALARNAS LÄN</t>
        </is>
      </c>
      <c r="G98" t="inlineStr">
        <is>
          <t>RÄTTVIK</t>
        </is>
      </c>
      <c r="H98" t="inlineStr">
        <is>
          <t>Sveaskog</t>
        </is>
      </c>
      <c r="I98" t="n">
        <v>5.8</v>
      </c>
      <c r="J98" t="n">
        <v>1</v>
      </c>
      <c r="K98" t="n">
        <v>0</v>
      </c>
      <c r="L98" t="n">
        <v>0</v>
      </c>
      <c r="M98" t="n">
        <v>1</v>
      </c>
      <c r="N98" t="n">
        <v>0</v>
      </c>
      <c r="O98" t="n">
        <v>0</v>
      </c>
      <c r="P98" t="n">
        <v>0</v>
      </c>
      <c r="Q98" t="n">
        <v>1</v>
      </c>
      <c r="R98" t="n">
        <v>1</v>
      </c>
      <c r="S98" t="n">
        <v>1</v>
      </c>
      <c r="T98" t="n">
        <v>11</v>
      </c>
      <c r="U98" t="n">
        <v>0</v>
      </c>
      <c r="V98" s="2" t="inlineStr">
        <is>
          <t>Brun gräsfjäril</t>
        </is>
      </c>
      <c r="W98">
        <f>HYPERLINK("https://klasma.github.io/Logging_2031/artfynd/A 37634-2026 artfynd.xlsx", "A 37634-2026")</f>
        <v/>
      </c>
      <c r="X98">
        <f>HYPERLINK("https://klasma.github.io/Logging_2031/kartor/A 37634-2026 karta.png", "A 37634-2026")</f>
        <v/>
      </c>
      <c r="Y98">
        <f>HYPERLINK("https://klasma.github.io/Logging_2031/kartor_geotiff/A 37634-2026 georefererad karta.tif", "A 37634-2026")</f>
        <v/>
      </c>
      <c r="AA98">
        <f>HYPERLINK("https://klasma.github.io/Logging_2031/klagomål/A 37634-2026 FSC-klagomål.docx", "A 37634-2026")</f>
        <v/>
      </c>
      <c r="AB98">
        <f>HYPERLINK("https://klasma.github.io/Logging_2031/klagomålsmail/A 37634-2026 FSC-klagomål mail.docx", "A 37634-2026")</f>
        <v/>
      </c>
      <c r="AC98">
        <f>HYPERLINK("https://klasma.github.io/Logging_2031/tillsyn/A 37634-2026 tillsynsbegäran.docx", "A 37634-2026")</f>
        <v/>
      </c>
      <c r="AD98">
        <f>HYPERLINK("https://klasma.github.io/Logging_2031/tillsynsmail/A 37634-2026 tillsynsbegäran mail.docx", "A 37634-2026")</f>
        <v/>
      </c>
    </row>
    <row r="99" ht="15" customHeight="1">
      <c r="A99" t="inlineStr">
        <is>
          <t>S 2756-2020</t>
        </is>
      </c>
      <c r="B99" t="inlineStr">
        <is>
          <t>samrådsanmälan</t>
        </is>
      </c>
      <c r="C99" t="inlineStr">
        <is>
          <t>Åtgärd i nyckelbiotop</t>
        </is>
      </c>
      <c r="D99" s="1" t="n">
        <v>44098</v>
      </c>
      <c r="E99" s="1" t="n">
        <v>46289</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46289</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46289</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46289</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46289</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46289</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46289</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46289</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46289</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46289</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46289</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46289</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46289</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46289</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46289</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46289</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46289</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46289</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46289</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46289</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46289</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46289</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46289</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46289</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46289</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46289</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46289</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46289</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53544-2021</t>
        </is>
      </c>
      <c r="B127" t="inlineStr">
        <is>
          <t>avverkningsanmälan</t>
        </is>
      </c>
      <c r="C127" t="inlineStr">
        <is>
          <t>Föryngringsavverkning</t>
        </is>
      </c>
      <c r="D127" s="1" t="n">
        <v>44469</v>
      </c>
      <c r="E127" s="1" t="n">
        <v>46289</v>
      </c>
      <c r="F127" t="inlineStr">
        <is>
          <t>DALARNAS LÄN</t>
        </is>
      </c>
      <c r="G127" t="inlineStr">
        <is>
          <t>RÄTTVIK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55969-2021</t>
        </is>
      </c>
      <c r="B128" t="inlineStr">
        <is>
          <t>avverkningsanmälan</t>
        </is>
      </c>
      <c r="C128" t="inlineStr">
        <is>
          <t>Föryngringsavverkning</t>
        </is>
      </c>
      <c r="D128" s="1" t="n">
        <v>44477</v>
      </c>
      <c r="E128" s="1" t="n">
        <v>46289</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19216-2022</t>
        </is>
      </c>
      <c r="B129" t="inlineStr">
        <is>
          <t>avverkningsanmälan</t>
        </is>
      </c>
      <c r="C129" t="inlineStr">
        <is>
          <t>Föryngringsavverkning</t>
        </is>
      </c>
      <c r="D129" s="1" t="n">
        <v>44692</v>
      </c>
      <c r="E129" s="1" t="n">
        <v>46289</v>
      </c>
      <c r="F129" t="inlineStr">
        <is>
          <t>DALARNAS LÄN</t>
        </is>
      </c>
      <c r="G129" t="inlineStr">
        <is>
          <t>RÄTTVIK</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31407-2022</t>
        </is>
      </c>
      <c r="B130" t="inlineStr">
        <is>
          <t>avverkningsanmälan</t>
        </is>
      </c>
      <c r="C130" t="inlineStr">
        <is>
          <t>Föryngringsavverkning</t>
        </is>
      </c>
      <c r="D130" s="1" t="n">
        <v>44774</v>
      </c>
      <c r="E130" s="1" t="n">
        <v>46289</v>
      </c>
      <c r="F130" t="inlineStr">
        <is>
          <t>DALARNAS LÄN</t>
        </is>
      </c>
      <c r="G130" t="inlineStr">
        <is>
          <t>RÄTTVIK</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43804-2022</t>
        </is>
      </c>
      <c r="B131" t="inlineStr">
        <is>
          <t>avverkningsanmälan</t>
        </is>
      </c>
      <c r="C131" t="inlineStr">
        <is>
          <t>Föryngringsavverkning</t>
        </is>
      </c>
      <c r="D131" s="1" t="n">
        <v>44838</v>
      </c>
      <c r="E131" s="1" t="n">
        <v>46289</v>
      </c>
      <c r="F131" t="inlineStr">
        <is>
          <t>DALARNAS LÄN</t>
        </is>
      </c>
      <c r="G131" t="inlineStr">
        <is>
          <t>RÄTTVIK</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24595-2022</t>
        </is>
      </c>
      <c r="B132" t="inlineStr">
        <is>
          <t>avverkningsanmälan</t>
        </is>
      </c>
      <c r="C132" t="inlineStr">
        <is>
          <t>Föryngringsavverkning</t>
        </is>
      </c>
      <c r="D132" s="1" t="n">
        <v>44727</v>
      </c>
      <c r="E132" s="1" t="n">
        <v>46289</v>
      </c>
      <c r="F132" t="inlineStr">
        <is>
          <t>DALARNAS LÄN</t>
        </is>
      </c>
      <c r="G132" t="inlineStr">
        <is>
          <t>RÄTTVIK</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35706-2022</t>
        </is>
      </c>
      <c r="B133" t="inlineStr">
        <is>
          <t>avverkningsanmälan</t>
        </is>
      </c>
      <c r="C133" t="inlineStr">
        <is>
          <t>Föryngringsavverkning</t>
        </is>
      </c>
      <c r="D133" s="1" t="n">
        <v>44799</v>
      </c>
      <c r="E133" s="1" t="n">
        <v>46289</v>
      </c>
      <c r="F133" t="inlineStr">
        <is>
          <t>DALARNAS LÄN</t>
        </is>
      </c>
      <c r="G133" t="inlineStr">
        <is>
          <t>RÄTTVIK</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49707-2022</t>
        </is>
      </c>
      <c r="B134" t="inlineStr">
        <is>
          <t>avverkningsanmälan</t>
        </is>
      </c>
      <c r="C134" t="inlineStr">
        <is>
          <t>Föryngringsavverkning</t>
        </is>
      </c>
      <c r="D134" s="1" t="n">
        <v>44862</v>
      </c>
      <c r="E134" s="1" t="n">
        <v>46289</v>
      </c>
      <c r="F134" t="inlineStr">
        <is>
          <t>DALARNAS LÄN</t>
        </is>
      </c>
      <c r="G134" t="inlineStr">
        <is>
          <t>RÄTTVIK</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12504-2022</t>
        </is>
      </c>
      <c r="B135" t="inlineStr">
        <is>
          <t>avverkningsanmälan</t>
        </is>
      </c>
      <c r="C135" t="inlineStr">
        <is>
          <t>Avverkning för annat ändamål</t>
        </is>
      </c>
      <c r="D135" s="1" t="n">
        <v>44638</v>
      </c>
      <c r="E135" s="1" t="n">
        <v>46289</v>
      </c>
      <c r="F135" t="inlineStr">
        <is>
          <t>DALARNAS LÄN</t>
        </is>
      </c>
      <c r="G135" t="inlineStr">
        <is>
          <t>RÄTTVIK</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30583-2022</t>
        </is>
      </c>
      <c r="B136" t="inlineStr">
        <is>
          <t>avverkningsanmälan</t>
        </is>
      </c>
      <c r="C136" t="inlineStr">
        <is>
          <t>Föryngringsavverkning</t>
        </is>
      </c>
      <c r="D136" s="1" t="n">
        <v>44762</v>
      </c>
      <c r="E136" s="1" t="n">
        <v>46289</v>
      </c>
      <c r="F136" t="inlineStr">
        <is>
          <t>DALARNAS LÄN</t>
        </is>
      </c>
      <c r="G136" t="inlineStr">
        <is>
          <t>RÄTTVIK</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46289</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45623-2022</t>
        </is>
      </c>
      <c r="B138" t="inlineStr">
        <is>
          <t>avverkningsanmälan</t>
        </is>
      </c>
      <c r="C138" t="inlineStr">
        <is>
          <t>Föryngringsavverkning</t>
        </is>
      </c>
      <c r="D138" s="1" t="n">
        <v>44845</v>
      </c>
      <c r="E138" s="1" t="n">
        <v>46289</v>
      </c>
      <c r="F138" t="inlineStr">
        <is>
          <t>DALARNAS LÄN</t>
        </is>
      </c>
      <c r="G138" t="inlineStr">
        <is>
          <t>RÄTTVIK</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70115-2021</t>
        </is>
      </c>
      <c r="B139" t="inlineStr">
        <is>
          <t>avverkningsanmälan</t>
        </is>
      </c>
      <c r="C139" t="inlineStr">
        <is>
          <t>Föryngringsavverkning</t>
        </is>
      </c>
      <c r="D139" s="1" t="n">
        <v>44533</v>
      </c>
      <c r="E139" s="1" t="n">
        <v>46289</v>
      </c>
      <c r="F139" t="inlineStr">
        <is>
          <t>DALARNAS LÄN</t>
        </is>
      </c>
      <c r="G139" t="inlineStr">
        <is>
          <t>RÄTTVIK</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57827-2021</t>
        </is>
      </c>
      <c r="B140" t="inlineStr">
        <is>
          <t>avverkningsanmälan</t>
        </is>
      </c>
      <c r="C140" t="inlineStr">
        <is>
          <t>Föryngringsavverkning</t>
        </is>
      </c>
      <c r="D140" s="1" t="n">
        <v>44484</v>
      </c>
      <c r="E140" s="1" t="n">
        <v>46289</v>
      </c>
      <c r="F140" t="inlineStr">
        <is>
          <t>DALARNAS LÄN</t>
        </is>
      </c>
      <c r="G140" t="inlineStr">
        <is>
          <t>RÄTTVIK</t>
        </is>
      </c>
      <c r="H140" t="inlineStr">
        <is>
          <t>Sveaskog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72010-2021</t>
        </is>
      </c>
      <c r="B141" t="inlineStr">
        <is>
          <t>avverkningsanmälan</t>
        </is>
      </c>
      <c r="C141" t="inlineStr">
        <is>
          <t>Föryngringsavverkning</t>
        </is>
      </c>
      <c r="D141" s="1" t="n">
        <v>44544</v>
      </c>
      <c r="E141" s="1" t="n">
        <v>46289</v>
      </c>
      <c r="F141" t="inlineStr">
        <is>
          <t>DALARNAS LÄN</t>
        </is>
      </c>
      <c r="G141" t="inlineStr">
        <is>
          <t>RÄTTVIK</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46289</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73899-2021</t>
        </is>
      </c>
      <c r="B143" t="inlineStr">
        <is>
          <t>avverkningsanmälan</t>
        </is>
      </c>
      <c r="C143" t="inlineStr">
        <is>
          <t>Föryngringsavverkning</t>
        </is>
      </c>
      <c r="D143" s="1" t="n">
        <v>44552</v>
      </c>
      <c r="E143" s="1" t="n">
        <v>46289</v>
      </c>
      <c r="F143" t="inlineStr">
        <is>
          <t>DALARNAS LÄN</t>
        </is>
      </c>
      <c r="G143" t="inlineStr">
        <is>
          <t>RÄTTVIK</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74333-2021</t>
        </is>
      </c>
      <c r="B144" t="inlineStr">
        <is>
          <t>avverkningsanmälan</t>
        </is>
      </c>
      <c r="C144" t="inlineStr">
        <is>
          <t>Föryngringsavverkning</t>
        </is>
      </c>
      <c r="D144" s="1" t="n">
        <v>44559</v>
      </c>
      <c r="E144" s="1" t="n">
        <v>46289</v>
      </c>
      <c r="F144" t="inlineStr">
        <is>
          <t>DALARNAS LÄN</t>
        </is>
      </c>
      <c r="G144" t="inlineStr">
        <is>
          <t>RÄTTVIK</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44142-2022</t>
        </is>
      </c>
      <c r="B145" t="inlineStr">
        <is>
          <t>avverkningsanmälan</t>
        </is>
      </c>
      <c r="C145" t="inlineStr">
        <is>
          <t>Föryngringsavverkning</t>
        </is>
      </c>
      <c r="D145" s="1" t="n">
        <v>44839</v>
      </c>
      <c r="E145" s="1" t="n">
        <v>46289</v>
      </c>
      <c r="F145" t="inlineStr">
        <is>
          <t>DALARNAS LÄN</t>
        </is>
      </c>
      <c r="G145" t="inlineStr">
        <is>
          <t>RÄTTVIK</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58829-2021</t>
        </is>
      </c>
      <c r="B146" t="inlineStr">
        <is>
          <t>avverkningsanmälan</t>
        </is>
      </c>
      <c r="C146" t="inlineStr">
        <is>
          <t>Föryngringsavverkning</t>
        </is>
      </c>
      <c r="D146" s="1" t="n">
        <v>44489</v>
      </c>
      <c r="E146" s="1" t="n">
        <v>46289</v>
      </c>
      <c r="F146" t="inlineStr">
        <is>
          <t>DALARNAS LÄN</t>
        </is>
      </c>
      <c r="G146" t="inlineStr">
        <is>
          <t>RÄTTVIK</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44985-2022</t>
        </is>
      </c>
      <c r="B147" t="inlineStr">
        <is>
          <t>avverkningsanmälan</t>
        </is>
      </c>
      <c r="C147" t="inlineStr">
        <is>
          <t>Avverkning för annat ändamål</t>
        </is>
      </c>
      <c r="D147" s="1" t="n">
        <v>44841</v>
      </c>
      <c r="E147" s="1" t="n">
        <v>46289</v>
      </c>
      <c r="F147" t="inlineStr">
        <is>
          <t>DALARNAS LÄN</t>
        </is>
      </c>
      <c r="G147" t="inlineStr">
        <is>
          <t>RÄTTVIK</t>
        </is>
      </c>
      <c r="H147" t="inlineStr">
        <is>
          <t>Bergvik skog väst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44148-2022</t>
        </is>
      </c>
      <c r="B148" t="inlineStr">
        <is>
          <t>avverkningsanmälan</t>
        </is>
      </c>
      <c r="C148" t="inlineStr">
        <is>
          <t>Föryngringsavverkning</t>
        </is>
      </c>
      <c r="D148" s="1" t="n">
        <v>44839</v>
      </c>
      <c r="E148" s="1" t="n">
        <v>46289</v>
      </c>
      <c r="F148" t="inlineStr">
        <is>
          <t>DALARNAS LÄN</t>
        </is>
      </c>
      <c r="G148" t="inlineStr">
        <is>
          <t>RÄTTVIK</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17461-2022</t>
        </is>
      </c>
      <c r="B149" t="inlineStr">
        <is>
          <t>avverkningsanmälan</t>
        </is>
      </c>
      <c r="C149" t="inlineStr">
        <is>
          <t>Föryngringsavverkning</t>
        </is>
      </c>
      <c r="D149" s="1" t="n">
        <v>44679</v>
      </c>
      <c r="E149" s="1" t="n">
        <v>46289</v>
      </c>
      <c r="F149" t="inlineStr">
        <is>
          <t>DALARNAS LÄN</t>
        </is>
      </c>
      <c r="G149" t="inlineStr">
        <is>
          <t>RÄTTVIK</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17462-2022</t>
        </is>
      </c>
      <c r="B150" t="inlineStr">
        <is>
          <t>avverkningsanmälan</t>
        </is>
      </c>
      <c r="C150" t="inlineStr">
        <is>
          <t>Föryngringsavverkning</t>
        </is>
      </c>
      <c r="D150" s="1" t="n">
        <v>44679</v>
      </c>
      <c r="E150" s="1" t="n">
        <v>46289</v>
      </c>
      <c r="F150" t="inlineStr">
        <is>
          <t>DALARNAS LÄN</t>
        </is>
      </c>
      <c r="G150" t="inlineStr">
        <is>
          <t>RÄTTVIK</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58835-2024</t>
        </is>
      </c>
      <c r="B151" t="inlineStr">
        <is>
          <t>avverkningsanmälan</t>
        </is>
      </c>
      <c r="C151" t="inlineStr">
        <is>
          <t>Föryngringsavverkning</t>
        </is>
      </c>
      <c r="D151" s="1" t="n">
        <v>45636</v>
      </c>
      <c r="E151" s="1" t="n">
        <v>46289</v>
      </c>
      <c r="F151" t="inlineStr">
        <is>
          <t>DALARNAS LÄN</t>
        </is>
      </c>
      <c r="G151" t="inlineStr">
        <is>
          <t>RÄTTVIK</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46289</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46289</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53666-2024</t>
        </is>
      </c>
      <c r="B154" t="inlineStr">
        <is>
          <t>avverkningsanmälan</t>
        </is>
      </c>
      <c r="C154" t="inlineStr">
        <is>
          <t>Föryngringsavverkning</t>
        </is>
      </c>
      <c r="D154" s="1" t="n">
        <v>45615</v>
      </c>
      <c r="E154" s="1" t="n">
        <v>46289</v>
      </c>
      <c r="F154" t="inlineStr">
        <is>
          <t>DALARNAS LÄN</t>
        </is>
      </c>
      <c r="G154" t="inlineStr">
        <is>
          <t>RÄTTVIK</t>
        </is>
      </c>
      <c r="I154" t="n">
        <v>9.5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359-2025</t>
        </is>
      </c>
      <c r="B155" t="inlineStr">
        <is>
          <t>avverkningsanmälan</t>
        </is>
      </c>
      <c r="C155" t="inlineStr">
        <is>
          <t>Föryngringsavverkning</t>
        </is>
      </c>
      <c r="D155" s="1" t="n">
        <v>45659</v>
      </c>
      <c r="E155" s="1" t="n">
        <v>46289</v>
      </c>
      <c r="F155" t="inlineStr">
        <is>
          <t>DALARNAS LÄN</t>
        </is>
      </c>
      <c r="G155" t="inlineStr">
        <is>
          <t>RÄTTVIK</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50892-2024</t>
        </is>
      </c>
      <c r="B156" t="inlineStr">
        <is>
          <t>avverkningsanmälan</t>
        </is>
      </c>
      <c r="C156" t="inlineStr">
        <is>
          <t>Föryngringsavverkning</t>
        </is>
      </c>
      <c r="D156" s="1" t="n">
        <v>45602</v>
      </c>
      <c r="E156" s="1" t="n">
        <v>46289</v>
      </c>
      <c r="F156" t="inlineStr">
        <is>
          <t>DALARNAS LÄN</t>
        </is>
      </c>
      <c r="G156" t="inlineStr">
        <is>
          <t>RÄTTVIK</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8127-2024</t>
        </is>
      </c>
      <c r="B157" t="inlineStr">
        <is>
          <t>avverkningsanmälan</t>
        </is>
      </c>
      <c r="C157" t="inlineStr">
        <is>
          <t>Föryngringsavverkning</t>
        </is>
      </c>
      <c r="D157" s="1" t="n">
        <v>45351</v>
      </c>
      <c r="E157" s="1" t="n">
        <v>46289</v>
      </c>
      <c r="F157" t="inlineStr">
        <is>
          <t>DALARNAS LÄN</t>
        </is>
      </c>
      <c r="G157" t="inlineStr">
        <is>
          <t>RÄTTVIK</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35702-2022</t>
        </is>
      </c>
      <c r="B158" t="inlineStr">
        <is>
          <t>avverkningsanmälan</t>
        </is>
      </c>
      <c r="C158" t="inlineStr">
        <is>
          <t>Föryngringsavverkning</t>
        </is>
      </c>
      <c r="D158" s="1" t="n">
        <v>44799</v>
      </c>
      <c r="E158" s="1" t="n">
        <v>46289</v>
      </c>
      <c r="F158" t="inlineStr">
        <is>
          <t>DALARNAS LÄN</t>
        </is>
      </c>
      <c r="G158" t="inlineStr">
        <is>
          <t>RÄTTVIK</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36040-2023</t>
        </is>
      </c>
      <c r="B159" t="inlineStr">
        <is>
          <t>avverkningsanmälan</t>
        </is>
      </c>
      <c r="C159" t="inlineStr">
        <is>
          <t>Föryngringsavverkning</t>
        </is>
      </c>
      <c r="D159" s="1" t="n">
        <v>45148</v>
      </c>
      <c r="E159" s="1" t="n">
        <v>46289</v>
      </c>
      <c r="F159" t="inlineStr">
        <is>
          <t>DALARNAS LÄN</t>
        </is>
      </c>
      <c r="G159" t="inlineStr">
        <is>
          <t>RÄTTVIK</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17157-2025</t>
        </is>
      </c>
      <c r="B160" t="inlineStr">
        <is>
          <t>avverkningsanmälan</t>
        </is>
      </c>
      <c r="C160" t="inlineStr">
        <is>
          <t>Föryngringsavverkning</t>
        </is>
      </c>
      <c r="D160" s="1" t="n">
        <v>45756</v>
      </c>
      <c r="E160" s="1" t="n">
        <v>46289</v>
      </c>
      <c r="F160" t="inlineStr">
        <is>
          <t>DALARNAS LÄN</t>
        </is>
      </c>
      <c r="G160" t="inlineStr">
        <is>
          <t>RÄTTVIK</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19129-2024</t>
        </is>
      </c>
      <c r="B161" t="inlineStr">
        <is>
          <t>avverkningsanmälan</t>
        </is>
      </c>
      <c r="C161" t="inlineStr">
        <is>
          <t>Föryngringsavverkning</t>
        </is>
      </c>
      <c r="D161" s="1" t="n">
        <v>45428</v>
      </c>
      <c r="E161" s="1" t="n">
        <v>46289</v>
      </c>
      <c r="F161" t="inlineStr">
        <is>
          <t>DALARNAS LÄN</t>
        </is>
      </c>
      <c r="G161" t="inlineStr">
        <is>
          <t>RÄTTVIK</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31386-2024</t>
        </is>
      </c>
      <c r="B162" t="inlineStr">
        <is>
          <t>avverkningsanmälan</t>
        </is>
      </c>
      <c r="C162" t="inlineStr">
        <is>
          <t>Föryngringsavverkning</t>
        </is>
      </c>
      <c r="D162" s="1" t="n">
        <v>45505</v>
      </c>
      <c r="E162" s="1" t="n">
        <v>46289</v>
      </c>
      <c r="F162" t="inlineStr">
        <is>
          <t>DALARNAS LÄN</t>
        </is>
      </c>
      <c r="G162" t="inlineStr">
        <is>
          <t>RÄTTVIK</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22762-2025</t>
        </is>
      </c>
      <c r="B163" t="inlineStr">
        <is>
          <t>avverkningsanmälan</t>
        </is>
      </c>
      <c r="C163" t="inlineStr">
        <is>
          <t>Föryngringsavverkning</t>
        </is>
      </c>
      <c r="D163" s="1" t="n">
        <v>45789</v>
      </c>
      <c r="E163" s="1" t="n">
        <v>46289</v>
      </c>
      <c r="F163" t="inlineStr">
        <is>
          <t>DALARNAS LÄN</t>
        </is>
      </c>
      <c r="G163" t="inlineStr">
        <is>
          <t>RÄTTVIK</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41052-2023</t>
        </is>
      </c>
      <c r="B164" t="inlineStr">
        <is>
          <t>avverkningsanmälan</t>
        </is>
      </c>
      <c r="C164" t="inlineStr">
        <is>
          <t>Föryngringsavverkning</t>
        </is>
      </c>
      <c r="D164" s="1" t="n">
        <v>45173</v>
      </c>
      <c r="E164" s="1" t="n">
        <v>46289</v>
      </c>
      <c r="F164" t="inlineStr">
        <is>
          <t>DALARNAS LÄN</t>
        </is>
      </c>
      <c r="G164" t="inlineStr">
        <is>
          <t>RÄTTVIK</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70544-2021</t>
        </is>
      </c>
      <c r="B165" t="inlineStr">
        <is>
          <t>avverkningsanmälan</t>
        </is>
      </c>
      <c r="C165" t="inlineStr">
        <is>
          <t>Föryngringsavverkning</t>
        </is>
      </c>
      <c r="D165" s="1" t="n">
        <v>44537</v>
      </c>
      <c r="E165" s="1" t="n">
        <v>46289</v>
      </c>
      <c r="F165" t="inlineStr">
        <is>
          <t>DALARNAS LÄN</t>
        </is>
      </c>
      <c r="G165" t="inlineStr">
        <is>
          <t>RÄTTVIK</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48290-2023</t>
        </is>
      </c>
      <c r="B166" t="inlineStr">
        <is>
          <t>avverkningsanmälan</t>
        </is>
      </c>
      <c r="C166" t="inlineStr">
        <is>
          <t>Föryngringsavverkning</t>
        </is>
      </c>
      <c r="D166" s="1" t="n">
        <v>45205</v>
      </c>
      <c r="E166" s="1" t="n">
        <v>46289</v>
      </c>
      <c r="F166" t="inlineStr">
        <is>
          <t>DALARNAS LÄN</t>
        </is>
      </c>
      <c r="G166" t="inlineStr">
        <is>
          <t>RÄTTVIK</t>
        </is>
      </c>
      <c r="H166" t="inlineStr">
        <is>
          <t>Bergvik skog väst AB</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22904-2025</t>
        </is>
      </c>
      <c r="B167" t="inlineStr">
        <is>
          <t>avverkningsanmälan</t>
        </is>
      </c>
      <c r="C167" t="inlineStr">
        <is>
          <t>Föryngringsavverkning</t>
        </is>
      </c>
      <c r="D167" s="1" t="n">
        <v>45790</v>
      </c>
      <c r="E167" s="1" t="n">
        <v>46289</v>
      </c>
      <c r="F167" t="inlineStr">
        <is>
          <t>DALARNAS LÄN</t>
        </is>
      </c>
      <c r="G167" t="inlineStr">
        <is>
          <t>RÄTTVIK</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66673-2021</t>
        </is>
      </c>
      <c r="B168" t="inlineStr">
        <is>
          <t>avverkningsanmälan</t>
        </is>
      </c>
      <c r="C168" t="inlineStr">
        <is>
          <t>Föryngringsavverkning</t>
        </is>
      </c>
      <c r="D168" s="1" t="n">
        <v>44519</v>
      </c>
      <c r="E168" s="1" t="n">
        <v>46289</v>
      </c>
      <c r="F168" t="inlineStr">
        <is>
          <t>DALARNAS LÄN</t>
        </is>
      </c>
      <c r="G168" t="inlineStr">
        <is>
          <t>RÄTTVIK</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36169-2024</t>
        </is>
      </c>
      <c r="B169" t="inlineStr">
        <is>
          <t>avverkningsanmälan</t>
        </is>
      </c>
      <c r="C169" t="inlineStr">
        <is>
          <t>Föryngringsavverkning</t>
        </is>
      </c>
      <c r="D169" s="1" t="n">
        <v>45534</v>
      </c>
      <c r="E169" s="1" t="n">
        <v>46289</v>
      </c>
      <c r="F169" t="inlineStr">
        <is>
          <t>DALARNAS LÄN</t>
        </is>
      </c>
      <c r="G169" t="inlineStr">
        <is>
          <t>RÄTTVIK</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64315-2021</t>
        </is>
      </c>
      <c r="B170" t="inlineStr">
        <is>
          <t>avverkningsanmälan</t>
        </is>
      </c>
      <c r="C170" t="inlineStr">
        <is>
          <t>Föryngringsavverkning</t>
        </is>
      </c>
      <c r="D170" s="1" t="n">
        <v>44511</v>
      </c>
      <c r="E170" s="1" t="n">
        <v>46289</v>
      </c>
      <c r="F170" t="inlineStr">
        <is>
          <t>DALARNAS LÄN</t>
        </is>
      </c>
      <c r="G170" t="inlineStr">
        <is>
          <t>RÄTTVIK</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70730-2021</t>
        </is>
      </c>
      <c r="B171" t="inlineStr">
        <is>
          <t>avverkningsanmälan</t>
        </is>
      </c>
      <c r="C171" t="inlineStr">
        <is>
          <t>Föryngringsavverkning</t>
        </is>
      </c>
      <c r="D171" s="1" t="n">
        <v>44537</v>
      </c>
      <c r="E171" s="1" t="n">
        <v>46289</v>
      </c>
      <c r="F171" t="inlineStr">
        <is>
          <t>DALARNAS LÄN</t>
        </is>
      </c>
      <c r="G171" t="inlineStr">
        <is>
          <t>RÄTTVIK</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70737-2021</t>
        </is>
      </c>
      <c r="B172" t="inlineStr">
        <is>
          <t>avverkningsanmälan</t>
        </is>
      </c>
      <c r="C172" t="inlineStr">
        <is>
          <t>Föryngringsavverkning</t>
        </is>
      </c>
      <c r="D172" s="1" t="n">
        <v>44537</v>
      </c>
      <c r="E172" s="1" t="n">
        <v>46289</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34569-2022</t>
        </is>
      </c>
      <c r="B173" t="inlineStr">
        <is>
          <t>avverkningsanmälan</t>
        </is>
      </c>
      <c r="C173" t="inlineStr">
        <is>
          <t>Föryngringsavverkning</t>
        </is>
      </c>
      <c r="D173" s="1" t="n">
        <v>44795</v>
      </c>
      <c r="E173" s="1" t="n">
        <v>46289</v>
      </c>
      <c r="F173" t="inlineStr">
        <is>
          <t>DALARNAS LÄN</t>
        </is>
      </c>
      <c r="G173" t="inlineStr">
        <is>
          <t>RÄTTVIK</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35403-2022</t>
        </is>
      </c>
      <c r="B174" t="inlineStr">
        <is>
          <t>avverkningsanmälan</t>
        </is>
      </c>
      <c r="C174" t="inlineStr">
        <is>
          <t>Föryngringsavverkning</t>
        </is>
      </c>
      <c r="D174" s="1" t="n">
        <v>44798</v>
      </c>
      <c r="E174" s="1" t="n">
        <v>46289</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33530-2022</t>
        </is>
      </c>
      <c r="B175" t="inlineStr">
        <is>
          <t>avverkningsanmälan</t>
        </is>
      </c>
      <c r="C175" t="inlineStr">
        <is>
          <t>Föryngringsavverkning</t>
        </is>
      </c>
      <c r="D175" s="1" t="n">
        <v>44789</v>
      </c>
      <c r="E175" s="1" t="n">
        <v>46289</v>
      </c>
      <c r="F175" t="inlineStr">
        <is>
          <t>DALARNAS LÄN</t>
        </is>
      </c>
      <c r="G175" t="inlineStr">
        <is>
          <t>RÄTTVIK</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2181-2022</t>
        </is>
      </c>
      <c r="B176" t="inlineStr">
        <is>
          <t>avverkningsanmälan</t>
        </is>
      </c>
      <c r="C176" t="inlineStr">
        <is>
          <t>Föryngringsavverkning</t>
        </is>
      </c>
      <c r="D176" s="1" t="n">
        <v>44578</v>
      </c>
      <c r="E176" s="1" t="n">
        <v>46289</v>
      </c>
      <c r="F176" t="inlineStr">
        <is>
          <t>DALARNAS LÄN</t>
        </is>
      </c>
      <c r="G176" t="inlineStr">
        <is>
          <t>RÄTTVIK</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31388-2024</t>
        </is>
      </c>
      <c r="B177" t="inlineStr">
        <is>
          <t>avverkningsanmälan</t>
        </is>
      </c>
      <c r="C177" t="inlineStr">
        <is>
          <t>Föryngringsavverkning</t>
        </is>
      </c>
      <c r="D177" s="1" t="n">
        <v>45505</v>
      </c>
      <c r="E177" s="1" t="n">
        <v>46289</v>
      </c>
      <c r="F177" t="inlineStr">
        <is>
          <t>DALARNAS LÄN</t>
        </is>
      </c>
      <c r="G177" t="inlineStr">
        <is>
          <t>RÄTTVIK</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15767-2023</t>
        </is>
      </c>
      <c r="B178" t="inlineStr">
        <is>
          <t>avverkningsanmälan</t>
        </is>
      </c>
      <c r="C178" t="inlineStr">
        <is>
          <t>Föryngringsavverkning</t>
        </is>
      </c>
      <c r="D178" s="1" t="n">
        <v>45021</v>
      </c>
      <c r="E178" s="1" t="n">
        <v>46289</v>
      </c>
      <c r="F178" t="inlineStr">
        <is>
          <t>DALARNAS LÄN</t>
        </is>
      </c>
      <c r="G178" t="inlineStr">
        <is>
          <t>RÄTTVIK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31552-2022</t>
        </is>
      </c>
      <c r="B179" t="inlineStr">
        <is>
          <t>avverkningsanmälan</t>
        </is>
      </c>
      <c r="C179" t="inlineStr">
        <is>
          <t>Föryngringsavverkning</t>
        </is>
      </c>
      <c r="D179" s="1" t="n">
        <v>44775</v>
      </c>
      <c r="E179" s="1" t="n">
        <v>46289</v>
      </c>
      <c r="F179" t="inlineStr">
        <is>
          <t>DALARNAS LÄN</t>
        </is>
      </c>
      <c r="G179" t="inlineStr">
        <is>
          <t>RÄTTVIK</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31555-2022</t>
        </is>
      </c>
      <c r="B180" t="inlineStr">
        <is>
          <t>avverkningsanmälan</t>
        </is>
      </c>
      <c r="C180" t="inlineStr">
        <is>
          <t>Föryngringsavverkning</t>
        </is>
      </c>
      <c r="D180" s="1" t="n">
        <v>44775</v>
      </c>
      <c r="E180" s="1" t="n">
        <v>46289</v>
      </c>
      <c r="F180" t="inlineStr">
        <is>
          <t>DALARNAS LÄN</t>
        </is>
      </c>
      <c r="G180" t="inlineStr">
        <is>
          <t>RÄTTVIK</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59272-2024</t>
        </is>
      </c>
      <c r="B181" t="inlineStr">
        <is>
          <t>avverkningsanmälan</t>
        </is>
      </c>
      <c r="C181" t="inlineStr">
        <is>
          <t>Föryngringsavverkning</t>
        </is>
      </c>
      <c r="D181" s="1" t="n">
        <v>45637</v>
      </c>
      <c r="E181" s="1" t="n">
        <v>46289</v>
      </c>
      <c r="F181" t="inlineStr">
        <is>
          <t>DALARNAS LÄN</t>
        </is>
      </c>
      <c r="G181" t="inlineStr">
        <is>
          <t>RÄTTVIK</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3640-2024</t>
        </is>
      </c>
      <c r="B182" t="inlineStr">
        <is>
          <t>avverkningsanmälan</t>
        </is>
      </c>
      <c r="C182" t="inlineStr">
        <is>
          <t>Föryngringsavverkning</t>
        </is>
      </c>
      <c r="D182" s="1" t="n">
        <v>45321</v>
      </c>
      <c r="E182" s="1" t="n">
        <v>46289</v>
      </c>
      <c r="F182" t="inlineStr">
        <is>
          <t>DALARNAS LÄN</t>
        </is>
      </c>
      <c r="G182" t="inlineStr">
        <is>
          <t>RÄTTVIK</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28567-2022</t>
        </is>
      </c>
      <c r="B183" t="inlineStr">
        <is>
          <t>avverkningsanmälan</t>
        </is>
      </c>
      <c r="C183" t="inlineStr">
        <is>
          <t>Föryngringsavverkning</t>
        </is>
      </c>
      <c r="D183" s="1" t="n">
        <v>44748</v>
      </c>
      <c r="E183" s="1" t="n">
        <v>46289</v>
      </c>
      <c r="F183" t="inlineStr">
        <is>
          <t>DALARNAS LÄN</t>
        </is>
      </c>
      <c r="G183" t="inlineStr">
        <is>
          <t>RÄTTVIK</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51925-2023</t>
        </is>
      </c>
      <c r="B184" t="inlineStr">
        <is>
          <t>avverkningsanmälan</t>
        </is>
      </c>
      <c r="C184" t="inlineStr">
        <is>
          <t>Föryngringsavverkning</t>
        </is>
      </c>
      <c r="D184" s="1" t="n">
        <v>45223</v>
      </c>
      <c r="E184" s="1" t="n">
        <v>46289</v>
      </c>
      <c r="F184" t="inlineStr">
        <is>
          <t>DALARNAS LÄN</t>
        </is>
      </c>
      <c r="G184" t="inlineStr">
        <is>
          <t>RÄTTVIK</t>
        </is>
      </c>
      <c r="H184" t="inlineStr">
        <is>
          <t>Bergvik skog väst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40570-2022</t>
        </is>
      </c>
      <c r="B185" t="inlineStr">
        <is>
          <t>avverkningsanmälan</t>
        </is>
      </c>
      <c r="C185" t="inlineStr">
        <is>
          <t>Föryngringsavverkning</t>
        </is>
      </c>
      <c r="D185" s="1" t="n">
        <v>44823</v>
      </c>
      <c r="E185" s="1" t="n">
        <v>46289</v>
      </c>
      <c r="F185" t="inlineStr">
        <is>
          <t>DALARNAS LÄN</t>
        </is>
      </c>
      <c r="G185" t="inlineStr">
        <is>
          <t>RÄTTVIK</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62207-2023</t>
        </is>
      </c>
      <c r="B186" t="inlineStr">
        <is>
          <t>avverkningsanmälan</t>
        </is>
      </c>
      <c r="C186" t="inlineStr">
        <is>
          <t>Föryngringsavverkning</t>
        </is>
      </c>
      <c r="D186" s="1" t="n">
        <v>45267</v>
      </c>
      <c r="E186" s="1" t="n">
        <v>46289</v>
      </c>
      <c r="F186" t="inlineStr">
        <is>
          <t>DALARNAS LÄN</t>
        </is>
      </c>
      <c r="G186" t="inlineStr">
        <is>
          <t>RÄTTVIK</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4365-2025</t>
        </is>
      </c>
      <c r="B187" t="inlineStr">
        <is>
          <t>avverkningsanmälan</t>
        </is>
      </c>
      <c r="C187" t="inlineStr">
        <is>
          <t>Föryngringsavverkning</t>
        </is>
      </c>
      <c r="D187" s="1" t="n">
        <v>45686</v>
      </c>
      <c r="E187" s="1" t="n">
        <v>46289</v>
      </c>
      <c r="F187" t="inlineStr">
        <is>
          <t>DALARNAS LÄN</t>
        </is>
      </c>
      <c r="G187" t="inlineStr">
        <is>
          <t>RÄTTVIK</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22788-2025</t>
        </is>
      </c>
      <c r="B188" t="inlineStr">
        <is>
          <t>avverkningsanmälan</t>
        </is>
      </c>
      <c r="C188" t="inlineStr">
        <is>
          <t>Föryngringsavverkning</t>
        </is>
      </c>
      <c r="D188" s="1" t="n">
        <v>45789</v>
      </c>
      <c r="E188" s="1" t="n">
        <v>46289</v>
      </c>
      <c r="F188" t="inlineStr">
        <is>
          <t>DALARNAS LÄN</t>
        </is>
      </c>
      <c r="G188" t="inlineStr">
        <is>
          <t>RÄTTVIK</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19841-2025</t>
        </is>
      </c>
      <c r="B189" t="inlineStr">
        <is>
          <t>avverkningsanmälan</t>
        </is>
      </c>
      <c r="C189" t="inlineStr">
        <is>
          <t>Föryngringsavverkning</t>
        </is>
      </c>
      <c r="D189" s="1" t="n">
        <v>45771</v>
      </c>
      <c r="E189" s="1" t="n">
        <v>46289</v>
      </c>
      <c r="F189" t="inlineStr">
        <is>
          <t>DALARNAS LÄN</t>
        </is>
      </c>
      <c r="G189" t="inlineStr">
        <is>
          <t>RÄTTVIK</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4841-2024</t>
        </is>
      </c>
      <c r="B190" t="inlineStr">
        <is>
          <t>avverkningsanmälan</t>
        </is>
      </c>
      <c r="C190" t="inlineStr">
        <is>
          <t>Föryngringsavverkning</t>
        </is>
      </c>
      <c r="D190" s="1" t="n">
        <v>45329</v>
      </c>
      <c r="E190" s="1" t="n">
        <v>46289</v>
      </c>
      <c r="F190" t="inlineStr">
        <is>
          <t>DALARNAS LÄN</t>
        </is>
      </c>
      <c r="G190" t="inlineStr">
        <is>
          <t>RÄTTVIK</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23257-2025</t>
        </is>
      </c>
      <c r="B191" t="inlineStr">
        <is>
          <t>avverkningsanmälan</t>
        </is>
      </c>
      <c r="C191" t="inlineStr">
        <is>
          <t>Föryngringsavverkning</t>
        </is>
      </c>
      <c r="D191" s="1" t="n">
        <v>45791</v>
      </c>
      <c r="E191" s="1" t="n">
        <v>46289</v>
      </c>
      <c r="F191" t="inlineStr">
        <is>
          <t>DALARNAS LÄN</t>
        </is>
      </c>
      <c r="G191" t="inlineStr">
        <is>
          <t>RÄTTVIK</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49944-2023</t>
        </is>
      </c>
      <c r="B192" t="inlineStr">
        <is>
          <t>avverkningsanmälan</t>
        </is>
      </c>
      <c r="C192" t="inlineStr">
        <is>
          <t>Föryngringsavverkning</t>
        </is>
      </c>
      <c r="D192" s="1" t="n">
        <v>45215</v>
      </c>
      <c r="E192" s="1" t="n">
        <v>46289</v>
      </c>
      <c r="F192" t="inlineStr">
        <is>
          <t>DALARNAS LÄN</t>
        </is>
      </c>
      <c r="G192" t="inlineStr">
        <is>
          <t>RÄTTVIK</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33276-2024</t>
        </is>
      </c>
      <c r="B193" t="inlineStr">
        <is>
          <t>avverkningsanmälan</t>
        </is>
      </c>
      <c r="C193" t="inlineStr">
        <is>
          <t>Föryngringsavverkning</t>
        </is>
      </c>
      <c r="D193" s="1" t="n">
        <v>45518</v>
      </c>
      <c r="E193" s="1" t="n">
        <v>46289</v>
      </c>
      <c r="F193" t="inlineStr">
        <is>
          <t>DALARNAS LÄN</t>
        </is>
      </c>
      <c r="G193" t="inlineStr">
        <is>
          <t>RÄTTVIK</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55203-2021</t>
        </is>
      </c>
      <c r="B194" t="inlineStr">
        <is>
          <t>avverkningsanmälan</t>
        </is>
      </c>
      <c r="C194" t="inlineStr">
        <is>
          <t>Föryngringsavverkning</t>
        </is>
      </c>
      <c r="D194" s="1" t="n">
        <v>44475</v>
      </c>
      <c r="E194" s="1" t="n">
        <v>46289</v>
      </c>
      <c r="F194" t="inlineStr">
        <is>
          <t>DALARNAS LÄN</t>
        </is>
      </c>
      <c r="G194" t="inlineStr">
        <is>
          <t>RÄTTVIK</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62193-2023</t>
        </is>
      </c>
      <c r="B195" t="inlineStr">
        <is>
          <t>avverkningsanmälan</t>
        </is>
      </c>
      <c r="C195" t="inlineStr">
        <is>
          <t>Föryngringsavverkning</t>
        </is>
      </c>
      <c r="D195" s="1" t="n">
        <v>45267</v>
      </c>
      <c r="E195" s="1" t="n">
        <v>46289</v>
      </c>
      <c r="F195" t="inlineStr">
        <is>
          <t>DALARNAS LÄN</t>
        </is>
      </c>
      <c r="G195" t="inlineStr">
        <is>
          <t>RÄTTVIK</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33167-2024</t>
        </is>
      </c>
      <c r="B196" t="inlineStr">
        <is>
          <t>avverkningsanmälan</t>
        </is>
      </c>
      <c r="C196" t="inlineStr">
        <is>
          <t>Föryngringsavverkning</t>
        </is>
      </c>
      <c r="D196" s="1" t="n">
        <v>45518</v>
      </c>
      <c r="E196" s="1" t="n">
        <v>46289</v>
      </c>
      <c r="F196" t="inlineStr">
        <is>
          <t>DALARNAS LÄN</t>
        </is>
      </c>
      <c r="G196" t="inlineStr">
        <is>
          <t>RÄTTVIK</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14320-2025</t>
        </is>
      </c>
      <c r="B197" t="inlineStr">
        <is>
          <t>avverkningsanmälan</t>
        </is>
      </c>
      <c r="C197" t="inlineStr">
        <is>
          <t>Föryngringsavverkning</t>
        </is>
      </c>
      <c r="D197" s="1" t="n">
        <v>45740</v>
      </c>
      <c r="E197" s="1" t="n">
        <v>46289</v>
      </c>
      <c r="F197" t="inlineStr">
        <is>
          <t>DALARNAS LÄN</t>
        </is>
      </c>
      <c r="G197" t="inlineStr">
        <is>
          <t>RÄTTVIK</t>
        </is>
      </c>
      <c r="H197" t="inlineStr">
        <is>
          <t>Bergvik skog väst AB</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15277-2025</t>
        </is>
      </c>
      <c r="B198" t="inlineStr">
        <is>
          <t>avverkningsanmälan</t>
        </is>
      </c>
      <c r="C198" t="inlineStr">
        <is>
          <t>Föryngringsavverkning</t>
        </is>
      </c>
      <c r="D198" s="1" t="n">
        <v>45744</v>
      </c>
      <c r="E198" s="1" t="n">
        <v>46289</v>
      </c>
      <c r="F198" t="inlineStr">
        <is>
          <t>DALARNAS LÄN</t>
        </is>
      </c>
      <c r="G198" t="inlineStr">
        <is>
          <t>RÄTTVIK</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44248-2023</t>
        </is>
      </c>
      <c r="B199" t="inlineStr">
        <is>
          <t>avverkningsanmälan</t>
        </is>
      </c>
      <c r="C199" t="inlineStr">
        <is>
          <t>Föryngringsavverkning</t>
        </is>
      </c>
      <c r="D199" s="1" t="n">
        <v>45188</v>
      </c>
      <c r="E199" s="1" t="n">
        <v>46289</v>
      </c>
      <c r="F199" t="inlineStr">
        <is>
          <t>DALARNAS LÄN</t>
        </is>
      </c>
      <c r="G199" t="inlineStr">
        <is>
          <t>RÄTTVIK</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54199-2023</t>
        </is>
      </c>
      <c r="B200" t="inlineStr">
        <is>
          <t>avverkningsanmälan</t>
        </is>
      </c>
      <c r="C200" t="inlineStr">
        <is>
          <t>Föryngringsavverkning</t>
        </is>
      </c>
      <c r="D200" s="1" t="n">
        <v>45225</v>
      </c>
      <c r="E200" s="1" t="n">
        <v>46289</v>
      </c>
      <c r="F200" t="inlineStr">
        <is>
          <t>DALARNAS LÄN</t>
        </is>
      </c>
      <c r="G200" t="inlineStr">
        <is>
          <t>RÄTTVIK</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23667-2023</t>
        </is>
      </c>
      <c r="B201" t="inlineStr">
        <is>
          <t>avverkningsanmälan</t>
        </is>
      </c>
      <c r="C201" t="inlineStr">
        <is>
          <t>Föryngringsavverkning</t>
        </is>
      </c>
      <c r="D201" s="1" t="n">
        <v>45077</v>
      </c>
      <c r="E201" s="1" t="n">
        <v>46289</v>
      </c>
      <c r="F201" t="inlineStr">
        <is>
          <t>DALARNAS LÄN</t>
        </is>
      </c>
      <c r="G201" t="inlineStr">
        <is>
          <t>RÄTTVIK</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41682-2023</t>
        </is>
      </c>
      <c r="B202" t="inlineStr">
        <is>
          <t>avverkningsanmälan</t>
        </is>
      </c>
      <c r="C202" t="inlineStr">
        <is>
          <t>Föryngringsavverkning</t>
        </is>
      </c>
      <c r="D202" s="1" t="n">
        <v>45176</v>
      </c>
      <c r="E202" s="1" t="n">
        <v>46289</v>
      </c>
      <c r="F202" t="inlineStr">
        <is>
          <t>DALARNAS LÄN</t>
        </is>
      </c>
      <c r="G202" t="inlineStr">
        <is>
          <t>RÄTTVIK</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38671-2025</t>
        </is>
      </c>
      <c r="B203" t="inlineStr">
        <is>
          <t>avverkningsanmälan</t>
        </is>
      </c>
      <c r="C203" t="inlineStr">
        <is>
          <t>Föryngringsavverkning</t>
        </is>
      </c>
      <c r="D203" s="1" t="n">
        <v>45884</v>
      </c>
      <c r="E203" s="1" t="n">
        <v>46289</v>
      </c>
      <c r="F203" t="inlineStr">
        <is>
          <t>DALARNAS LÄN</t>
        </is>
      </c>
      <c r="G203" t="inlineStr">
        <is>
          <t>RÄTTVIK</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36952-2022</t>
        </is>
      </c>
      <c r="B204" t="inlineStr">
        <is>
          <t>avverkningsanmälan</t>
        </is>
      </c>
      <c r="C204" t="inlineStr">
        <is>
          <t>Föryngringsavverkning</t>
        </is>
      </c>
      <c r="D204" s="1" t="n">
        <v>44806</v>
      </c>
      <c r="E204" s="1" t="n">
        <v>46289</v>
      </c>
      <c r="F204" t="inlineStr">
        <is>
          <t>DALARNAS LÄN</t>
        </is>
      </c>
      <c r="G204" t="inlineStr">
        <is>
          <t>RÄTTVIK</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5156-2024</t>
        </is>
      </c>
      <c r="B205" t="inlineStr">
        <is>
          <t>avverkningsanmälan</t>
        </is>
      </c>
      <c r="C205" t="inlineStr">
        <is>
          <t>Föryngringsavverkning</t>
        </is>
      </c>
      <c r="D205" s="1" t="n">
        <v>45330</v>
      </c>
      <c r="E205" s="1" t="n">
        <v>46289</v>
      </c>
      <c r="F205" t="inlineStr">
        <is>
          <t>DALARNAS LÄN</t>
        </is>
      </c>
      <c r="G205" t="inlineStr">
        <is>
          <t>RÄTTVIK</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12617-2022</t>
        </is>
      </c>
      <c r="B206" t="inlineStr">
        <is>
          <t>avverkningsanmälan</t>
        </is>
      </c>
      <c r="C206" t="inlineStr">
        <is>
          <t>Föryngringsavverkning</t>
        </is>
      </c>
      <c r="D206" s="1" t="n">
        <v>44641</v>
      </c>
      <c r="E206" s="1" t="n">
        <v>46289</v>
      </c>
      <c r="F206" t="inlineStr">
        <is>
          <t>DALARNAS LÄN</t>
        </is>
      </c>
      <c r="G206" t="inlineStr">
        <is>
          <t>RÄTTVIK</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39712-2024</t>
        </is>
      </c>
      <c r="B207" t="inlineStr">
        <is>
          <t>avverkningsanmälan</t>
        </is>
      </c>
      <c r="C207" t="inlineStr">
        <is>
          <t>Föryngringsavverkning</t>
        </is>
      </c>
      <c r="D207" s="1" t="n">
        <v>45552</v>
      </c>
      <c r="E207" s="1" t="n">
        <v>46289</v>
      </c>
      <c r="F207" t="inlineStr">
        <is>
          <t>DALARNAS LÄN</t>
        </is>
      </c>
      <c r="G207" t="inlineStr">
        <is>
          <t>RÄTTVIK</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51354-2022</t>
        </is>
      </c>
      <c r="B208" t="inlineStr">
        <is>
          <t>avverkningsanmälan</t>
        </is>
      </c>
      <c r="C208" t="inlineStr">
        <is>
          <t>Föryngringsavverkning</t>
        </is>
      </c>
      <c r="D208" s="1" t="n">
        <v>44866</v>
      </c>
      <c r="E208" s="1" t="n">
        <v>46289</v>
      </c>
      <c r="F208" t="inlineStr">
        <is>
          <t>DALARNAS LÄN</t>
        </is>
      </c>
      <c r="G208" t="inlineStr">
        <is>
          <t>RÄTTVIK</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22677-2023</t>
        </is>
      </c>
      <c r="B209" t="inlineStr">
        <is>
          <t>avverkningsanmälan</t>
        </is>
      </c>
      <c r="C209" t="inlineStr">
        <is>
          <t>Föryngringsavverkning</t>
        </is>
      </c>
      <c r="D209" s="1" t="n">
        <v>45071</v>
      </c>
      <c r="E209" s="1" t="n">
        <v>46289</v>
      </c>
      <c r="F209" t="inlineStr">
        <is>
          <t>DALARNAS LÄN</t>
        </is>
      </c>
      <c r="G209" t="inlineStr">
        <is>
          <t>RÄTTVIK</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13572-2025</t>
        </is>
      </c>
      <c r="B210" t="inlineStr">
        <is>
          <t>avverkningsanmälan</t>
        </is>
      </c>
      <c r="C210" t="inlineStr">
        <is>
          <t>Föryngringsavverkning</t>
        </is>
      </c>
      <c r="D210" s="1" t="n">
        <v>45736</v>
      </c>
      <c r="E210" s="1" t="n">
        <v>46289</v>
      </c>
      <c r="F210" t="inlineStr">
        <is>
          <t>DALARNAS LÄN</t>
        </is>
      </c>
      <c r="G210" t="inlineStr">
        <is>
          <t>RÄTTVIK</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23836-2025</t>
        </is>
      </c>
      <c r="B211" t="inlineStr">
        <is>
          <t>avverkningsanmälan</t>
        </is>
      </c>
      <c r="C211" t="inlineStr">
        <is>
          <t>Föryngringsavverkning</t>
        </is>
      </c>
      <c r="D211" s="1" t="n">
        <v>45793</v>
      </c>
      <c r="E211" s="1" t="n">
        <v>46289</v>
      </c>
      <c r="F211" t="inlineStr">
        <is>
          <t>DALARNAS LÄN</t>
        </is>
      </c>
      <c r="G211" t="inlineStr">
        <is>
          <t>RÄTTVIK</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15133-2024</t>
        </is>
      </c>
      <c r="B212" t="inlineStr">
        <is>
          <t>avverkningsanmälan</t>
        </is>
      </c>
      <c r="C212" t="inlineStr">
        <is>
          <t>Föryngringsavverkning</t>
        </is>
      </c>
      <c r="D212" s="1" t="n">
        <v>45399</v>
      </c>
      <c r="E212" s="1" t="n">
        <v>46289</v>
      </c>
      <c r="F212" t="inlineStr">
        <is>
          <t>DALARNAS LÄN</t>
        </is>
      </c>
      <c r="G212" t="inlineStr">
        <is>
          <t>RÄTTVIK</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23982-2025</t>
        </is>
      </c>
      <c r="B213" t="inlineStr">
        <is>
          <t>avverkningsanmälan</t>
        </is>
      </c>
      <c r="C213" t="inlineStr">
        <is>
          <t>Föryngringsavverkning</t>
        </is>
      </c>
      <c r="D213" s="1" t="n">
        <v>45796</v>
      </c>
      <c r="E213" s="1" t="n">
        <v>46289</v>
      </c>
      <c r="F213" t="inlineStr">
        <is>
          <t>DALARNAS LÄN</t>
        </is>
      </c>
      <c r="G213" t="inlineStr">
        <is>
          <t>RÄTTVIK</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60483-2023</t>
        </is>
      </c>
      <c r="B214" t="inlineStr">
        <is>
          <t>avverkningsanmälan</t>
        </is>
      </c>
      <c r="C214" t="inlineStr">
        <is>
          <t>Föryngringsavverkning</t>
        </is>
      </c>
      <c r="D214" s="1" t="n">
        <v>45259</v>
      </c>
      <c r="E214" s="1" t="n">
        <v>46289</v>
      </c>
      <c r="F214" t="inlineStr">
        <is>
          <t>DALARNAS LÄN</t>
        </is>
      </c>
      <c r="G214" t="inlineStr">
        <is>
          <t>RÄTTVIK</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38551-2025</t>
        </is>
      </c>
      <c r="B215" t="inlineStr">
        <is>
          <t>avverkningsanmälan</t>
        </is>
      </c>
      <c r="C215" t="inlineStr">
        <is>
          <t>Föryngringsavverkning</t>
        </is>
      </c>
      <c r="D215" s="1" t="n">
        <v>45884</v>
      </c>
      <c r="E215" s="1" t="n">
        <v>46289</v>
      </c>
      <c r="F215" t="inlineStr">
        <is>
          <t>DALARNAS LÄN</t>
        </is>
      </c>
      <c r="G215" t="inlineStr">
        <is>
          <t>RÄTTVIK</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23408-2024</t>
        </is>
      </c>
      <c r="B216" t="inlineStr">
        <is>
          <t>avverkningsanmälan</t>
        </is>
      </c>
      <c r="C216" t="inlineStr">
        <is>
          <t>Föryngringsavverkning</t>
        </is>
      </c>
      <c r="D216" s="1" t="n">
        <v>45453</v>
      </c>
      <c r="E216" s="1" t="n">
        <v>46289</v>
      </c>
      <c r="F216" t="inlineStr">
        <is>
          <t>DALARNAS LÄN</t>
        </is>
      </c>
      <c r="G216" t="inlineStr">
        <is>
          <t>RÄTTVIK</t>
        </is>
      </c>
      <c r="H216" t="inlineStr">
        <is>
          <t>Allmännings- och besparingsskogar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40195-2022</t>
        </is>
      </c>
      <c r="B217" t="inlineStr">
        <is>
          <t>avverkningsanmälan</t>
        </is>
      </c>
      <c r="C217" t="inlineStr">
        <is>
          <t>Avverkning för annat ändamål</t>
        </is>
      </c>
      <c r="D217" s="1" t="n">
        <v>44818</v>
      </c>
      <c r="E217" s="1" t="n">
        <v>46289</v>
      </c>
      <c r="F217" t="inlineStr">
        <is>
          <t>DALARNAS LÄN</t>
        </is>
      </c>
      <c r="G217" t="inlineStr">
        <is>
          <t>RÄTTVIK</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24024-2025</t>
        </is>
      </c>
      <c r="B218" t="inlineStr">
        <is>
          <t>avverkningsanmälan</t>
        </is>
      </c>
      <c r="C218" t="inlineStr">
        <is>
          <t>Föryngringsavverkning</t>
        </is>
      </c>
      <c r="D218" s="1" t="n">
        <v>45796</v>
      </c>
      <c r="E218" s="1" t="n">
        <v>46289</v>
      </c>
      <c r="F218" t="inlineStr">
        <is>
          <t>DALARNAS LÄN</t>
        </is>
      </c>
      <c r="G218" t="inlineStr">
        <is>
          <t>RÄTTVIK</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35889-2024</t>
        </is>
      </c>
      <c r="B219" t="inlineStr">
        <is>
          <t>avverkningsanmälan</t>
        </is>
      </c>
      <c r="C219" t="inlineStr">
        <is>
          <t>Avverkning för annat ändamål</t>
        </is>
      </c>
      <c r="D219" s="1" t="n">
        <v>45533</v>
      </c>
      <c r="E219" s="1" t="n">
        <v>46289</v>
      </c>
      <c r="F219" t="inlineStr">
        <is>
          <t>DALARNAS LÄN</t>
        </is>
      </c>
      <c r="G219" t="inlineStr">
        <is>
          <t>RÄTTVIK</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47572-2024</t>
        </is>
      </c>
      <c r="B220" t="inlineStr">
        <is>
          <t>avverkningsanmälan</t>
        </is>
      </c>
      <c r="C220" t="inlineStr">
        <is>
          <t>Föryngringsavverkning</t>
        </is>
      </c>
      <c r="D220" s="1" t="n">
        <v>45587</v>
      </c>
      <c r="E220" s="1" t="n">
        <v>46289</v>
      </c>
      <c r="F220" t="inlineStr">
        <is>
          <t>DALARNAS LÄN</t>
        </is>
      </c>
      <c r="G220" t="inlineStr">
        <is>
          <t>RÄTTVIK</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27535-2023</t>
        </is>
      </c>
      <c r="B221" t="inlineStr">
        <is>
          <t>avverkningsanmälan</t>
        </is>
      </c>
      <c r="C221" t="inlineStr">
        <is>
          <t>Föryngringsavverkning</t>
        </is>
      </c>
      <c r="D221" s="1" t="n">
        <v>45097</v>
      </c>
      <c r="E221" s="1" t="n">
        <v>46289</v>
      </c>
      <c r="F221" t="inlineStr">
        <is>
          <t>DALARNAS LÄN</t>
        </is>
      </c>
      <c r="G221" t="inlineStr">
        <is>
          <t>RÄTTVIK</t>
        </is>
      </c>
      <c r="H221" t="inlineStr">
        <is>
          <t>Bergvik skog väst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27522-2023</t>
        </is>
      </c>
      <c r="B222" t="inlineStr">
        <is>
          <t>avverkningsanmälan</t>
        </is>
      </c>
      <c r="C222" t="inlineStr">
        <is>
          <t>Föryngringsavverkning</t>
        </is>
      </c>
      <c r="D222" s="1" t="n">
        <v>45097</v>
      </c>
      <c r="E222" s="1" t="n">
        <v>46289</v>
      </c>
      <c r="F222" t="inlineStr">
        <is>
          <t>DALARNAS LÄN</t>
        </is>
      </c>
      <c r="G222" t="inlineStr">
        <is>
          <t>RÄTTVIK</t>
        </is>
      </c>
      <c r="H222" t="inlineStr">
        <is>
          <t>Bergvik skog väst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56553-2023</t>
        </is>
      </c>
      <c r="B223" t="inlineStr">
        <is>
          <t>avverkningsanmälan</t>
        </is>
      </c>
      <c r="C223" t="inlineStr">
        <is>
          <t>Föryngringsavverkning</t>
        </is>
      </c>
      <c r="D223" s="1" t="n">
        <v>45243</v>
      </c>
      <c r="E223" s="1" t="n">
        <v>46289</v>
      </c>
      <c r="F223" t="inlineStr">
        <is>
          <t>DALARNAS LÄN</t>
        </is>
      </c>
      <c r="G223" t="inlineStr">
        <is>
          <t>RÄTTVIK</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490-2023</t>
        </is>
      </c>
      <c r="B224" t="inlineStr">
        <is>
          <t>avverkningsanmälan</t>
        </is>
      </c>
      <c r="C224" t="inlineStr">
        <is>
          <t>Föryngringsavverkning</t>
        </is>
      </c>
      <c r="D224" s="1" t="n">
        <v>44930</v>
      </c>
      <c r="E224" s="1" t="n">
        <v>46289</v>
      </c>
      <c r="F224" t="inlineStr">
        <is>
          <t>DALARNAS LÄN</t>
        </is>
      </c>
      <c r="G224" t="inlineStr">
        <is>
          <t>RÄTTVIK</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38307-2025</t>
        </is>
      </c>
      <c r="B225" t="inlineStr">
        <is>
          <t>avverkningsanmälan</t>
        </is>
      </c>
      <c r="C225" t="inlineStr">
        <is>
          <t>Föryngringsavverkning</t>
        </is>
      </c>
      <c r="D225" s="1" t="n">
        <v>45883</v>
      </c>
      <c r="E225" s="1" t="n">
        <v>46289</v>
      </c>
      <c r="F225" t="inlineStr">
        <is>
          <t>DALARNAS LÄN</t>
        </is>
      </c>
      <c r="G225" t="inlineStr">
        <is>
          <t>RÄTTVIK</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4150-2023</t>
        </is>
      </c>
      <c r="B226" t="inlineStr">
        <is>
          <t>avverkningsanmälan</t>
        </is>
      </c>
      <c r="C226" t="inlineStr">
        <is>
          <t>Föryngringsavverkning</t>
        </is>
      </c>
      <c r="D226" s="1" t="n">
        <v>44953</v>
      </c>
      <c r="E226" s="1" t="n">
        <v>46289</v>
      </c>
      <c r="F226" t="inlineStr">
        <is>
          <t>DALARNAS LÄN</t>
        </is>
      </c>
      <c r="G226" t="inlineStr">
        <is>
          <t>RÄTTVIK</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24022-2025</t>
        </is>
      </c>
      <c r="B227" t="inlineStr">
        <is>
          <t>avverkningsanmälan</t>
        </is>
      </c>
      <c r="C227" t="inlineStr">
        <is>
          <t>Föryngringsavverkning</t>
        </is>
      </c>
      <c r="D227" s="1" t="n">
        <v>45796</v>
      </c>
      <c r="E227" s="1" t="n">
        <v>46289</v>
      </c>
      <c r="F227" t="inlineStr">
        <is>
          <t>DALARNAS LÄN</t>
        </is>
      </c>
      <c r="G227" t="inlineStr">
        <is>
          <t>RÄTTVIK</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562-2024</t>
        </is>
      </c>
      <c r="B228" t="inlineStr">
        <is>
          <t>avverkningsanmälan</t>
        </is>
      </c>
      <c r="C228" t="inlineStr">
        <is>
          <t>Föryngringsavverkning</t>
        </is>
      </c>
      <c r="D228" s="1" t="n">
        <v>45299</v>
      </c>
      <c r="E228" s="1" t="n">
        <v>46289</v>
      </c>
      <c r="F228" t="inlineStr">
        <is>
          <t>DALARNAS LÄN</t>
        </is>
      </c>
      <c r="G228" t="inlineStr">
        <is>
          <t>RÄTTVIK</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23814-2025</t>
        </is>
      </c>
      <c r="B229" t="inlineStr">
        <is>
          <t>avverkningsanmälan</t>
        </is>
      </c>
      <c r="C229" t="inlineStr">
        <is>
          <t>Föryngringsavverkning</t>
        </is>
      </c>
      <c r="D229" s="1" t="n">
        <v>45793</v>
      </c>
      <c r="E229" s="1" t="n">
        <v>46289</v>
      </c>
      <c r="F229" t="inlineStr">
        <is>
          <t>DALARNAS LÄN</t>
        </is>
      </c>
      <c r="G229" t="inlineStr">
        <is>
          <t>RÄTTVIK</t>
        </is>
      </c>
      <c r="H229" t="inlineStr">
        <is>
          <t>Sveaskog</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18129-2024</t>
        </is>
      </c>
      <c r="B230" t="inlineStr">
        <is>
          <t>avverkningsanmälan</t>
        </is>
      </c>
      <c r="C230" t="inlineStr">
        <is>
          <t>Föryngringsavverkning</t>
        </is>
      </c>
      <c r="D230" s="1" t="n">
        <v>45420</v>
      </c>
      <c r="E230" s="1" t="n">
        <v>46289</v>
      </c>
      <c r="F230" t="inlineStr">
        <is>
          <t>DALARNAS LÄN</t>
        </is>
      </c>
      <c r="G230" t="inlineStr">
        <is>
          <t>RÄTTVIK</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48939-2024</t>
        </is>
      </c>
      <c r="B231" t="inlineStr">
        <is>
          <t>avverkningsanmälan</t>
        </is>
      </c>
      <c r="C231" t="inlineStr">
        <is>
          <t>Föryngringsavverkning</t>
        </is>
      </c>
      <c r="D231" s="1" t="n">
        <v>45594</v>
      </c>
      <c r="E231" s="1" t="n">
        <v>46289</v>
      </c>
      <c r="F231" t="inlineStr">
        <is>
          <t>DALARNAS LÄN</t>
        </is>
      </c>
      <c r="G231" t="inlineStr">
        <is>
          <t>RÄTTVIK</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45047-2024</t>
        </is>
      </c>
      <c r="B232" t="inlineStr">
        <is>
          <t>avverkningsanmälan</t>
        </is>
      </c>
      <c r="C232" t="inlineStr">
        <is>
          <t>Avverkning för annat ändamål</t>
        </is>
      </c>
      <c r="D232" s="1" t="n">
        <v>45575</v>
      </c>
      <c r="E232" s="1" t="n">
        <v>46289</v>
      </c>
      <c r="F232" t="inlineStr">
        <is>
          <t>DALARNAS LÄN</t>
        </is>
      </c>
      <c r="G232" t="inlineStr">
        <is>
          <t>RÄTTVIK</t>
        </is>
      </c>
      <c r="H232" t="inlineStr">
        <is>
          <t>Bergvik skog väst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39098-2025</t>
        </is>
      </c>
      <c r="B233" t="inlineStr">
        <is>
          <t>avverkningsanmälan</t>
        </is>
      </c>
      <c r="C233" t="inlineStr">
        <is>
          <t>Avverkning för annat ändamål</t>
        </is>
      </c>
      <c r="D233" s="1" t="n">
        <v>45888</v>
      </c>
      <c r="E233" s="1" t="n">
        <v>46289</v>
      </c>
      <c r="F233" t="inlineStr">
        <is>
          <t>DALARNAS LÄN</t>
        </is>
      </c>
      <c r="G233" t="inlineStr">
        <is>
          <t>RÄTTVIK</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13772-2025</t>
        </is>
      </c>
      <c r="B234" t="inlineStr">
        <is>
          <t>avverkningsanmälan</t>
        </is>
      </c>
      <c r="C234" t="inlineStr">
        <is>
          <t>Föryngringsavverkning</t>
        </is>
      </c>
      <c r="D234" s="1" t="n">
        <v>45737</v>
      </c>
      <c r="E234" s="1" t="n">
        <v>46289</v>
      </c>
      <c r="F234" t="inlineStr">
        <is>
          <t>DALARNAS LÄN</t>
        </is>
      </c>
      <c r="G234" t="inlineStr">
        <is>
          <t>RÄTTVIK</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60-2023</t>
        </is>
      </c>
      <c r="B235" t="inlineStr">
        <is>
          <t>avverkningsanmälan</t>
        </is>
      </c>
      <c r="C235" t="inlineStr">
        <is>
          <t>Föryngringsavverkning</t>
        </is>
      </c>
      <c r="D235" s="1" t="n">
        <v>44928</v>
      </c>
      <c r="E235" s="1" t="n">
        <v>46289</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33768-2022</t>
        </is>
      </c>
      <c r="B236" t="inlineStr">
        <is>
          <t>avverkningsanmälan</t>
        </is>
      </c>
      <c r="C236" t="inlineStr">
        <is>
          <t>Föryngringsavverkning</t>
        </is>
      </c>
      <c r="D236" s="1" t="n">
        <v>44790</v>
      </c>
      <c r="E236" s="1" t="n">
        <v>46289</v>
      </c>
      <c r="F236" t="inlineStr">
        <is>
          <t>DALARNAS LÄN</t>
        </is>
      </c>
      <c r="G236" t="inlineStr">
        <is>
          <t>RÄTTVIK</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24573-2025</t>
        </is>
      </c>
      <c r="B237" t="inlineStr">
        <is>
          <t>avverkningsanmälan</t>
        </is>
      </c>
      <c r="C237" t="inlineStr">
        <is>
          <t>Föryngringsavverkning</t>
        </is>
      </c>
      <c r="D237" s="1" t="n">
        <v>45798</v>
      </c>
      <c r="E237" s="1" t="n">
        <v>46289</v>
      </c>
      <c r="F237" t="inlineStr">
        <is>
          <t>DALARNAS LÄN</t>
        </is>
      </c>
      <c r="G237" t="inlineStr">
        <is>
          <t>RÄTTVIK</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23248-2023</t>
        </is>
      </c>
      <c r="B238" t="inlineStr">
        <is>
          <t>avverkningsanmälan</t>
        </is>
      </c>
      <c r="C238" t="inlineStr">
        <is>
          <t>Föryngringsavverkning</t>
        </is>
      </c>
      <c r="D238" s="1" t="n">
        <v>45071</v>
      </c>
      <c r="E238" s="1" t="n">
        <v>46289</v>
      </c>
      <c r="F238" t="inlineStr">
        <is>
          <t>DALARNAS LÄN</t>
        </is>
      </c>
      <c r="G238" t="inlineStr">
        <is>
          <t>RÄTTVIK</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29360-2023</t>
        </is>
      </c>
      <c r="B239" t="inlineStr">
        <is>
          <t>avverkningsanmälan</t>
        </is>
      </c>
      <c r="C239" t="inlineStr">
        <is>
          <t>Föryngringsavverkning</t>
        </is>
      </c>
      <c r="D239" s="1" t="n">
        <v>45106</v>
      </c>
      <c r="E239" s="1" t="n">
        <v>46289</v>
      </c>
      <c r="F239" t="inlineStr">
        <is>
          <t>DALARNAS LÄN</t>
        </is>
      </c>
      <c r="G239" t="inlineStr">
        <is>
          <t>RÄTTVIK</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29141-2023</t>
        </is>
      </c>
      <c r="B240" t="inlineStr">
        <is>
          <t>avverkningsanmälan</t>
        </is>
      </c>
      <c r="C240" t="inlineStr">
        <is>
          <t>Föryngringsavverkning</t>
        </is>
      </c>
      <c r="D240" s="1" t="n">
        <v>45105</v>
      </c>
      <c r="E240" s="1" t="n">
        <v>46289</v>
      </c>
      <c r="F240" t="inlineStr">
        <is>
          <t>DALARNAS LÄN</t>
        </is>
      </c>
      <c r="G240" t="inlineStr">
        <is>
          <t>RÄTTVIK</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58484-2023</t>
        </is>
      </c>
      <c r="B241" t="inlineStr">
        <is>
          <t>avverkningsanmälan</t>
        </is>
      </c>
      <c r="C241" t="inlineStr">
        <is>
          <t>Föryngringsavverkning</t>
        </is>
      </c>
      <c r="D241" s="1" t="n">
        <v>45251</v>
      </c>
      <c r="E241" s="1" t="n">
        <v>46289</v>
      </c>
      <c r="F241" t="inlineStr">
        <is>
          <t>DALARNAS LÄN</t>
        </is>
      </c>
      <c r="G241" t="inlineStr">
        <is>
          <t>RÄTTVIK</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36415-2024</t>
        </is>
      </c>
      <c r="B242" t="inlineStr">
        <is>
          <t>avverkningsanmälan</t>
        </is>
      </c>
      <c r="C242" t="inlineStr">
        <is>
          <t>Föryngringsavverkning</t>
        </is>
      </c>
      <c r="D242" s="1" t="n">
        <v>45536</v>
      </c>
      <c r="E242" s="1" t="n">
        <v>46289</v>
      </c>
      <c r="F242" t="inlineStr">
        <is>
          <t>DALARNAS LÄN</t>
        </is>
      </c>
      <c r="G242" t="inlineStr">
        <is>
          <t>RÄTTVIK</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36524-2022</t>
        </is>
      </c>
      <c r="B243" t="inlineStr">
        <is>
          <t>avverkningsanmälan</t>
        </is>
      </c>
      <c r="C243" t="inlineStr">
        <is>
          <t>Föryngringsavverkning</t>
        </is>
      </c>
      <c r="D243" s="1" t="n">
        <v>44804</v>
      </c>
      <c r="E243" s="1" t="n">
        <v>46289</v>
      </c>
      <c r="F243" t="inlineStr">
        <is>
          <t>DALARNAS LÄN</t>
        </is>
      </c>
      <c r="G243" t="inlineStr">
        <is>
          <t>RÄTTVIK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65967-2021</t>
        </is>
      </c>
      <c r="B244" t="inlineStr">
        <is>
          <t>avverkningsanmälan</t>
        </is>
      </c>
      <c r="C244" t="inlineStr">
        <is>
          <t>Föryngringsavverkning</t>
        </is>
      </c>
      <c r="D244" s="1" t="n">
        <v>44517</v>
      </c>
      <c r="E244" s="1" t="n">
        <v>46289</v>
      </c>
      <c r="F244" t="inlineStr">
        <is>
          <t>DALARNAS LÄN</t>
        </is>
      </c>
      <c r="G244" t="inlineStr">
        <is>
          <t>RÄTTVIK</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32841-2024</t>
        </is>
      </c>
      <c r="B245" t="inlineStr">
        <is>
          <t>avverkningsanmälan</t>
        </is>
      </c>
      <c r="C245" t="inlineStr">
        <is>
          <t>Föryngringsavverkning</t>
        </is>
      </c>
      <c r="D245" s="1" t="n">
        <v>45516</v>
      </c>
      <c r="E245" s="1" t="n">
        <v>46289</v>
      </c>
      <c r="F245" t="inlineStr">
        <is>
          <t>DALARNAS LÄN</t>
        </is>
      </c>
      <c r="G245" t="inlineStr">
        <is>
          <t>RÄTTVIK</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33140-2024</t>
        </is>
      </c>
      <c r="B246" t="inlineStr">
        <is>
          <t>avverkningsanmälan</t>
        </is>
      </c>
      <c r="C246" t="inlineStr">
        <is>
          <t>Föryngringsavverkning</t>
        </is>
      </c>
      <c r="D246" s="1" t="n">
        <v>45518</v>
      </c>
      <c r="E246" s="1" t="n">
        <v>46289</v>
      </c>
      <c r="F246" t="inlineStr">
        <is>
          <t>DALARNAS LÄN</t>
        </is>
      </c>
      <c r="G246" t="inlineStr">
        <is>
          <t>RÄTTVIK</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6699-2025</t>
        </is>
      </c>
      <c r="B247" t="inlineStr">
        <is>
          <t>avverkningsanmälan</t>
        </is>
      </c>
      <c r="C247" t="inlineStr">
        <is>
          <t>Föryngringsavverkning</t>
        </is>
      </c>
      <c r="D247" s="1" t="n">
        <v>45700</v>
      </c>
      <c r="E247" s="1" t="n">
        <v>46289</v>
      </c>
      <c r="F247" t="inlineStr">
        <is>
          <t>DALARNAS LÄN</t>
        </is>
      </c>
      <c r="G247" t="inlineStr">
        <is>
          <t>RÄTTVIK</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40216-2025</t>
        </is>
      </c>
      <c r="B248" t="inlineStr">
        <is>
          <t>avverkningsanmälan</t>
        </is>
      </c>
      <c r="C248" t="inlineStr">
        <is>
          <t>Föryngringsavverkning</t>
        </is>
      </c>
      <c r="D248" s="1" t="n">
        <v>45894</v>
      </c>
      <c r="E248" s="1" t="n">
        <v>46289</v>
      </c>
      <c r="F248" t="inlineStr">
        <is>
          <t>DALARNAS LÄN</t>
        </is>
      </c>
      <c r="G248" t="inlineStr">
        <is>
          <t>RÄTTVIK</t>
        </is>
      </c>
      <c r="H248" t="inlineStr">
        <is>
          <t>Sveaskog</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39770-2022</t>
        </is>
      </c>
      <c r="B249" t="inlineStr">
        <is>
          <t>avverkningsanmälan</t>
        </is>
      </c>
      <c r="C249" t="inlineStr">
        <is>
          <t>Föryngringsavverkning</t>
        </is>
      </c>
      <c r="D249" s="1" t="n">
        <v>44819</v>
      </c>
      <c r="E249" s="1" t="n">
        <v>46289</v>
      </c>
      <c r="F249" t="inlineStr">
        <is>
          <t>DALARNAS LÄN</t>
        </is>
      </c>
      <c r="G249" t="inlineStr">
        <is>
          <t>RÄTTVIK</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53874-2023</t>
        </is>
      </c>
      <c r="B250" t="inlineStr">
        <is>
          <t>avverkningsanmälan</t>
        </is>
      </c>
      <c r="C250" t="inlineStr">
        <is>
          <t>Föryngringsavverkning</t>
        </is>
      </c>
      <c r="D250" s="1" t="n">
        <v>45231</v>
      </c>
      <c r="E250" s="1" t="n">
        <v>46289</v>
      </c>
      <c r="F250" t="inlineStr">
        <is>
          <t>DALARNAS LÄN</t>
        </is>
      </c>
      <c r="G250" t="inlineStr">
        <is>
          <t>RÄTTVIK</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53876-2023</t>
        </is>
      </c>
      <c r="B251" t="inlineStr">
        <is>
          <t>avverkningsanmälan</t>
        </is>
      </c>
      <c r="C251" t="inlineStr">
        <is>
          <t>Föryngringsavverkning</t>
        </is>
      </c>
      <c r="D251" s="1" t="n">
        <v>45231</v>
      </c>
      <c r="E251" s="1" t="n">
        <v>46289</v>
      </c>
      <c r="F251" t="inlineStr">
        <is>
          <t>DALARNAS LÄN</t>
        </is>
      </c>
      <c r="G251" t="inlineStr">
        <is>
          <t>RÄTTVIK</t>
        </is>
      </c>
      <c r="I251" t="n">
        <v>6.7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40381-2025</t>
        </is>
      </c>
      <c r="B252" t="inlineStr">
        <is>
          <t>avverkningsanmälan</t>
        </is>
      </c>
      <c r="C252" t="inlineStr">
        <is>
          <t>Föryngringsavverkning</t>
        </is>
      </c>
      <c r="D252" s="1" t="n">
        <v>45895</v>
      </c>
      <c r="E252" s="1" t="n">
        <v>46289</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3742-2024</t>
        </is>
      </c>
      <c r="B253" t="inlineStr">
        <is>
          <t>avverkningsanmälan</t>
        </is>
      </c>
      <c r="C253" t="inlineStr">
        <is>
          <t>Föryngringsavverkning</t>
        </is>
      </c>
      <c r="D253" s="1" t="n">
        <v>45321</v>
      </c>
      <c r="E253" s="1" t="n">
        <v>46289</v>
      </c>
      <c r="F253" t="inlineStr">
        <is>
          <t>DALARNAS LÄN</t>
        </is>
      </c>
      <c r="G253" t="inlineStr">
        <is>
          <t>RÄTTVIK</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40021-2023</t>
        </is>
      </c>
      <c r="B254" t="inlineStr">
        <is>
          <t>avverkningsanmälan</t>
        </is>
      </c>
      <c r="C254" t="inlineStr">
        <is>
          <t>Föryngringsavverkning</t>
        </is>
      </c>
      <c r="D254" s="1" t="n">
        <v>45167</v>
      </c>
      <c r="E254" s="1" t="n">
        <v>46289</v>
      </c>
      <c r="F254" t="inlineStr">
        <is>
          <t>DALARNAS LÄN</t>
        </is>
      </c>
      <c r="G254" t="inlineStr">
        <is>
          <t>RÄTTVIK</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40399-2025</t>
        </is>
      </c>
      <c r="B255" t="inlineStr">
        <is>
          <t>avverkningsanmälan</t>
        </is>
      </c>
      <c r="C255" t="inlineStr">
        <is>
          <t>Föryngringsavverkning</t>
        </is>
      </c>
      <c r="D255" s="1" t="n">
        <v>45895</v>
      </c>
      <c r="E255" s="1" t="n">
        <v>46289</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40493-2025</t>
        </is>
      </c>
      <c r="B256" t="inlineStr">
        <is>
          <t>avverkningsanmälan</t>
        </is>
      </c>
      <c r="C256" t="inlineStr">
        <is>
          <t>Föryngringsavverkning</t>
        </is>
      </c>
      <c r="D256" s="1" t="n">
        <v>45896</v>
      </c>
      <c r="E256" s="1" t="n">
        <v>46289</v>
      </c>
      <c r="F256" t="inlineStr">
        <is>
          <t>DALARNAS LÄN</t>
        </is>
      </c>
      <c r="G256" t="inlineStr">
        <is>
          <t>RÄTTVIK</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1601-2022</t>
        </is>
      </c>
      <c r="B257" t="inlineStr">
        <is>
          <t>avverkningsanmälan</t>
        </is>
      </c>
      <c r="C257" t="inlineStr">
        <is>
          <t>Föryngringsavverkning</t>
        </is>
      </c>
      <c r="D257" s="1" t="n">
        <v>44573</v>
      </c>
      <c r="E257" s="1" t="n">
        <v>46289</v>
      </c>
      <c r="F257" t="inlineStr">
        <is>
          <t>DALARNAS LÄN</t>
        </is>
      </c>
      <c r="G257" t="inlineStr">
        <is>
          <t>RÄTTVIK</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48582-2024</t>
        </is>
      </c>
      <c r="B258" t="inlineStr">
        <is>
          <t>avverkningsanmälan</t>
        </is>
      </c>
      <c r="C258" t="inlineStr">
        <is>
          <t>Föryngringsavverkning</t>
        </is>
      </c>
      <c r="D258" s="1" t="n">
        <v>45593</v>
      </c>
      <c r="E258" s="1" t="n">
        <v>46289</v>
      </c>
      <c r="F258" t="inlineStr">
        <is>
          <t>DALARNAS LÄN</t>
        </is>
      </c>
      <c r="G258" t="inlineStr">
        <is>
          <t>RÄTTVIK</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28660-2024</t>
        </is>
      </c>
      <c r="B259" t="inlineStr">
        <is>
          <t>avverkningsanmälan</t>
        </is>
      </c>
      <c r="C259" t="inlineStr">
        <is>
          <t>Föryngringsavverkning</t>
        </is>
      </c>
      <c r="D259" s="1" t="n">
        <v>45478</v>
      </c>
      <c r="E259" s="1" t="n">
        <v>46289</v>
      </c>
      <c r="F259" t="inlineStr">
        <is>
          <t>DALARNAS LÄN</t>
        </is>
      </c>
      <c r="G259" t="inlineStr">
        <is>
          <t>RÄTTVIK</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2270-2024</t>
        </is>
      </c>
      <c r="B260" t="inlineStr">
        <is>
          <t>avverkningsanmälan</t>
        </is>
      </c>
      <c r="C260" t="inlineStr">
        <is>
          <t>Föryngringsavverkning</t>
        </is>
      </c>
      <c r="D260" s="1" t="n">
        <v>45310</v>
      </c>
      <c r="E260" s="1" t="n">
        <v>46289</v>
      </c>
      <c r="F260" t="inlineStr">
        <is>
          <t>DALARNAS LÄN</t>
        </is>
      </c>
      <c r="G260" t="inlineStr">
        <is>
          <t>RÄTTVIK</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14892-2024</t>
        </is>
      </c>
      <c r="B261" t="inlineStr">
        <is>
          <t>avverkningsanmälan</t>
        </is>
      </c>
      <c r="C261" t="inlineStr">
        <is>
          <t>Föryngringsavverkning</t>
        </is>
      </c>
      <c r="D261" s="1" t="n">
        <v>45398</v>
      </c>
      <c r="E261" s="1" t="n">
        <v>46289</v>
      </c>
      <c r="F261" t="inlineStr">
        <is>
          <t>DALARNAS LÄN</t>
        </is>
      </c>
      <c r="G261" t="inlineStr">
        <is>
          <t>RÄTTVIK</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57208-2023</t>
        </is>
      </c>
      <c r="B262" t="inlineStr">
        <is>
          <t>avverkningsanmälan</t>
        </is>
      </c>
      <c r="C262" t="inlineStr">
        <is>
          <t>Föryngringsavverkning</t>
        </is>
      </c>
      <c r="D262" s="1" t="n">
        <v>45245</v>
      </c>
      <c r="E262" s="1" t="n">
        <v>46289</v>
      </c>
      <c r="F262" t="inlineStr">
        <is>
          <t>DALARNAS LÄN</t>
        </is>
      </c>
      <c r="G262" t="inlineStr">
        <is>
          <t>RÄTTVIK</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39983-2022</t>
        </is>
      </c>
      <c r="B263" t="inlineStr">
        <is>
          <t>avverkningsanmälan</t>
        </is>
      </c>
      <c r="C263" t="inlineStr">
        <is>
          <t>Föryngringsavverkning</t>
        </is>
      </c>
      <c r="D263" s="1" t="n">
        <v>44818</v>
      </c>
      <c r="E263" s="1" t="n">
        <v>46289</v>
      </c>
      <c r="F263" t="inlineStr">
        <is>
          <t>DALARNAS LÄN</t>
        </is>
      </c>
      <c r="G263" t="inlineStr">
        <is>
          <t>RÄTTVIK</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40981-2025</t>
        </is>
      </c>
      <c r="B264" t="inlineStr">
        <is>
          <t>avverkningsanmälan</t>
        </is>
      </c>
      <c r="C264" t="inlineStr">
        <is>
          <t>Föryngringsavverkning</t>
        </is>
      </c>
      <c r="D264" s="1" t="n">
        <v>45898</v>
      </c>
      <c r="E264" s="1" t="n">
        <v>46289</v>
      </c>
      <c r="F264" t="inlineStr">
        <is>
          <t>DALARNAS LÄN</t>
        </is>
      </c>
      <c r="G264" t="inlineStr">
        <is>
          <t>RÄTTVIK</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42079-2025</t>
        </is>
      </c>
      <c r="B265" t="inlineStr">
        <is>
          <t>avverkningsanmälan</t>
        </is>
      </c>
      <c r="C265" t="inlineStr">
        <is>
          <t>Föryngringsavverkning</t>
        </is>
      </c>
      <c r="D265" s="1" t="n">
        <v>45902</v>
      </c>
      <c r="E265" s="1" t="n">
        <v>46289</v>
      </c>
      <c r="F265" t="inlineStr">
        <is>
          <t>DALARNAS LÄN</t>
        </is>
      </c>
      <c r="G265" t="inlineStr">
        <is>
          <t>RÄTTVIK</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20620-2024</t>
        </is>
      </c>
      <c r="B266" t="inlineStr">
        <is>
          <t>avverkningsanmälan</t>
        </is>
      </c>
      <c r="C266" t="inlineStr">
        <is>
          <t>Föryngringsavverkning</t>
        </is>
      </c>
      <c r="D266" s="1" t="n">
        <v>45436</v>
      </c>
      <c r="E266" s="1" t="n">
        <v>46289</v>
      </c>
      <c r="F266" t="inlineStr">
        <is>
          <t>DALARNAS LÄN</t>
        </is>
      </c>
      <c r="G266" t="inlineStr">
        <is>
          <t>RÄTTVIK</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1005-2022</t>
        </is>
      </c>
      <c r="B267" t="inlineStr">
        <is>
          <t>avverkningsanmälan</t>
        </is>
      </c>
      <c r="C267" t="inlineStr">
        <is>
          <t>Föryngringsavverkning</t>
        </is>
      </c>
      <c r="D267" s="1" t="n">
        <v>44571</v>
      </c>
      <c r="E267" s="1" t="n">
        <v>46289</v>
      </c>
      <c r="F267" t="inlineStr">
        <is>
          <t>DALARNAS LÄN</t>
        </is>
      </c>
      <c r="G267" t="inlineStr">
        <is>
          <t>RÄTTVIK</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69058-2021</t>
        </is>
      </c>
      <c r="B268" t="inlineStr">
        <is>
          <t>avverkningsanmälan</t>
        </is>
      </c>
      <c r="C268" t="inlineStr">
        <is>
          <t>Föryngringsavverkning</t>
        </is>
      </c>
      <c r="D268" s="1" t="n">
        <v>44529</v>
      </c>
      <c r="E268" s="1" t="n">
        <v>46289</v>
      </c>
      <c r="F268" t="inlineStr">
        <is>
          <t>DALARNAS LÄN</t>
        </is>
      </c>
      <c r="G268" t="inlineStr">
        <is>
          <t>RÄTTVIK</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58485-2023</t>
        </is>
      </c>
      <c r="B269" t="inlineStr">
        <is>
          <t>avverkningsanmälan</t>
        </is>
      </c>
      <c r="C269" t="inlineStr">
        <is>
          <t>Föryngringsavverkning</t>
        </is>
      </c>
      <c r="D269" s="1" t="n">
        <v>45251</v>
      </c>
      <c r="E269" s="1" t="n">
        <v>46289</v>
      </c>
      <c r="F269" t="inlineStr">
        <is>
          <t>DALARNAS LÄN</t>
        </is>
      </c>
      <c r="G269" t="inlineStr">
        <is>
          <t>RÄTTVIK</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66670-2021</t>
        </is>
      </c>
      <c r="B270" t="inlineStr">
        <is>
          <t>avverkningsanmälan</t>
        </is>
      </c>
      <c r="C270" t="inlineStr">
        <is>
          <t>Föryngringsavverkning</t>
        </is>
      </c>
      <c r="D270" s="1" t="n">
        <v>44519</v>
      </c>
      <c r="E270" s="1" t="n">
        <v>46289</v>
      </c>
      <c r="F270" t="inlineStr">
        <is>
          <t>DALARNAS LÄN</t>
        </is>
      </c>
      <c r="G270" t="inlineStr">
        <is>
          <t>RÄTTVIK</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41879-2025</t>
        </is>
      </c>
      <c r="B271" t="inlineStr">
        <is>
          <t>avverkningsanmälan</t>
        </is>
      </c>
      <c r="C271" t="inlineStr">
        <is>
          <t>Föryngringsavverkning</t>
        </is>
      </c>
      <c r="D271" s="1" t="n">
        <v>45903</v>
      </c>
      <c r="E271" s="1" t="n">
        <v>46289</v>
      </c>
      <c r="F271" t="inlineStr">
        <is>
          <t>DALARNAS LÄN</t>
        </is>
      </c>
      <c r="G271" t="inlineStr">
        <is>
          <t>RÄTTVIK</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42461-2025</t>
        </is>
      </c>
      <c r="B272" t="inlineStr">
        <is>
          <t>avverkningsanmälan</t>
        </is>
      </c>
      <c r="C272" t="inlineStr">
        <is>
          <t>Föryngringsavverkning</t>
        </is>
      </c>
      <c r="D272" s="1" t="n">
        <v>45905</v>
      </c>
      <c r="E272" s="1" t="n">
        <v>46289</v>
      </c>
      <c r="F272" t="inlineStr">
        <is>
          <t>DALARNAS LÄN</t>
        </is>
      </c>
      <c r="G272" t="inlineStr">
        <is>
          <t>RÄTTVIK</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42447-2025</t>
        </is>
      </c>
      <c r="B273" t="inlineStr">
        <is>
          <t>avverkningsanmälan</t>
        </is>
      </c>
      <c r="C273" t="inlineStr">
        <is>
          <t>Föryngringsavverkning</t>
        </is>
      </c>
      <c r="D273" s="1" t="n">
        <v>45905</v>
      </c>
      <c r="E273" s="1" t="n">
        <v>46289</v>
      </c>
      <c r="F273" t="inlineStr">
        <is>
          <t>DALARNAS LÄN</t>
        </is>
      </c>
      <c r="G273" t="inlineStr">
        <is>
          <t>RÄTTVIK</t>
        </is>
      </c>
      <c r="H273" t="inlineStr">
        <is>
          <t>Sveaskog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38385-2024</t>
        </is>
      </c>
      <c r="B274" t="inlineStr">
        <is>
          <t>avverkningsanmälan</t>
        </is>
      </c>
      <c r="C274" t="inlineStr">
        <is>
          <t>Föryngringsavverkning</t>
        </is>
      </c>
      <c r="D274" s="1" t="n">
        <v>45546</v>
      </c>
      <c r="E274" s="1" t="n">
        <v>46289</v>
      </c>
      <c r="F274" t="inlineStr">
        <is>
          <t>DALARNAS LÄN</t>
        </is>
      </c>
      <c r="G274" t="inlineStr">
        <is>
          <t>RÄTTVIK</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33838-2024</t>
        </is>
      </c>
      <c r="B275" t="inlineStr">
        <is>
          <t>avverkningsanmälan</t>
        </is>
      </c>
      <c r="C275" t="inlineStr">
        <is>
          <t>Föryngringsavverkning</t>
        </is>
      </c>
      <c r="D275" s="1" t="n">
        <v>45520</v>
      </c>
      <c r="E275" s="1" t="n">
        <v>46289</v>
      </c>
      <c r="F275" t="inlineStr">
        <is>
          <t>DALARNAS LÄN</t>
        </is>
      </c>
      <c r="G275" t="inlineStr">
        <is>
          <t>RÄTTVIK</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2068-2023</t>
        </is>
      </c>
      <c r="B276" t="inlineStr">
        <is>
          <t>avverkningsanmälan</t>
        </is>
      </c>
      <c r="C276" t="inlineStr">
        <is>
          <t>Föryngringsavverkning</t>
        </is>
      </c>
      <c r="D276" s="1" t="n">
        <v>44939</v>
      </c>
      <c r="E276" s="1" t="n">
        <v>46289</v>
      </c>
      <c r="F276" t="inlineStr">
        <is>
          <t>DALARNAS LÄN</t>
        </is>
      </c>
      <c r="G276" t="inlineStr">
        <is>
          <t>RÄTTVIK</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42735-2025</t>
        </is>
      </c>
      <c r="B277" t="inlineStr">
        <is>
          <t>avverkningsanmälan</t>
        </is>
      </c>
      <c r="C277" t="inlineStr">
        <is>
          <t>Avverkning för annat ändamål</t>
        </is>
      </c>
      <c r="D277" s="1" t="n">
        <v>45908</v>
      </c>
      <c r="E277" s="1" t="n">
        <v>46289</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18487-2024</t>
        </is>
      </c>
      <c r="B278" t="inlineStr">
        <is>
          <t>avverkningsanmälan</t>
        </is>
      </c>
      <c r="C278" t="inlineStr">
        <is>
          <t>Föryngringsavverkning</t>
        </is>
      </c>
      <c r="D278" s="1" t="n">
        <v>45425</v>
      </c>
      <c r="E278" s="1" t="n">
        <v>46289</v>
      </c>
      <c r="F278" t="inlineStr">
        <is>
          <t>DALARNAS LÄN</t>
        </is>
      </c>
      <c r="G278" t="inlineStr">
        <is>
          <t>RÄTTVIK</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43258-2025</t>
        </is>
      </c>
      <c r="B279" t="inlineStr">
        <is>
          <t>avverkningsanmälan</t>
        </is>
      </c>
      <c r="C279" t="inlineStr">
        <is>
          <t>Föryngringsavverkning</t>
        </is>
      </c>
      <c r="D279" s="1" t="n">
        <v>45910</v>
      </c>
      <c r="E279" s="1" t="n">
        <v>46289</v>
      </c>
      <c r="F279" t="inlineStr">
        <is>
          <t>DALARNAS LÄN</t>
        </is>
      </c>
      <c r="G279" t="inlineStr">
        <is>
          <t>RÄTTVIK</t>
        </is>
      </c>
      <c r="H279" t="inlineStr">
        <is>
          <t>Bergvik skog väst AB</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43282-2025</t>
        </is>
      </c>
      <c r="B280" t="inlineStr">
        <is>
          <t>avverkningsanmälan</t>
        </is>
      </c>
      <c r="C280" t="inlineStr">
        <is>
          <t>Föryngringsavverkning</t>
        </is>
      </c>
      <c r="D280" s="1" t="n">
        <v>45910</v>
      </c>
      <c r="E280" s="1" t="n">
        <v>46289</v>
      </c>
      <c r="F280" t="inlineStr">
        <is>
          <t>DALARNAS LÄN</t>
        </is>
      </c>
      <c r="G280" t="inlineStr">
        <is>
          <t>RÄTTVIK</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72178-2021</t>
        </is>
      </c>
      <c r="B281" t="inlineStr">
        <is>
          <t>avverkningsanmälan</t>
        </is>
      </c>
      <c r="C281" t="inlineStr">
        <is>
          <t>Föryngringsavverkning</t>
        </is>
      </c>
      <c r="D281" s="1" t="n">
        <v>44544</v>
      </c>
      <c r="E281" s="1" t="n">
        <v>46289</v>
      </c>
      <c r="F281" t="inlineStr">
        <is>
          <t>DALARNAS LÄN</t>
        </is>
      </c>
      <c r="G281" t="inlineStr">
        <is>
          <t>RÄTTVIK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12069-2023</t>
        </is>
      </c>
      <c r="B282" t="inlineStr">
        <is>
          <t>avverkningsanmälan</t>
        </is>
      </c>
      <c r="C282" t="inlineStr">
        <is>
          <t>Föryngringsavverkning</t>
        </is>
      </c>
      <c r="D282" s="1" t="n">
        <v>44997</v>
      </c>
      <c r="E282" s="1" t="n">
        <v>46289</v>
      </c>
      <c r="F282" t="inlineStr">
        <is>
          <t>DALARNAS LÄN</t>
        </is>
      </c>
      <c r="G282" t="inlineStr">
        <is>
          <t>RÄTTVIK</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38143-2023</t>
        </is>
      </c>
      <c r="B283" t="inlineStr">
        <is>
          <t>avverkningsanmälan</t>
        </is>
      </c>
      <c r="C283" t="inlineStr">
        <is>
          <t>Föryngringsavverkning</t>
        </is>
      </c>
      <c r="D283" s="1" t="n">
        <v>45161</v>
      </c>
      <c r="E283" s="1" t="n">
        <v>46289</v>
      </c>
      <c r="F283" t="inlineStr">
        <is>
          <t>DALARNAS LÄN</t>
        </is>
      </c>
      <c r="G283" t="inlineStr">
        <is>
          <t>RÄTTVIK</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47802-2024</t>
        </is>
      </c>
      <c r="B284" t="inlineStr">
        <is>
          <t>avverkningsanmälan</t>
        </is>
      </c>
      <c r="C284" t="inlineStr">
        <is>
          <t>Föryngringsavverkning</t>
        </is>
      </c>
      <c r="D284" s="1" t="n">
        <v>45588</v>
      </c>
      <c r="E284" s="1" t="n">
        <v>46289</v>
      </c>
      <c r="F284" t="inlineStr">
        <is>
          <t>DALARNAS LÄN</t>
        </is>
      </c>
      <c r="G284" t="inlineStr">
        <is>
          <t>RÄTTVIK</t>
        </is>
      </c>
      <c r="H284" t="inlineStr">
        <is>
          <t>Bergvik skog väst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54697-2023</t>
        </is>
      </c>
      <c r="B285" t="inlineStr">
        <is>
          <t>avverkningsanmälan</t>
        </is>
      </c>
      <c r="C285" t="inlineStr">
        <is>
          <t>Föryngringsavverkning</t>
        </is>
      </c>
      <c r="D285" s="1" t="n">
        <v>45236</v>
      </c>
      <c r="E285" s="1" t="n">
        <v>46289</v>
      </c>
      <c r="F285" t="inlineStr">
        <is>
          <t>DALARNAS LÄN</t>
        </is>
      </c>
      <c r="G285" t="inlineStr">
        <is>
          <t>RÄTTVIK</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6169-2024</t>
        </is>
      </c>
      <c r="B286" t="inlineStr">
        <is>
          <t>avverkningsanmälan</t>
        </is>
      </c>
      <c r="C286" t="inlineStr">
        <is>
          <t>Föryngringsavverkning</t>
        </is>
      </c>
      <c r="D286" s="1" t="n">
        <v>45337</v>
      </c>
      <c r="E286" s="1" t="n">
        <v>46289</v>
      </c>
      <c r="F286" t="inlineStr">
        <is>
          <t>DALARNAS LÄN</t>
        </is>
      </c>
      <c r="G286" t="inlineStr">
        <is>
          <t>RÄTTVIK</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55965-2022</t>
        </is>
      </c>
      <c r="B287" t="inlineStr">
        <is>
          <t>avverkningsanmälan</t>
        </is>
      </c>
      <c r="C287" t="inlineStr">
        <is>
          <t>Föryngringsavverkning</t>
        </is>
      </c>
      <c r="D287" s="1" t="n">
        <v>44889</v>
      </c>
      <c r="E287" s="1" t="n">
        <v>46289</v>
      </c>
      <c r="F287" t="inlineStr">
        <is>
          <t>DALARNAS LÄN</t>
        </is>
      </c>
      <c r="G287" t="inlineStr">
        <is>
          <t>RÄTTVIK</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29315-2024</t>
        </is>
      </c>
      <c r="B288" t="inlineStr">
        <is>
          <t>avverkningsanmälan</t>
        </is>
      </c>
      <c r="C288" t="inlineStr">
        <is>
          <t>Föryngringsavverkning</t>
        </is>
      </c>
      <c r="D288" s="1" t="n">
        <v>45483</v>
      </c>
      <c r="E288" s="1" t="n">
        <v>46289</v>
      </c>
      <c r="F288" t="inlineStr">
        <is>
          <t>DALARNAS LÄN</t>
        </is>
      </c>
      <c r="G288" t="inlineStr">
        <is>
          <t>RÄTTVIK</t>
        </is>
      </c>
      <c r="H288" t="inlineStr">
        <is>
          <t>Allmännings- och besparingsskogar</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36458-2024</t>
        </is>
      </c>
      <c r="B289" t="inlineStr">
        <is>
          <t>avverkningsanmälan</t>
        </is>
      </c>
      <c r="C289" t="inlineStr">
        <is>
          <t>Föryngringsavverkning</t>
        </is>
      </c>
      <c r="D289" s="1" t="n">
        <v>45537</v>
      </c>
      <c r="E289" s="1" t="n">
        <v>46289</v>
      </c>
      <c r="F289" t="inlineStr">
        <is>
          <t>DALARNAS LÄN</t>
        </is>
      </c>
      <c r="G289" t="inlineStr">
        <is>
          <t>RÄTTVIK</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43937-2025</t>
        </is>
      </c>
      <c r="B290" t="inlineStr">
        <is>
          <t>avverkningsanmälan</t>
        </is>
      </c>
      <c r="C290" t="inlineStr">
        <is>
          <t>Föryngringsavverkning</t>
        </is>
      </c>
      <c r="D290" s="1" t="n">
        <v>45915</v>
      </c>
      <c r="E290" s="1" t="n">
        <v>46289</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43935-2025</t>
        </is>
      </c>
      <c r="B291" t="inlineStr">
        <is>
          <t>avverkningsanmälan</t>
        </is>
      </c>
      <c r="C291" t="inlineStr">
        <is>
          <t>Föryngringsavverkning</t>
        </is>
      </c>
      <c r="D291" s="1" t="n">
        <v>45915</v>
      </c>
      <c r="E291" s="1" t="n">
        <v>46289</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43941-2025</t>
        </is>
      </c>
      <c r="B292" t="inlineStr">
        <is>
          <t>avverkningsanmälan</t>
        </is>
      </c>
      <c r="C292" t="inlineStr">
        <is>
          <t>Föryngringsavverkning</t>
        </is>
      </c>
      <c r="D292" s="1" t="n">
        <v>45915</v>
      </c>
      <c r="E292" s="1" t="n">
        <v>46289</v>
      </c>
      <c r="F292" t="inlineStr">
        <is>
          <t>DALARNAS LÄN</t>
        </is>
      </c>
      <c r="G292" t="inlineStr">
        <is>
          <t>RÄTTVIK</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37034-2024</t>
        </is>
      </c>
      <c r="B293" t="inlineStr">
        <is>
          <t>avverkningsanmälan</t>
        </is>
      </c>
      <c r="C293" t="inlineStr">
        <is>
          <t>Föryngringsavverkning</t>
        </is>
      </c>
      <c r="D293" s="1" t="n">
        <v>45539</v>
      </c>
      <c r="E293" s="1" t="n">
        <v>46289</v>
      </c>
      <c r="F293" t="inlineStr">
        <is>
          <t>DALARNAS LÄN</t>
        </is>
      </c>
      <c r="G293" t="inlineStr">
        <is>
          <t>RÄTTVIK</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37050-2024</t>
        </is>
      </c>
      <c r="B294" t="inlineStr">
        <is>
          <t>avverkningsanmälan</t>
        </is>
      </c>
      <c r="C294" t="inlineStr">
        <is>
          <t>Föryngringsavverkning</t>
        </is>
      </c>
      <c r="D294" s="1" t="n">
        <v>45539</v>
      </c>
      <c r="E294" s="1" t="n">
        <v>46289</v>
      </c>
      <c r="F294" t="inlineStr">
        <is>
          <t>DALARNAS LÄN</t>
        </is>
      </c>
      <c r="G294" t="inlineStr">
        <is>
          <t>RÄTTVIK</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43945-2025</t>
        </is>
      </c>
      <c r="B295" t="inlineStr">
        <is>
          <t>avverkningsanmälan</t>
        </is>
      </c>
      <c r="C295" t="inlineStr">
        <is>
          <t>Föryngringsavverkning</t>
        </is>
      </c>
      <c r="D295" s="1" t="n">
        <v>45915</v>
      </c>
      <c r="E295" s="1" t="n">
        <v>46289</v>
      </c>
      <c r="F295" t="inlineStr">
        <is>
          <t>DALARNAS LÄN</t>
        </is>
      </c>
      <c r="G295" t="inlineStr">
        <is>
          <t>RÄTTVIK</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24811-2025</t>
        </is>
      </c>
      <c r="B296" t="inlineStr">
        <is>
          <t>avverkningsanmälan</t>
        </is>
      </c>
      <c r="C296" t="inlineStr">
        <is>
          <t>Föryngringsavverkning</t>
        </is>
      </c>
      <c r="D296" s="1" t="n">
        <v>45799</v>
      </c>
      <c r="E296" s="1" t="n">
        <v>46289</v>
      </c>
      <c r="F296" t="inlineStr">
        <is>
          <t>DALARNAS LÄN</t>
        </is>
      </c>
      <c r="G296" t="inlineStr">
        <is>
          <t>RÄTTVIK</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44264-2025</t>
        </is>
      </c>
      <c r="B297" t="inlineStr">
        <is>
          <t>avverkningsanmälan</t>
        </is>
      </c>
      <c r="C297" t="inlineStr">
        <is>
          <t>Föryngringsavverkning</t>
        </is>
      </c>
      <c r="D297" s="1" t="n">
        <v>45916</v>
      </c>
      <c r="E297" s="1" t="n">
        <v>46289</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16878-2025</t>
        </is>
      </c>
      <c r="B298" t="inlineStr">
        <is>
          <t>avverkningsanmälan</t>
        </is>
      </c>
      <c r="C298" t="inlineStr">
        <is>
          <t>Föryngringsavverkning</t>
        </is>
      </c>
      <c r="D298" s="1" t="n">
        <v>45755</v>
      </c>
      <c r="E298" s="1" t="n">
        <v>46289</v>
      </c>
      <c r="F298" t="inlineStr">
        <is>
          <t>DALARNAS LÄN</t>
        </is>
      </c>
      <c r="G298" t="inlineStr">
        <is>
          <t>RÄTTVIK</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57761-2022</t>
        </is>
      </c>
      <c r="B299" t="inlineStr">
        <is>
          <t>avverkningsanmälan</t>
        </is>
      </c>
      <c r="C299" t="inlineStr">
        <is>
          <t>Föryngringsavverkning</t>
        </is>
      </c>
      <c r="D299" s="1" t="n">
        <v>44890</v>
      </c>
      <c r="E299" s="1" t="n">
        <v>46289</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36459-2024</t>
        </is>
      </c>
      <c r="B300" t="inlineStr">
        <is>
          <t>avverkningsanmälan</t>
        </is>
      </c>
      <c r="C300" t="inlineStr">
        <is>
          <t>Föryngringsavverkning</t>
        </is>
      </c>
      <c r="D300" s="1" t="n">
        <v>45537</v>
      </c>
      <c r="E300" s="1" t="n">
        <v>46289</v>
      </c>
      <c r="F300" t="inlineStr">
        <is>
          <t>DALARNAS LÄN</t>
        </is>
      </c>
      <c r="G300" t="inlineStr">
        <is>
          <t>RÄTTVIK</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13994-2024</t>
        </is>
      </c>
      <c r="B301" t="inlineStr">
        <is>
          <t>avverkningsanmälan</t>
        </is>
      </c>
      <c r="C301" t="inlineStr">
        <is>
          <t>Föryngringsavverkning</t>
        </is>
      </c>
      <c r="D301" s="1" t="n">
        <v>45392</v>
      </c>
      <c r="E301" s="1" t="n">
        <v>46289</v>
      </c>
      <c r="F301" t="inlineStr">
        <is>
          <t>DALARNAS LÄN</t>
        </is>
      </c>
      <c r="G301" t="inlineStr">
        <is>
          <t>RÄTTVIK</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25559-2025</t>
        </is>
      </c>
      <c r="B302" t="inlineStr">
        <is>
          <t>avverkningsanmälan</t>
        </is>
      </c>
      <c r="C302" t="inlineStr">
        <is>
          <t>Föryngringsavverkning</t>
        </is>
      </c>
      <c r="D302" s="1" t="n">
        <v>45803</v>
      </c>
      <c r="E302" s="1" t="n">
        <v>46289</v>
      </c>
      <c r="F302" t="inlineStr">
        <is>
          <t>DALARNAS LÄN</t>
        </is>
      </c>
      <c r="G302" t="inlineStr">
        <is>
          <t>RÄTTVIK</t>
        </is>
      </c>
      <c r="H302" t="inlineStr">
        <is>
          <t>Sveaskog</t>
        </is>
      </c>
      <c r="I302" t="n">
        <v>9.699999999999999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32894-2023</t>
        </is>
      </c>
      <c r="B303" t="inlineStr">
        <is>
          <t>avverkningsanmälan</t>
        </is>
      </c>
      <c r="C303" t="inlineStr">
        <is>
          <t>Föryngringsavverkning</t>
        </is>
      </c>
      <c r="D303" s="1" t="n">
        <v>45124</v>
      </c>
      <c r="E303" s="1" t="n">
        <v>46289</v>
      </c>
      <c r="F303" t="inlineStr">
        <is>
          <t>DALARNAS LÄN</t>
        </is>
      </c>
      <c r="G303" t="inlineStr">
        <is>
          <t>RÄTTVIK</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10983-2023</t>
        </is>
      </c>
      <c r="B304" t="inlineStr">
        <is>
          <t>avverkningsanmälan</t>
        </is>
      </c>
      <c r="C304" t="inlineStr">
        <is>
          <t>Föryngringsavverkning</t>
        </is>
      </c>
      <c r="D304" s="1" t="n">
        <v>44991</v>
      </c>
      <c r="E304" s="1" t="n">
        <v>46289</v>
      </c>
      <c r="F304" t="inlineStr">
        <is>
          <t>DALARNAS LÄN</t>
        </is>
      </c>
      <c r="G304" t="inlineStr">
        <is>
          <t>RÄTTVIK</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2262-2024</t>
        </is>
      </c>
      <c r="B305" t="inlineStr">
        <is>
          <t>avverkningsanmälan</t>
        </is>
      </c>
      <c r="C305" t="inlineStr">
        <is>
          <t>Föryngringsavverkning</t>
        </is>
      </c>
      <c r="D305" s="1" t="n">
        <v>45310</v>
      </c>
      <c r="E305" s="1" t="n">
        <v>46289</v>
      </c>
      <c r="F305" t="inlineStr">
        <is>
          <t>DALARNAS LÄN</t>
        </is>
      </c>
      <c r="G305" t="inlineStr">
        <is>
          <t>RÄTTVIK</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11630-2024</t>
        </is>
      </c>
      <c r="B306" t="inlineStr">
        <is>
          <t>avverkningsanmälan</t>
        </is>
      </c>
      <c r="C306" t="inlineStr">
        <is>
          <t>Föryngringsavverkning</t>
        </is>
      </c>
      <c r="D306" s="1" t="n">
        <v>45373</v>
      </c>
      <c r="E306" s="1" t="n">
        <v>46289</v>
      </c>
      <c r="F306" t="inlineStr">
        <is>
          <t>DALARNAS LÄN</t>
        </is>
      </c>
      <c r="G306" t="inlineStr">
        <is>
          <t>RÄTTVIK</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37055-2024</t>
        </is>
      </c>
      <c r="B307" t="inlineStr">
        <is>
          <t>avverkningsanmälan</t>
        </is>
      </c>
      <c r="C307" t="inlineStr">
        <is>
          <t>Föryngringsavverkning</t>
        </is>
      </c>
      <c r="D307" s="1" t="n">
        <v>45539</v>
      </c>
      <c r="E307" s="1" t="n">
        <v>46289</v>
      </c>
      <c r="F307" t="inlineStr">
        <is>
          <t>DALARNAS LÄN</t>
        </is>
      </c>
      <c r="G307" t="inlineStr">
        <is>
          <t>RÄTTVIK</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61996-2022</t>
        </is>
      </c>
      <c r="B308" t="inlineStr">
        <is>
          <t>avverkningsanmälan</t>
        </is>
      </c>
      <c r="C308" t="inlineStr">
        <is>
          <t>Föryngringsavverkning</t>
        </is>
      </c>
      <c r="D308" s="1" t="n">
        <v>44914</v>
      </c>
      <c r="E308" s="1" t="n">
        <v>46289</v>
      </c>
      <c r="F308" t="inlineStr">
        <is>
          <t>DALARNAS LÄN</t>
        </is>
      </c>
      <c r="G308" t="inlineStr">
        <is>
          <t>RÄTTVIK</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48223-2024</t>
        </is>
      </c>
      <c r="B309" t="inlineStr">
        <is>
          <t>avverkningsanmälan</t>
        </is>
      </c>
      <c r="C309" t="inlineStr">
        <is>
          <t>Föryngringsavverkning</t>
        </is>
      </c>
      <c r="D309" s="1" t="n">
        <v>45590</v>
      </c>
      <c r="E309" s="1" t="n">
        <v>46289</v>
      </c>
      <c r="F309" t="inlineStr">
        <is>
          <t>DALARNAS LÄN</t>
        </is>
      </c>
      <c r="G309" t="inlineStr">
        <is>
          <t>RÄTTVIK</t>
        </is>
      </c>
      <c r="H309" t="inlineStr">
        <is>
          <t>Bergvik skog väst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40409-2024</t>
        </is>
      </c>
      <c r="B310" t="inlineStr">
        <is>
          <t>avverkningsanmälan</t>
        </is>
      </c>
      <c r="C310" t="inlineStr">
        <is>
          <t>Föryngringsavverkning</t>
        </is>
      </c>
      <c r="D310" s="1" t="n">
        <v>45555</v>
      </c>
      <c r="E310" s="1" t="n">
        <v>46289</v>
      </c>
      <c r="F310" t="inlineStr">
        <is>
          <t>DALARNAS LÄN</t>
        </is>
      </c>
      <c r="G310" t="inlineStr">
        <is>
          <t>RÄTTVIK</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25567-2025</t>
        </is>
      </c>
      <c r="B311" t="inlineStr">
        <is>
          <t>avverkningsanmälan</t>
        </is>
      </c>
      <c r="C311" t="inlineStr">
        <is>
          <t>Föryngringsavverkning</t>
        </is>
      </c>
      <c r="D311" s="1" t="n">
        <v>45803</v>
      </c>
      <c r="E311" s="1" t="n">
        <v>46289</v>
      </c>
      <c r="F311" t="inlineStr">
        <is>
          <t>DALARNAS LÄN</t>
        </is>
      </c>
      <c r="G311" t="inlineStr">
        <is>
          <t>RÄTTVIK</t>
        </is>
      </c>
      <c r="H311" t="inlineStr">
        <is>
          <t>Sveaskog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43011-2024</t>
        </is>
      </c>
      <c r="B312" t="inlineStr">
        <is>
          <t>avverkningsanmälan</t>
        </is>
      </c>
      <c r="C312" t="inlineStr">
        <is>
          <t>Föryngringsavverkning</t>
        </is>
      </c>
      <c r="D312" s="1" t="n">
        <v>45567</v>
      </c>
      <c r="E312" s="1" t="n">
        <v>46289</v>
      </c>
      <c r="F312" t="inlineStr">
        <is>
          <t>DALARNAS LÄN</t>
        </is>
      </c>
      <c r="G312" t="inlineStr">
        <is>
          <t>RÄTTVIK</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45295-2025</t>
        </is>
      </c>
      <c r="B313" t="inlineStr">
        <is>
          <t>avverkningsanmälan</t>
        </is>
      </c>
      <c r="C313" t="inlineStr">
        <is>
          <t>Föryngringsavverkning</t>
        </is>
      </c>
      <c r="D313" s="1" t="n">
        <v>45920</v>
      </c>
      <c r="E313" s="1" t="n">
        <v>46289</v>
      </c>
      <c r="F313" t="inlineStr">
        <is>
          <t>DALARNAS LÄN</t>
        </is>
      </c>
      <c r="G313" t="inlineStr">
        <is>
          <t>RÄTTVIK</t>
        </is>
      </c>
      <c r="I313" t="n">
        <v>12.4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45049-2025</t>
        </is>
      </c>
      <c r="B314" t="inlineStr">
        <is>
          <t>avverkningsanmälan</t>
        </is>
      </c>
      <c r="C314" t="inlineStr">
        <is>
          <t>Föryngringsavverkning</t>
        </is>
      </c>
      <c r="D314" s="1" t="n">
        <v>45919</v>
      </c>
      <c r="E314" s="1" t="n">
        <v>46289</v>
      </c>
      <c r="F314" t="inlineStr">
        <is>
          <t>DALARNAS LÄN</t>
        </is>
      </c>
      <c r="G314" t="inlineStr">
        <is>
          <t>RÄTTVIK</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61656-2024</t>
        </is>
      </c>
      <c r="B315" t="inlineStr">
        <is>
          <t>avverkningsanmälan</t>
        </is>
      </c>
      <c r="C315" t="inlineStr">
        <is>
          <t>Föryngringsavverkning</t>
        </is>
      </c>
      <c r="D315" s="1" t="n">
        <v>45646</v>
      </c>
      <c r="E315" s="1" t="n">
        <v>46289</v>
      </c>
      <c r="F315" t="inlineStr">
        <is>
          <t>DALARNAS LÄN</t>
        </is>
      </c>
      <c r="G315" t="inlineStr">
        <is>
          <t>RÄTTVIK</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45826-2025</t>
        </is>
      </c>
      <c r="B316" t="inlineStr">
        <is>
          <t>avverkningsanmälan</t>
        </is>
      </c>
      <c r="C316" t="inlineStr">
        <is>
          <t>Föryngringsavverkning</t>
        </is>
      </c>
      <c r="D316" s="1" t="n">
        <v>45923</v>
      </c>
      <c r="E316" s="1" t="n">
        <v>46289</v>
      </c>
      <c r="F316" t="inlineStr">
        <is>
          <t>DALARNAS LÄN</t>
        </is>
      </c>
      <c r="G316" t="inlineStr">
        <is>
          <t>RÄTTVIK</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39291-2024</t>
        </is>
      </c>
      <c r="B317" t="inlineStr">
        <is>
          <t>avverkningsanmälan</t>
        </is>
      </c>
      <c r="C317" t="inlineStr">
        <is>
          <t>Föryngringsavverkning</t>
        </is>
      </c>
      <c r="D317" s="1" t="n">
        <v>45551</v>
      </c>
      <c r="E317" s="1" t="n">
        <v>46289</v>
      </c>
      <c r="F317" t="inlineStr">
        <is>
          <t>DALARNAS LÄN</t>
        </is>
      </c>
      <c r="G317" t="inlineStr">
        <is>
          <t>RÄTTVIK</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46384-2024</t>
        </is>
      </c>
      <c r="B318" t="inlineStr">
        <is>
          <t>avverkningsanmälan</t>
        </is>
      </c>
      <c r="C318" t="inlineStr">
        <is>
          <t>Föryngringsavverkning</t>
        </is>
      </c>
      <c r="D318" s="1" t="n">
        <v>45582</v>
      </c>
      <c r="E318" s="1" t="n">
        <v>46289</v>
      </c>
      <c r="F318" t="inlineStr">
        <is>
          <t>DALARNAS LÄN</t>
        </is>
      </c>
      <c r="G318" t="inlineStr">
        <is>
          <t>RÄTTVIK</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45681-2025</t>
        </is>
      </c>
      <c r="B319" t="inlineStr">
        <is>
          <t>avverkningsanmälan</t>
        </is>
      </c>
      <c r="C319" t="inlineStr">
        <is>
          <t>Föryngringsavverkning</t>
        </is>
      </c>
      <c r="D319" s="1" t="n">
        <v>45923</v>
      </c>
      <c r="E319" s="1" t="n">
        <v>46289</v>
      </c>
      <c r="F319" t="inlineStr">
        <is>
          <t>DALARNAS LÄN</t>
        </is>
      </c>
      <c r="G319" t="inlineStr">
        <is>
          <t>RÄTTVIK</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33165-2024</t>
        </is>
      </c>
      <c r="B320" t="inlineStr">
        <is>
          <t>avverkningsanmälan</t>
        </is>
      </c>
      <c r="C320" t="inlineStr">
        <is>
          <t>Föryngringsavverkning</t>
        </is>
      </c>
      <c r="D320" s="1" t="n">
        <v>45518</v>
      </c>
      <c r="E320" s="1" t="n">
        <v>46289</v>
      </c>
      <c r="F320" t="inlineStr">
        <is>
          <t>DALARNAS LÄN</t>
        </is>
      </c>
      <c r="G320" t="inlineStr">
        <is>
          <t>RÄTTVIK</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33174-2024</t>
        </is>
      </c>
      <c r="B321" t="inlineStr">
        <is>
          <t>avverkningsanmälan</t>
        </is>
      </c>
      <c r="C321" t="inlineStr">
        <is>
          <t>Föryngringsavverkning</t>
        </is>
      </c>
      <c r="D321" s="1" t="n">
        <v>45518</v>
      </c>
      <c r="E321" s="1" t="n">
        <v>46289</v>
      </c>
      <c r="F321" t="inlineStr">
        <is>
          <t>DALARNAS LÄN</t>
        </is>
      </c>
      <c r="G321" t="inlineStr">
        <is>
          <t>RÄTTVIK</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45806-2025</t>
        </is>
      </c>
      <c r="B322" t="inlineStr">
        <is>
          <t>avverkningsanmälan</t>
        </is>
      </c>
      <c r="C322" t="inlineStr">
        <is>
          <t>Föryngringsavverkning</t>
        </is>
      </c>
      <c r="D322" s="1" t="n">
        <v>45923</v>
      </c>
      <c r="E322" s="1" t="n">
        <v>46289</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44733-2023</t>
        </is>
      </c>
      <c r="B323" t="inlineStr">
        <is>
          <t>avverkningsanmälan</t>
        </is>
      </c>
      <c r="C323" t="inlineStr">
        <is>
          <t>Föryngringsavverkning</t>
        </is>
      </c>
      <c r="D323" s="1" t="n">
        <v>45190</v>
      </c>
      <c r="E323" s="1" t="n">
        <v>46289</v>
      </c>
      <c r="F323" t="inlineStr">
        <is>
          <t>DALARNAS LÄN</t>
        </is>
      </c>
      <c r="G323" t="inlineStr">
        <is>
          <t>RÄTTVIK</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49493-2024</t>
        </is>
      </c>
      <c r="B324" t="inlineStr">
        <is>
          <t>avverkningsanmälan</t>
        </is>
      </c>
      <c r="C324" t="inlineStr">
        <is>
          <t>Föryngringsavverkning</t>
        </is>
      </c>
      <c r="D324" s="1" t="n">
        <v>45596</v>
      </c>
      <c r="E324" s="1" t="n">
        <v>46289</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45726-2025</t>
        </is>
      </c>
      <c r="B325" t="inlineStr">
        <is>
          <t>avverkningsanmälan</t>
        </is>
      </c>
      <c r="C325" t="inlineStr">
        <is>
          <t>Föryngringsavverkning</t>
        </is>
      </c>
      <c r="D325" s="1" t="n">
        <v>45923</v>
      </c>
      <c r="E325" s="1" t="n">
        <v>46289</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45621-2023</t>
        </is>
      </c>
      <c r="B326" t="inlineStr">
        <is>
          <t>avverkningsanmälan</t>
        </is>
      </c>
      <c r="C326" t="inlineStr">
        <is>
          <t>Föryngringsavverkning</t>
        </is>
      </c>
      <c r="D326" s="1" t="n">
        <v>45188</v>
      </c>
      <c r="E326" s="1" t="n">
        <v>46289</v>
      </c>
      <c r="F326" t="inlineStr">
        <is>
          <t>DALARNAS LÄN</t>
        </is>
      </c>
      <c r="G326" t="inlineStr">
        <is>
          <t>RÄTTVIK</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295-2023</t>
        </is>
      </c>
      <c r="B327" t="inlineStr">
        <is>
          <t>avverkningsanmälan</t>
        </is>
      </c>
      <c r="C327" t="inlineStr">
        <is>
          <t>Avverkning för annat ändamål</t>
        </is>
      </c>
      <c r="D327" s="1" t="n">
        <v>44922</v>
      </c>
      <c r="E327" s="1" t="n">
        <v>46289</v>
      </c>
      <c r="F327" t="inlineStr">
        <is>
          <t>DALARNAS LÄN</t>
        </is>
      </c>
      <c r="G327" t="inlineStr">
        <is>
          <t>RÄTTVIK</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46248-2025</t>
        </is>
      </c>
      <c r="B328" t="inlineStr">
        <is>
          <t>avverkningsanmälan</t>
        </is>
      </c>
      <c r="C328" t="inlineStr">
        <is>
          <t>Föryngringsavverkning</t>
        </is>
      </c>
      <c r="D328" s="1" t="n">
        <v>45925</v>
      </c>
      <c r="E328" s="1" t="n">
        <v>46289</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54243-2024</t>
        </is>
      </c>
      <c r="B329" t="inlineStr">
        <is>
          <t>avverkningsanmälan</t>
        </is>
      </c>
      <c r="C329" t="inlineStr">
        <is>
          <t>Avverkning för att bevara och utveckla /försöksver</t>
        </is>
      </c>
      <c r="D329" s="1" t="n">
        <v>45616</v>
      </c>
      <c r="E329" s="1" t="n">
        <v>46289</v>
      </c>
      <c r="F329" t="inlineStr">
        <is>
          <t>DALARNAS LÄN</t>
        </is>
      </c>
      <c r="G329" t="inlineStr">
        <is>
          <t>RÄTTVIK</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54300-2024</t>
        </is>
      </c>
      <c r="B330" t="inlineStr">
        <is>
          <t>avverkningsanmälan</t>
        </is>
      </c>
      <c r="C330" t="inlineStr">
        <is>
          <t>Avverkning för annat ändamål</t>
        </is>
      </c>
      <c r="D330" s="1" t="n">
        <v>45617</v>
      </c>
      <c r="E330" s="1" t="n">
        <v>46289</v>
      </c>
      <c r="F330" t="inlineStr">
        <is>
          <t>DALARNAS LÄN</t>
        </is>
      </c>
      <c r="G330" t="inlineStr">
        <is>
          <t>RÄTTVIK</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58572-2024</t>
        </is>
      </c>
      <c r="B331" t="inlineStr">
        <is>
          <t>avverkningsanmälan</t>
        </is>
      </c>
      <c r="C331" t="inlineStr">
        <is>
          <t>Föryngringsavverkning</t>
        </is>
      </c>
      <c r="D331" s="1" t="n">
        <v>45632</v>
      </c>
      <c r="E331" s="1" t="n">
        <v>46289</v>
      </c>
      <c r="F331" t="inlineStr">
        <is>
          <t>DALARNAS LÄN</t>
        </is>
      </c>
      <c r="G331" t="inlineStr">
        <is>
          <t>RÄTTVIK</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46389-2025</t>
        </is>
      </c>
      <c r="B332" t="inlineStr">
        <is>
          <t>avverkningsanmälan</t>
        </is>
      </c>
      <c r="C332" t="inlineStr">
        <is>
          <t>Föryngringsavverkning</t>
        </is>
      </c>
      <c r="D332" s="1" t="n">
        <v>45925</v>
      </c>
      <c r="E332" s="1" t="n">
        <v>46289</v>
      </c>
      <c r="F332" t="inlineStr">
        <is>
          <t>DALARNAS LÄN</t>
        </is>
      </c>
      <c r="G332" t="inlineStr">
        <is>
          <t>RÄTTVIK</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c r="Z332">
        <f>HYPERLINK("https://klasma.github.io/Logging_2031/knärot/A 46389-2025 karta knärot.png", "A 46389-2025")</f>
        <v/>
      </c>
      <c r="AA332">
        <f>HYPERLINK("https://klasma.github.io/Logging_2031/klagomål/A 46389-2025 FSC-klagomål.docx", "A 46389-2025")</f>
        <v/>
      </c>
      <c r="AB332">
        <f>HYPERLINK("https://klasma.github.io/Logging_2031/klagomålsmail/A 46389-2025 FSC-klagomål mail.docx", "A 46389-2025")</f>
        <v/>
      </c>
      <c r="AC332">
        <f>HYPERLINK("https://klasma.github.io/Logging_2031/tillsyn/A 46389-2025 tillsynsbegäran.docx", "A 46389-2025")</f>
        <v/>
      </c>
      <c r="AD332">
        <f>HYPERLINK("https://klasma.github.io/Logging_2031/tillsynsmail/A 46389-2025 tillsynsbegäran mail.docx", "A 46389-2025")</f>
        <v/>
      </c>
    </row>
    <row r="333" ht="15" customHeight="1">
      <c r="A333" t="inlineStr">
        <is>
          <t>A 46394-2025</t>
        </is>
      </c>
      <c r="B333" t="inlineStr">
        <is>
          <t>avverkningsanmälan</t>
        </is>
      </c>
      <c r="C333" t="inlineStr">
        <is>
          <t>Föryngringsavverkning</t>
        </is>
      </c>
      <c r="D333" s="1" t="n">
        <v>45925</v>
      </c>
      <c r="E333" s="1" t="n">
        <v>46289</v>
      </c>
      <c r="F333" t="inlineStr">
        <is>
          <t>DALARNAS LÄN</t>
        </is>
      </c>
      <c r="G333" t="inlineStr">
        <is>
          <t>RÄTTVIK</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55898-2024</t>
        </is>
      </c>
      <c r="B334" t="inlineStr">
        <is>
          <t>avverkningsanmälan</t>
        </is>
      </c>
      <c r="C334" t="inlineStr">
        <is>
          <t>Föryngringsavverkning</t>
        </is>
      </c>
      <c r="D334" s="1" t="n">
        <v>45623</v>
      </c>
      <c r="E334" s="1" t="n">
        <v>46289</v>
      </c>
      <c r="F334" t="inlineStr">
        <is>
          <t>DALARNAS LÄN</t>
        </is>
      </c>
      <c r="G334" t="inlineStr">
        <is>
          <t>RÄTTVIK</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61347-2023</t>
        </is>
      </c>
      <c r="B335" t="inlineStr">
        <is>
          <t>avverkningsanmälan</t>
        </is>
      </c>
      <c r="C335" t="inlineStr">
        <is>
          <t>Föryngringsavverkning</t>
        </is>
      </c>
      <c r="D335" s="1" t="n">
        <v>45264</v>
      </c>
      <c r="E335" s="1" t="n">
        <v>46289</v>
      </c>
      <c r="F335" t="inlineStr">
        <is>
          <t>DALARNAS LÄN</t>
        </is>
      </c>
      <c r="G335" t="inlineStr">
        <is>
          <t>RÄTTVIK</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60228-2022</t>
        </is>
      </c>
      <c r="B336" t="inlineStr">
        <is>
          <t>avverkningsanmälan</t>
        </is>
      </c>
      <c r="C336" t="inlineStr">
        <is>
          <t>Föryngringsavverkning</t>
        </is>
      </c>
      <c r="D336" s="1" t="n">
        <v>44910</v>
      </c>
      <c r="E336" s="1" t="n">
        <v>46289</v>
      </c>
      <c r="F336" t="inlineStr">
        <is>
          <t>DALARNAS LÄN</t>
        </is>
      </c>
      <c r="G336" t="inlineStr">
        <is>
          <t>RÄTTVIK</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61357-2023</t>
        </is>
      </c>
      <c r="B337" t="inlineStr">
        <is>
          <t>avverkningsanmälan</t>
        </is>
      </c>
      <c r="C337" t="inlineStr">
        <is>
          <t>Föryngringsavverkning</t>
        </is>
      </c>
      <c r="D337" s="1" t="n">
        <v>45264</v>
      </c>
      <c r="E337" s="1" t="n">
        <v>46289</v>
      </c>
      <c r="F337" t="inlineStr">
        <is>
          <t>DALARNAS LÄN</t>
        </is>
      </c>
      <c r="G337" t="inlineStr">
        <is>
          <t>RÄTTVIK</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32560-2024</t>
        </is>
      </c>
      <c r="B338" t="inlineStr">
        <is>
          <t>avverkningsanmälan</t>
        </is>
      </c>
      <c r="C338" t="inlineStr">
        <is>
          <t>Föryngringsavverkning</t>
        </is>
      </c>
      <c r="D338" s="1" t="n">
        <v>45513</v>
      </c>
      <c r="E338" s="1" t="n">
        <v>46289</v>
      </c>
      <c r="F338" t="inlineStr">
        <is>
          <t>DALARNAS LÄN</t>
        </is>
      </c>
      <c r="G338" t="inlineStr">
        <is>
          <t>RÄTTVIK</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41869-2023</t>
        </is>
      </c>
      <c r="B339" t="inlineStr">
        <is>
          <t>avverkningsanmälan</t>
        </is>
      </c>
      <c r="C339" t="inlineStr">
        <is>
          <t>Avverkning för annat ändamål</t>
        </is>
      </c>
      <c r="D339" s="1" t="n">
        <v>45176</v>
      </c>
      <c r="E339" s="1" t="n">
        <v>46289</v>
      </c>
      <c r="F339" t="inlineStr">
        <is>
          <t>DALARNAS LÄN</t>
        </is>
      </c>
      <c r="G339" t="inlineStr">
        <is>
          <t>RÄTTVIK</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46428-2024</t>
        </is>
      </c>
      <c r="B340" t="inlineStr">
        <is>
          <t>avverkningsanmälan</t>
        </is>
      </c>
      <c r="C340" t="inlineStr">
        <is>
          <t>Föryngringsavverkning</t>
        </is>
      </c>
      <c r="D340" s="1" t="n">
        <v>45582</v>
      </c>
      <c r="E340" s="1" t="n">
        <v>46289</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43563-2024</t>
        </is>
      </c>
      <c r="B341" t="inlineStr">
        <is>
          <t>avverkningsanmälan</t>
        </is>
      </c>
      <c r="C341" t="inlineStr">
        <is>
          <t>Föryngringsavverkning</t>
        </is>
      </c>
      <c r="D341" s="1" t="n">
        <v>45569</v>
      </c>
      <c r="E341" s="1" t="n">
        <v>46289</v>
      </c>
      <c r="F341" t="inlineStr">
        <is>
          <t>DALARNAS LÄN</t>
        </is>
      </c>
      <c r="G341" t="inlineStr">
        <is>
          <t>RÄTTVIK</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47286-2025</t>
        </is>
      </c>
      <c r="B342" t="inlineStr">
        <is>
          <t>avverkningsanmälan</t>
        </is>
      </c>
      <c r="C342" t="inlineStr">
        <is>
          <t>Föryngringsavverkning</t>
        </is>
      </c>
      <c r="D342" s="1" t="n">
        <v>45930</v>
      </c>
      <c r="E342" s="1" t="n">
        <v>46289</v>
      </c>
      <c r="F342" t="inlineStr">
        <is>
          <t>DALARNAS LÄN</t>
        </is>
      </c>
      <c r="G342" t="inlineStr">
        <is>
          <t>RÄTTVIK</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47361-2025</t>
        </is>
      </c>
      <c r="B343" t="inlineStr">
        <is>
          <t>avverkningsanmälan</t>
        </is>
      </c>
      <c r="C343" t="inlineStr">
        <is>
          <t>Föryngringsavverkning</t>
        </is>
      </c>
      <c r="D343" s="1" t="n">
        <v>45930</v>
      </c>
      <c r="E343" s="1" t="n">
        <v>46289</v>
      </c>
      <c r="F343" t="inlineStr">
        <is>
          <t>DALARNAS LÄN</t>
        </is>
      </c>
      <c r="G343" t="inlineStr">
        <is>
          <t>RÄTTVIK</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47294-2025</t>
        </is>
      </c>
      <c r="B344" t="inlineStr">
        <is>
          <t>avverkningsanmälan</t>
        </is>
      </c>
      <c r="C344" t="inlineStr">
        <is>
          <t>Föryngringsavverkning</t>
        </is>
      </c>
      <c r="D344" s="1" t="n">
        <v>45930</v>
      </c>
      <c r="E344" s="1" t="n">
        <v>46289</v>
      </c>
      <c r="F344" t="inlineStr">
        <is>
          <t>DALARNAS LÄN</t>
        </is>
      </c>
      <c r="G344" t="inlineStr">
        <is>
          <t>RÄTTVIK</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37120-2024</t>
        </is>
      </c>
      <c r="B345" t="inlineStr">
        <is>
          <t>avverkningsanmälan</t>
        </is>
      </c>
      <c r="C345" t="inlineStr">
        <is>
          <t>Föryngringsavverkning</t>
        </is>
      </c>
      <c r="D345" s="1" t="n">
        <v>45539</v>
      </c>
      <c r="E345" s="1" t="n">
        <v>46289</v>
      </c>
      <c r="F345" t="inlineStr">
        <is>
          <t>DALARNAS LÄN</t>
        </is>
      </c>
      <c r="G345" t="inlineStr">
        <is>
          <t>RÄTTVIK</t>
        </is>
      </c>
      <c r="I345" t="n">
        <v>13.6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37131-2024</t>
        </is>
      </c>
      <c r="B346" t="inlineStr">
        <is>
          <t>avverkningsanmälan</t>
        </is>
      </c>
      <c r="C346" t="inlineStr">
        <is>
          <t>Föryngringsavverkning</t>
        </is>
      </c>
      <c r="D346" s="1" t="n">
        <v>45539</v>
      </c>
      <c r="E346" s="1" t="n">
        <v>46289</v>
      </c>
      <c r="F346" t="inlineStr">
        <is>
          <t>DALARNAS LÄN</t>
        </is>
      </c>
      <c r="G346" t="inlineStr">
        <is>
          <t>RÄTTVIK</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55122-2024</t>
        </is>
      </c>
      <c r="B347" t="inlineStr">
        <is>
          <t>avverkningsanmälan</t>
        </is>
      </c>
      <c r="C347" t="inlineStr">
        <is>
          <t>Föryngringsavverkning</t>
        </is>
      </c>
      <c r="D347" s="1" t="n">
        <v>45618</v>
      </c>
      <c r="E347" s="1" t="n">
        <v>46289</v>
      </c>
      <c r="F347" t="inlineStr">
        <is>
          <t>DALARNAS LÄN</t>
        </is>
      </c>
      <c r="G347" t="inlineStr">
        <is>
          <t>RÄTTVIK</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51529-2024</t>
        </is>
      </c>
      <c r="B348" t="inlineStr">
        <is>
          <t>avverkningsanmälan</t>
        </is>
      </c>
      <c r="C348" t="inlineStr">
        <is>
          <t>Föryngringsavverkning</t>
        </is>
      </c>
      <c r="D348" s="1" t="n">
        <v>45603</v>
      </c>
      <c r="E348" s="1" t="n">
        <v>46289</v>
      </c>
      <c r="F348" t="inlineStr">
        <is>
          <t>DALARNAS LÄN</t>
        </is>
      </c>
      <c r="G348" t="inlineStr">
        <is>
          <t>RÄTTVIK</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34339-2024</t>
        </is>
      </c>
      <c r="B349" t="inlineStr">
        <is>
          <t>avverkningsanmälan</t>
        </is>
      </c>
      <c r="C349" t="inlineStr">
        <is>
          <t>Föryngringsavverkning</t>
        </is>
      </c>
      <c r="D349" s="1" t="n">
        <v>45525</v>
      </c>
      <c r="E349" s="1" t="n">
        <v>46289</v>
      </c>
      <c r="F349" t="inlineStr">
        <is>
          <t>DALARNAS LÄN</t>
        </is>
      </c>
      <c r="G349" t="inlineStr">
        <is>
          <t>RÄTTVIK</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34340-2024</t>
        </is>
      </c>
      <c r="B350" t="inlineStr">
        <is>
          <t>avverkningsanmälan</t>
        </is>
      </c>
      <c r="C350" t="inlineStr">
        <is>
          <t>Föryngringsavverkning</t>
        </is>
      </c>
      <c r="D350" s="1" t="n">
        <v>45525</v>
      </c>
      <c r="E350" s="1" t="n">
        <v>46289</v>
      </c>
      <c r="F350" t="inlineStr">
        <is>
          <t>DALARNAS LÄN</t>
        </is>
      </c>
      <c r="G350" t="inlineStr">
        <is>
          <t>RÄTTVIK</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12029-2024</t>
        </is>
      </c>
      <c r="B351" t="inlineStr">
        <is>
          <t>avverkningsanmälan</t>
        </is>
      </c>
      <c r="C351" t="inlineStr">
        <is>
          <t>Föryngringsavverkning</t>
        </is>
      </c>
      <c r="D351" s="1" t="n">
        <v>45377</v>
      </c>
      <c r="E351" s="1" t="n">
        <v>46289</v>
      </c>
      <c r="F351" t="inlineStr">
        <is>
          <t>DALARNAS LÄN</t>
        </is>
      </c>
      <c r="G351" t="inlineStr">
        <is>
          <t>RÄTTVIK</t>
        </is>
      </c>
      <c r="H351" t="inlineStr">
        <is>
          <t>Övriga statliga verk och myndigheter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54816-2024</t>
        </is>
      </c>
      <c r="B352" t="inlineStr">
        <is>
          <t>avverkningsanmälan</t>
        </is>
      </c>
      <c r="C352" t="inlineStr">
        <is>
          <t>Föryngringsavverkning</t>
        </is>
      </c>
      <c r="D352" s="1" t="n">
        <v>45618</v>
      </c>
      <c r="E352" s="1" t="n">
        <v>46289</v>
      </c>
      <c r="F352" t="inlineStr">
        <is>
          <t>DALARNAS LÄN</t>
        </is>
      </c>
      <c r="G352" t="inlineStr">
        <is>
          <t>RÄTTVIK</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48280-2025</t>
        </is>
      </c>
      <c r="B353" t="inlineStr">
        <is>
          <t>avverkningsanmälan</t>
        </is>
      </c>
      <c r="C353" t="inlineStr">
        <is>
          <t>Föryngringsavverkning</t>
        </is>
      </c>
      <c r="D353" s="1" t="n">
        <v>45933</v>
      </c>
      <c r="E353" s="1" t="n">
        <v>46289</v>
      </c>
      <c r="F353" t="inlineStr">
        <is>
          <t>DALARNAS LÄN</t>
        </is>
      </c>
      <c r="G353" t="inlineStr">
        <is>
          <t>RÄTTVIK</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27656-2025</t>
        </is>
      </c>
      <c r="B354" t="inlineStr">
        <is>
          <t>avverkningsanmälan</t>
        </is>
      </c>
      <c r="C354" t="inlineStr">
        <is>
          <t>Föryngringsavverkning</t>
        </is>
      </c>
      <c r="D354" s="1" t="n">
        <v>45813</v>
      </c>
      <c r="E354" s="1" t="n">
        <v>46289</v>
      </c>
      <c r="F354" t="inlineStr">
        <is>
          <t>DALARNAS LÄN</t>
        </is>
      </c>
      <c r="G354" t="inlineStr">
        <is>
          <t>RÄTTVIK</t>
        </is>
      </c>
      <c r="H354" t="inlineStr">
        <is>
          <t>Sveaskog</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32814-2024</t>
        </is>
      </c>
      <c r="B355" t="inlineStr">
        <is>
          <t>avverkningsanmälan</t>
        </is>
      </c>
      <c r="C355" t="inlineStr">
        <is>
          <t>Avverkning för annat ändamål</t>
        </is>
      </c>
      <c r="D355" s="1" t="n">
        <v>45516</v>
      </c>
      <c r="E355" s="1" t="n">
        <v>46289</v>
      </c>
      <c r="F355" t="inlineStr">
        <is>
          <t>DALARNAS LÄN</t>
        </is>
      </c>
      <c r="G355" t="inlineStr">
        <is>
          <t>RÄTTVIK</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48930-2025</t>
        </is>
      </c>
      <c r="B356" t="inlineStr">
        <is>
          <t>avverkningsanmälan</t>
        </is>
      </c>
      <c r="C356" t="inlineStr">
        <is>
          <t>Föryngringsavverkning</t>
        </is>
      </c>
      <c r="D356" s="1" t="n">
        <v>45937</v>
      </c>
      <c r="E356" s="1" t="n">
        <v>46289</v>
      </c>
      <c r="F356" t="inlineStr">
        <is>
          <t>DALARNAS LÄN</t>
        </is>
      </c>
      <c r="G356" t="inlineStr">
        <is>
          <t>RÄTTVIK</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65176-2021</t>
        </is>
      </c>
      <c r="B357" t="inlineStr">
        <is>
          <t>avverkningsanmälan</t>
        </is>
      </c>
      <c r="C357" t="inlineStr">
        <is>
          <t>Föryngringsavverkning</t>
        </is>
      </c>
      <c r="D357" s="1" t="n">
        <v>44515</v>
      </c>
      <c r="E357" s="1" t="n">
        <v>46289</v>
      </c>
      <c r="F357" t="inlineStr">
        <is>
          <t>DALARNAS LÄN</t>
        </is>
      </c>
      <c r="G357" t="inlineStr">
        <is>
          <t>RÄTTVIK</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48883-2025</t>
        </is>
      </c>
      <c r="B358" t="inlineStr">
        <is>
          <t>avverkningsanmälan</t>
        </is>
      </c>
      <c r="C358" t="inlineStr">
        <is>
          <t>Föryngringsavverkning</t>
        </is>
      </c>
      <c r="D358" s="1" t="n">
        <v>45937</v>
      </c>
      <c r="E358" s="1" t="n">
        <v>46289</v>
      </c>
      <c r="F358" t="inlineStr">
        <is>
          <t>DALARNAS LÄN</t>
        </is>
      </c>
      <c r="G358" t="inlineStr">
        <is>
          <t>RÄTTVIK</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27512-2025</t>
        </is>
      </c>
      <c r="B359" t="inlineStr">
        <is>
          <t>avverkningsanmälan</t>
        </is>
      </c>
      <c r="C359" t="inlineStr">
        <is>
          <t>Föryngringsavverkning</t>
        </is>
      </c>
      <c r="D359" s="1" t="n">
        <v>45813</v>
      </c>
      <c r="E359" s="1" t="n">
        <v>46289</v>
      </c>
      <c r="F359" t="inlineStr">
        <is>
          <t>DALARNAS LÄN</t>
        </is>
      </c>
      <c r="G359" t="inlineStr">
        <is>
          <t>RÄTTVIK</t>
        </is>
      </c>
      <c r="H359" t="inlineStr">
        <is>
          <t>Bergvik skog väst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27704-2025</t>
        </is>
      </c>
      <c r="B360" t="inlineStr">
        <is>
          <t>avverkningsanmälan</t>
        </is>
      </c>
      <c r="C360" t="inlineStr">
        <is>
          <t>Föryngringsavverkning</t>
        </is>
      </c>
      <c r="D360" s="1" t="n">
        <v>45813</v>
      </c>
      <c r="E360" s="1" t="n">
        <v>46289</v>
      </c>
      <c r="F360" t="inlineStr">
        <is>
          <t>DALARNAS LÄN</t>
        </is>
      </c>
      <c r="G360" t="inlineStr">
        <is>
          <t>RÄTTVIK</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36172-2024</t>
        </is>
      </c>
      <c r="B361" t="inlineStr">
        <is>
          <t>avverkningsanmälan</t>
        </is>
      </c>
      <c r="C361" t="inlineStr">
        <is>
          <t>Föryngringsavverkning</t>
        </is>
      </c>
      <c r="D361" s="1" t="n">
        <v>45534</v>
      </c>
      <c r="E361" s="1" t="n">
        <v>46289</v>
      </c>
      <c r="F361" t="inlineStr">
        <is>
          <t>DALARNAS LÄN</t>
        </is>
      </c>
      <c r="G361" t="inlineStr">
        <is>
          <t>RÄTTVIK</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50153-2024</t>
        </is>
      </c>
      <c r="B362" t="inlineStr">
        <is>
          <t>avverkningsanmälan</t>
        </is>
      </c>
      <c r="C362" t="inlineStr">
        <is>
          <t>Föryngringsavverkning</t>
        </is>
      </c>
      <c r="D362" s="1" t="n">
        <v>45600</v>
      </c>
      <c r="E362" s="1" t="n">
        <v>46289</v>
      </c>
      <c r="F362" t="inlineStr">
        <is>
          <t>DALARNAS LÄN</t>
        </is>
      </c>
      <c r="G362" t="inlineStr">
        <is>
          <t>RÄTTVIK</t>
        </is>
      </c>
      <c r="I362" t="n">
        <v>9.800000000000001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48980-2025</t>
        </is>
      </c>
      <c r="B363" t="inlineStr">
        <is>
          <t>avverkningsanmälan</t>
        </is>
      </c>
      <c r="C363" t="inlineStr">
        <is>
          <t>Föryngringsavverkning</t>
        </is>
      </c>
      <c r="D363" s="1" t="n">
        <v>45937</v>
      </c>
      <c r="E363" s="1" t="n">
        <v>46289</v>
      </c>
      <c r="F363" t="inlineStr">
        <is>
          <t>DALARNAS LÄN</t>
        </is>
      </c>
      <c r="G363" t="inlineStr">
        <is>
          <t>RÄTTVIK</t>
        </is>
      </c>
      <c r="H363" t="inlineStr">
        <is>
          <t>Bergvik skog väst AB</t>
        </is>
      </c>
      <c r="I363" t="n">
        <v>12.5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5520-2024</t>
        </is>
      </c>
      <c r="B364" t="inlineStr">
        <is>
          <t>avverkningsanmälan</t>
        </is>
      </c>
      <c r="C364" t="inlineStr">
        <is>
          <t>Föryngringsavverkning</t>
        </is>
      </c>
      <c r="D364" s="1" t="n">
        <v>45334</v>
      </c>
      <c r="E364" s="1" t="n">
        <v>46289</v>
      </c>
      <c r="F364" t="inlineStr">
        <is>
          <t>DALARNAS LÄN</t>
        </is>
      </c>
      <c r="G364" t="inlineStr">
        <is>
          <t>RÄTTVIK</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49467-2025</t>
        </is>
      </c>
      <c r="B365" t="inlineStr">
        <is>
          <t>avverkningsanmälan</t>
        </is>
      </c>
      <c r="C365" t="inlineStr">
        <is>
          <t>Föryngringsavverkning</t>
        </is>
      </c>
      <c r="D365" s="1" t="n">
        <v>45939</v>
      </c>
      <c r="E365" s="1" t="n">
        <v>46289</v>
      </c>
      <c r="F365" t="inlineStr">
        <is>
          <t>DALARNAS LÄN</t>
        </is>
      </c>
      <c r="G365" t="inlineStr">
        <is>
          <t>RÄTTVIK</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49723-2025</t>
        </is>
      </c>
      <c r="B366" t="inlineStr">
        <is>
          <t>avverkningsanmälan</t>
        </is>
      </c>
      <c r="C366" t="inlineStr">
        <is>
          <t>Föryngringsavverkning</t>
        </is>
      </c>
      <c r="D366" s="1" t="n">
        <v>45939</v>
      </c>
      <c r="E366" s="1" t="n">
        <v>46289</v>
      </c>
      <c r="F366" t="inlineStr">
        <is>
          <t>DALARNAS LÄN</t>
        </is>
      </c>
      <c r="G366" t="inlineStr">
        <is>
          <t>RÄTTVIK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49954-2025</t>
        </is>
      </c>
      <c r="B367" t="inlineStr">
        <is>
          <t>avverkningsanmälan</t>
        </is>
      </c>
      <c r="C367" t="inlineStr">
        <is>
          <t>Föryngringsavverkning</t>
        </is>
      </c>
      <c r="D367" s="1" t="n">
        <v>45940</v>
      </c>
      <c r="E367" s="1" t="n">
        <v>46289</v>
      </c>
      <c r="F367" t="inlineStr">
        <is>
          <t>DALARNAS LÄN</t>
        </is>
      </c>
      <c r="G367" t="inlineStr">
        <is>
          <t>RÄTTVIK</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49479-2025</t>
        </is>
      </c>
      <c r="B368" t="inlineStr">
        <is>
          <t>avverkningsanmälan</t>
        </is>
      </c>
      <c r="C368" t="inlineStr">
        <is>
          <t>Föryngringsavverkning</t>
        </is>
      </c>
      <c r="D368" s="1" t="n">
        <v>45939</v>
      </c>
      <c r="E368" s="1" t="n">
        <v>46289</v>
      </c>
      <c r="F368" t="inlineStr">
        <is>
          <t>DALARNAS LÄN</t>
        </is>
      </c>
      <c r="G368" t="inlineStr">
        <is>
          <t>RÄTTVIK</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49956-2025</t>
        </is>
      </c>
      <c r="B369" t="inlineStr">
        <is>
          <t>avverkningsanmälan</t>
        </is>
      </c>
      <c r="C369" t="inlineStr">
        <is>
          <t>Föryngringsavverkning</t>
        </is>
      </c>
      <c r="D369" s="1" t="n">
        <v>45940</v>
      </c>
      <c r="E369" s="1" t="n">
        <v>46289</v>
      </c>
      <c r="F369" t="inlineStr">
        <is>
          <t>DALARNAS LÄN</t>
        </is>
      </c>
      <c r="G369" t="inlineStr">
        <is>
          <t>RÄTTVIK</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3643-2024</t>
        </is>
      </c>
      <c r="B370" t="inlineStr">
        <is>
          <t>avverkningsanmälan</t>
        </is>
      </c>
      <c r="C370" t="inlineStr">
        <is>
          <t>Föryngringsavverkning</t>
        </is>
      </c>
      <c r="D370" s="1" t="n">
        <v>45321</v>
      </c>
      <c r="E370" s="1" t="n">
        <v>46289</v>
      </c>
      <c r="F370" t="inlineStr">
        <is>
          <t>DALARNAS LÄN</t>
        </is>
      </c>
      <c r="G370" t="inlineStr">
        <is>
          <t>RÄTTVIK</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27962-2024</t>
        </is>
      </c>
      <c r="B371" t="inlineStr">
        <is>
          <t>avverkningsanmälan</t>
        </is>
      </c>
      <c r="C371" t="inlineStr">
        <is>
          <t>Föryngringsavverkning</t>
        </is>
      </c>
      <c r="D371" s="1" t="n">
        <v>45476</v>
      </c>
      <c r="E371" s="1" t="n">
        <v>46289</v>
      </c>
      <c r="F371" t="inlineStr">
        <is>
          <t>DALARNAS LÄN</t>
        </is>
      </c>
      <c r="G371" t="inlineStr">
        <is>
          <t>RÄTTVIK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16833-2023</t>
        </is>
      </c>
      <c r="B372" t="inlineStr">
        <is>
          <t>avverkningsanmälan</t>
        </is>
      </c>
      <c r="C372" t="inlineStr">
        <is>
          <t>Föryngringsavverkning</t>
        </is>
      </c>
      <c r="D372" s="1" t="n">
        <v>45033</v>
      </c>
      <c r="E372" s="1" t="n">
        <v>46289</v>
      </c>
      <c r="F372" t="inlineStr">
        <is>
          <t>DALARNAS LÄN</t>
        </is>
      </c>
      <c r="G372" t="inlineStr">
        <is>
          <t>RÄTTVIK</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50107-2025</t>
        </is>
      </c>
      <c r="B373" t="inlineStr">
        <is>
          <t>avverkningsanmälan</t>
        </is>
      </c>
      <c r="C373" t="inlineStr">
        <is>
          <t>Föryngringsavverkning</t>
        </is>
      </c>
      <c r="D373" s="1" t="n">
        <v>45943</v>
      </c>
      <c r="E373" s="1" t="n">
        <v>46289</v>
      </c>
      <c r="F373" t="inlineStr">
        <is>
          <t>DALARNAS LÄN</t>
        </is>
      </c>
      <c r="G373" t="inlineStr">
        <is>
          <t>RÄTTVIK</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50136-2025</t>
        </is>
      </c>
      <c r="B374" t="inlineStr">
        <is>
          <t>avverkningsanmälan</t>
        </is>
      </c>
      <c r="C374" t="inlineStr">
        <is>
          <t>Föryngringsavverkning</t>
        </is>
      </c>
      <c r="D374" s="1" t="n">
        <v>45943</v>
      </c>
      <c r="E374" s="1" t="n">
        <v>46289</v>
      </c>
      <c r="F374" t="inlineStr">
        <is>
          <t>DALARNAS LÄN</t>
        </is>
      </c>
      <c r="G374" t="inlineStr">
        <is>
          <t>RÄTTVIK</t>
        </is>
      </c>
      <c r="H374" t="inlineStr">
        <is>
          <t>Bergvik skog väst AB</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50140-2025</t>
        </is>
      </c>
      <c r="B375" t="inlineStr">
        <is>
          <t>avverkningsanmälan</t>
        </is>
      </c>
      <c r="C375" t="inlineStr">
        <is>
          <t>Föryngringsavverkning</t>
        </is>
      </c>
      <c r="D375" s="1" t="n">
        <v>45943</v>
      </c>
      <c r="E375" s="1" t="n">
        <v>46289</v>
      </c>
      <c r="F375" t="inlineStr">
        <is>
          <t>DALARNAS LÄN</t>
        </is>
      </c>
      <c r="G375" t="inlineStr">
        <is>
          <t>RÄTTVIK</t>
        </is>
      </c>
      <c r="H375" t="inlineStr">
        <is>
          <t>Bergvik skog väst AB</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46943-2023</t>
        </is>
      </c>
      <c r="B376" t="inlineStr">
        <is>
          <t>avverkningsanmälan</t>
        </is>
      </c>
      <c r="C376" t="inlineStr">
        <is>
          <t>Föryngringsavverkning</t>
        </is>
      </c>
      <c r="D376" s="1" t="n">
        <v>45201</v>
      </c>
      <c r="E376" s="1" t="n">
        <v>46289</v>
      </c>
      <c r="F376" t="inlineStr">
        <is>
          <t>DALARNAS LÄN</t>
        </is>
      </c>
      <c r="G376" t="inlineStr">
        <is>
          <t>RÄTTVIK</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61919-2024</t>
        </is>
      </c>
      <c r="B377" t="inlineStr">
        <is>
          <t>avverkningsanmälan</t>
        </is>
      </c>
      <c r="C377" t="inlineStr">
        <is>
          <t>Föryngringsavverkning</t>
        </is>
      </c>
      <c r="D377" s="1" t="n">
        <v>45653</v>
      </c>
      <c r="E377" s="1" t="n">
        <v>46289</v>
      </c>
      <c r="F377" t="inlineStr">
        <is>
          <t>DALARNAS LÄN</t>
        </is>
      </c>
      <c r="G377" t="inlineStr">
        <is>
          <t>RÄTTVIK</t>
        </is>
      </c>
      <c r="H377" t="inlineStr">
        <is>
          <t>Kommuner</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3-2022</t>
        </is>
      </c>
      <c r="B378" t="inlineStr">
        <is>
          <t>avverkningsanmälan</t>
        </is>
      </c>
      <c r="C378" t="inlineStr">
        <is>
          <t>Föryngringsavverkning</t>
        </is>
      </c>
      <c r="D378" s="1" t="n">
        <v>44562</v>
      </c>
      <c r="E378" s="1" t="n">
        <v>46289</v>
      </c>
      <c r="F378" t="inlineStr">
        <is>
          <t>DALARNAS LÄN</t>
        </is>
      </c>
      <c r="G378" t="inlineStr">
        <is>
          <t>RÄTTVIK</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43592-2023</t>
        </is>
      </c>
      <c r="B379" t="inlineStr">
        <is>
          <t>avverkningsanmälan</t>
        </is>
      </c>
      <c r="C379" t="inlineStr">
        <is>
          <t>Föryngringsavverkning</t>
        </is>
      </c>
      <c r="D379" s="1" t="n">
        <v>45181</v>
      </c>
      <c r="E379" s="1" t="n">
        <v>46289</v>
      </c>
      <c r="F379" t="inlineStr">
        <is>
          <t>DALARNAS LÄN</t>
        </is>
      </c>
      <c r="G379" t="inlineStr">
        <is>
          <t>RÄTTVIK</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50197-2025</t>
        </is>
      </c>
      <c r="B380" t="inlineStr">
        <is>
          <t>avverkningsanmälan</t>
        </is>
      </c>
      <c r="C380" t="inlineStr">
        <is>
          <t>Föryngringsavverkning</t>
        </is>
      </c>
      <c r="D380" s="1" t="n">
        <v>45943</v>
      </c>
      <c r="E380" s="1" t="n">
        <v>46289</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47344-2025</t>
        </is>
      </c>
      <c r="B381" t="inlineStr">
        <is>
          <t>avverkningsanmälan</t>
        </is>
      </c>
      <c r="C381" t="inlineStr">
        <is>
          <t>Föryngringsavverkning</t>
        </is>
      </c>
      <c r="D381" s="1" t="n">
        <v>45930</v>
      </c>
      <c r="E381" s="1" t="n">
        <v>46289</v>
      </c>
      <c r="F381" t="inlineStr">
        <is>
          <t>DALARNAS LÄN</t>
        </is>
      </c>
      <c r="G381" t="inlineStr">
        <is>
          <t>RÄTTVIK</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6195-2023</t>
        </is>
      </c>
      <c r="B382" t="inlineStr">
        <is>
          <t>avverkningsanmälan</t>
        </is>
      </c>
      <c r="C382" t="inlineStr">
        <is>
          <t>Föryngringsavverkning</t>
        </is>
      </c>
      <c r="D382" s="1" t="n">
        <v>44964</v>
      </c>
      <c r="E382" s="1" t="n">
        <v>46289</v>
      </c>
      <c r="F382" t="inlineStr">
        <is>
          <t>DALARNAS LÄN</t>
        </is>
      </c>
      <c r="G382" t="inlineStr">
        <is>
          <t>RÄTTVIK</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56772-2024</t>
        </is>
      </c>
      <c r="B383" t="inlineStr">
        <is>
          <t>avverkningsanmälan</t>
        </is>
      </c>
      <c r="C383" t="inlineStr">
        <is>
          <t>Föryngringsavverkning</t>
        </is>
      </c>
      <c r="D383" s="1" t="n">
        <v>45628</v>
      </c>
      <c r="E383" s="1" t="n">
        <v>46289</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57740-2023</t>
        </is>
      </c>
      <c r="B384" t="inlineStr">
        <is>
          <t>avverkningsanmälan</t>
        </is>
      </c>
      <c r="C384" t="inlineStr">
        <is>
          <t>Föryngringsavverkning</t>
        </is>
      </c>
      <c r="D384" s="1" t="n">
        <v>45243</v>
      </c>
      <c r="E384" s="1" t="n">
        <v>46289</v>
      </c>
      <c r="F384" t="inlineStr">
        <is>
          <t>DALARNAS LÄN</t>
        </is>
      </c>
      <c r="G384" t="inlineStr">
        <is>
          <t>RÄTTVIK</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50902-2025</t>
        </is>
      </c>
      <c r="B385" t="inlineStr">
        <is>
          <t>avverkningsanmälan</t>
        </is>
      </c>
      <c r="C385" t="inlineStr">
        <is>
          <t>Föryngringsavverkning</t>
        </is>
      </c>
      <c r="D385" s="1" t="n">
        <v>45946</v>
      </c>
      <c r="E385" s="1" t="n">
        <v>46289</v>
      </c>
      <c r="F385" t="inlineStr">
        <is>
          <t>DALARNAS LÄN</t>
        </is>
      </c>
      <c r="G385" t="inlineStr">
        <is>
          <t>RÄTTVIK</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56459-2022</t>
        </is>
      </c>
      <c r="B386" t="inlineStr">
        <is>
          <t>avverkningsanmälan</t>
        </is>
      </c>
      <c r="C386" t="inlineStr">
        <is>
          <t>Föryngringsavverkning</t>
        </is>
      </c>
      <c r="D386" s="1" t="n">
        <v>44893</v>
      </c>
      <c r="E386" s="1" t="n">
        <v>46289</v>
      </c>
      <c r="F386" t="inlineStr">
        <is>
          <t>DALARNAS LÄN</t>
        </is>
      </c>
      <c r="G386" t="inlineStr">
        <is>
          <t>RÄTTVIK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40344-2023</t>
        </is>
      </c>
      <c r="B387" t="inlineStr">
        <is>
          <t>avverkningsanmälan</t>
        </is>
      </c>
      <c r="C387" t="inlineStr">
        <is>
          <t>Föryngringsavverkning</t>
        </is>
      </c>
      <c r="D387" s="1" t="n">
        <v>45168</v>
      </c>
      <c r="E387" s="1" t="n">
        <v>46289</v>
      </c>
      <c r="F387" t="inlineStr">
        <is>
          <t>DALARNAS LÄN</t>
        </is>
      </c>
      <c r="G387" t="inlineStr">
        <is>
          <t>RÄTTVIK</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40994-2024</t>
        </is>
      </c>
      <c r="B388" t="inlineStr">
        <is>
          <t>avverkningsanmälan</t>
        </is>
      </c>
      <c r="C388" t="inlineStr">
        <is>
          <t>Föryngringsavverkning</t>
        </is>
      </c>
      <c r="D388" s="1" t="n">
        <v>45558</v>
      </c>
      <c r="E388" s="1" t="n">
        <v>46289</v>
      </c>
      <c r="F388" t="inlineStr">
        <is>
          <t>DALARNAS LÄN</t>
        </is>
      </c>
      <c r="G388" t="inlineStr">
        <is>
          <t>RÄTTVIK</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51448-2025</t>
        </is>
      </c>
      <c r="B389" t="inlineStr">
        <is>
          <t>avverkningsanmälan</t>
        </is>
      </c>
      <c r="C389" t="inlineStr">
        <is>
          <t>Föryngringsavverkning</t>
        </is>
      </c>
      <c r="D389" s="1" t="n">
        <v>45950</v>
      </c>
      <c r="E389" s="1" t="n">
        <v>46289</v>
      </c>
      <c r="F389" t="inlineStr">
        <is>
          <t>DALARNAS LÄN</t>
        </is>
      </c>
      <c r="G389" t="inlineStr">
        <is>
          <t>RÄTTVIK</t>
        </is>
      </c>
      <c r="H389" t="inlineStr">
        <is>
          <t>Bergvik skog väst AB</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60588-2024</t>
        </is>
      </c>
      <c r="B390" t="inlineStr">
        <is>
          <t>avverkningsanmälan</t>
        </is>
      </c>
      <c r="C390" t="inlineStr">
        <is>
          <t>Föryngringsavverkning</t>
        </is>
      </c>
      <c r="D390" s="1" t="n">
        <v>45644</v>
      </c>
      <c r="E390" s="1" t="n">
        <v>46289</v>
      </c>
      <c r="F390" t="inlineStr">
        <is>
          <t>DALARNAS LÄN</t>
        </is>
      </c>
      <c r="G390" t="inlineStr">
        <is>
          <t>RÄTTVIK</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2775-2023</t>
        </is>
      </c>
      <c r="B391" t="inlineStr">
        <is>
          <t>avverkningsanmälan</t>
        </is>
      </c>
      <c r="C391" t="inlineStr">
        <is>
          <t>Föryngringsavverkning</t>
        </is>
      </c>
      <c r="D391" s="1" t="n">
        <v>44944</v>
      </c>
      <c r="E391" s="1" t="n">
        <v>46289</v>
      </c>
      <c r="F391" t="inlineStr">
        <is>
          <t>DALARNAS LÄN</t>
        </is>
      </c>
      <c r="G391" t="inlineStr">
        <is>
          <t>RÄTTVIK</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40435-2024</t>
        </is>
      </c>
      <c r="B392" t="inlineStr">
        <is>
          <t>avverkningsanmälan</t>
        </is>
      </c>
      <c r="C392" t="inlineStr">
        <is>
          <t>Föryngringsavverkning</t>
        </is>
      </c>
      <c r="D392" s="1" t="n">
        <v>45555</v>
      </c>
      <c r="E392" s="1" t="n">
        <v>46289</v>
      </c>
      <c r="F392" t="inlineStr">
        <is>
          <t>DALARNAS LÄN</t>
        </is>
      </c>
      <c r="G392" t="inlineStr">
        <is>
          <t>RÄTTVIK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55893-2024</t>
        </is>
      </c>
      <c r="B393" t="inlineStr">
        <is>
          <t>avverkningsanmälan</t>
        </is>
      </c>
      <c r="C393" t="inlineStr">
        <is>
          <t>Föryngringsavverkning</t>
        </is>
      </c>
      <c r="D393" s="1" t="n">
        <v>45623</v>
      </c>
      <c r="E393" s="1" t="n">
        <v>46289</v>
      </c>
      <c r="F393" t="inlineStr">
        <is>
          <t>DALARNAS LÄN</t>
        </is>
      </c>
      <c r="G393" t="inlineStr">
        <is>
          <t>RÄTTVIK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69059-2021</t>
        </is>
      </c>
      <c r="B394" t="inlineStr">
        <is>
          <t>avverkningsanmälan</t>
        </is>
      </c>
      <c r="C394" t="inlineStr">
        <is>
          <t>Föryngringsavverkning</t>
        </is>
      </c>
      <c r="D394" s="1" t="n">
        <v>44529</v>
      </c>
      <c r="E394" s="1" t="n">
        <v>46289</v>
      </c>
      <c r="F394" t="inlineStr">
        <is>
          <t>DALARNAS LÄN</t>
        </is>
      </c>
      <c r="G394" t="inlineStr">
        <is>
          <t>RÄTTVIK</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52296-2025</t>
        </is>
      </c>
      <c r="B395" t="inlineStr">
        <is>
          <t>avverkningsanmälan</t>
        </is>
      </c>
      <c r="C395" t="inlineStr">
        <is>
          <t>Föryngringsavverkning</t>
        </is>
      </c>
      <c r="D395" s="1" t="n">
        <v>45953</v>
      </c>
      <c r="E395" s="1" t="n">
        <v>46289</v>
      </c>
      <c r="F395" t="inlineStr">
        <is>
          <t>DALARNAS LÄN</t>
        </is>
      </c>
      <c r="G395" t="inlineStr">
        <is>
          <t>RÄTTVIK</t>
        </is>
      </c>
      <c r="H395" t="inlineStr">
        <is>
          <t>Bergvik skog väst AB</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52158-2025</t>
        </is>
      </c>
      <c r="B396" t="inlineStr">
        <is>
          <t>avverkningsanmälan</t>
        </is>
      </c>
      <c r="C396" t="inlineStr">
        <is>
          <t>Föryngringsavverkning</t>
        </is>
      </c>
      <c r="D396" s="1" t="n">
        <v>45953</v>
      </c>
      <c r="E396" s="1" t="n">
        <v>46289</v>
      </c>
      <c r="F396" t="inlineStr">
        <is>
          <t>DALARNAS LÄN</t>
        </is>
      </c>
      <c r="G396" t="inlineStr">
        <is>
          <t>RÄTTVIK</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17379-2025</t>
        </is>
      </c>
      <c r="B397" t="inlineStr">
        <is>
          <t>avverkningsanmälan</t>
        </is>
      </c>
      <c r="C397" t="inlineStr">
        <is>
          <t>Föryngringsavverkning</t>
        </is>
      </c>
      <c r="D397" s="1" t="n">
        <v>45757</v>
      </c>
      <c r="E397" s="1" t="n">
        <v>46289</v>
      </c>
      <c r="F397" t="inlineStr">
        <is>
          <t>DALARNAS LÄN</t>
        </is>
      </c>
      <c r="G397" t="inlineStr">
        <is>
          <t>RÄTTVIK</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52424-2025</t>
        </is>
      </c>
      <c r="B398" t="inlineStr">
        <is>
          <t>avverkningsanmälan</t>
        </is>
      </c>
      <c r="C398" t="inlineStr">
        <is>
          <t>Föryngringsavverkning</t>
        </is>
      </c>
      <c r="D398" s="1" t="n">
        <v>45954</v>
      </c>
      <c r="E398" s="1" t="n">
        <v>46289</v>
      </c>
      <c r="F398" t="inlineStr">
        <is>
          <t>DALARNAS LÄN</t>
        </is>
      </c>
      <c r="G398" t="inlineStr">
        <is>
          <t>RÄTTVIK</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28044-2025</t>
        </is>
      </c>
      <c r="B399" t="inlineStr">
        <is>
          <t>avverkningsanmälan</t>
        </is>
      </c>
      <c r="C399" t="inlineStr">
        <is>
          <t>Föryngringsavverkning</t>
        </is>
      </c>
      <c r="D399" s="1" t="n">
        <v>45817</v>
      </c>
      <c r="E399" s="1" t="n">
        <v>46289</v>
      </c>
      <c r="F399" t="inlineStr">
        <is>
          <t>DALARNAS LÄN</t>
        </is>
      </c>
      <c r="G399" t="inlineStr">
        <is>
          <t>RÄTTVIK</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8552-2023</t>
        </is>
      </c>
      <c r="B400" t="inlineStr">
        <is>
          <t>avverkningsanmälan</t>
        </is>
      </c>
      <c r="C400" t="inlineStr">
        <is>
          <t>Föryngringsavverkning</t>
        </is>
      </c>
      <c r="D400" s="1" t="n">
        <v>44977</v>
      </c>
      <c r="E400" s="1" t="n">
        <v>46289</v>
      </c>
      <c r="F400" t="inlineStr">
        <is>
          <t>DALARNAS LÄN</t>
        </is>
      </c>
      <c r="G400" t="inlineStr">
        <is>
          <t>RÄTTVIK</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8537-2023</t>
        </is>
      </c>
      <c r="B401" t="inlineStr">
        <is>
          <t>avverkningsanmälan</t>
        </is>
      </c>
      <c r="C401" t="inlineStr">
        <is>
          <t>Föryngringsavverkning</t>
        </is>
      </c>
      <c r="D401" s="1" t="n">
        <v>44977</v>
      </c>
      <c r="E401" s="1" t="n">
        <v>46289</v>
      </c>
      <c r="F401" t="inlineStr">
        <is>
          <t>DALARNAS LÄN</t>
        </is>
      </c>
      <c r="G401" t="inlineStr">
        <is>
          <t>RÄTTVIK</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8126-2024</t>
        </is>
      </c>
      <c r="B402" t="inlineStr">
        <is>
          <t>avverkningsanmälan</t>
        </is>
      </c>
      <c r="C402" t="inlineStr">
        <is>
          <t>Föryngringsavverkning</t>
        </is>
      </c>
      <c r="D402" s="1" t="n">
        <v>45351</v>
      </c>
      <c r="E402" s="1" t="n">
        <v>46289</v>
      </c>
      <c r="F402" t="inlineStr">
        <is>
          <t>DALARNAS LÄN</t>
        </is>
      </c>
      <c r="G402" t="inlineStr">
        <is>
          <t>RÄTTVIK</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53226-2025</t>
        </is>
      </c>
      <c r="B403" t="inlineStr">
        <is>
          <t>avverkningsanmälan</t>
        </is>
      </c>
      <c r="C403" t="inlineStr">
        <is>
          <t>Föryngringsavverkning</t>
        </is>
      </c>
      <c r="D403" s="1" t="n">
        <v>45957</v>
      </c>
      <c r="E403" s="1" t="n">
        <v>46289</v>
      </c>
      <c r="F403" t="inlineStr">
        <is>
          <t>DALARNAS LÄN</t>
        </is>
      </c>
      <c r="G403" t="inlineStr">
        <is>
          <t>RÄTTVIK</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53231-2025</t>
        </is>
      </c>
      <c r="B404" t="inlineStr">
        <is>
          <t>avverkningsanmälan</t>
        </is>
      </c>
      <c r="C404" t="inlineStr">
        <is>
          <t>Föryngringsavverkning</t>
        </is>
      </c>
      <c r="D404" s="1" t="n">
        <v>45957</v>
      </c>
      <c r="E404" s="1" t="n">
        <v>46289</v>
      </c>
      <c r="F404" t="inlineStr">
        <is>
          <t>DALARNAS LÄN</t>
        </is>
      </c>
      <c r="G404" t="inlineStr">
        <is>
          <t>RÄTTVIK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53064-2025</t>
        </is>
      </c>
      <c r="B405" t="inlineStr">
        <is>
          <t>avverkningsanmälan</t>
        </is>
      </c>
      <c r="C405" t="inlineStr">
        <is>
          <t>Föryngringsavverkning</t>
        </is>
      </c>
      <c r="D405" s="1" t="n">
        <v>45958</v>
      </c>
      <c r="E405" s="1" t="n">
        <v>46289</v>
      </c>
      <c r="F405" t="inlineStr">
        <is>
          <t>DALARNAS LÄN</t>
        </is>
      </c>
      <c r="G405" t="inlineStr">
        <is>
          <t>RÄTTVIK</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2734-2025</t>
        </is>
      </c>
      <c r="B406" t="inlineStr">
        <is>
          <t>avverkningsanmälan</t>
        </is>
      </c>
      <c r="C406" t="inlineStr">
        <is>
          <t>Föryngringsavverkning</t>
        </is>
      </c>
      <c r="D406" s="1" t="n">
        <v>45677</v>
      </c>
      <c r="E406" s="1" t="n">
        <v>46289</v>
      </c>
      <c r="F406" t="inlineStr">
        <is>
          <t>DALARNAS LÄN</t>
        </is>
      </c>
      <c r="G406" t="inlineStr">
        <is>
          <t>RÄTTVIK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51973-2022</t>
        </is>
      </c>
      <c r="B407" t="inlineStr">
        <is>
          <t>avverkningsanmälan</t>
        </is>
      </c>
      <c r="C407" t="inlineStr">
        <is>
          <t>Föryngringsavverkning</t>
        </is>
      </c>
      <c r="D407" s="1" t="n">
        <v>44872</v>
      </c>
      <c r="E407" s="1" t="n">
        <v>46289</v>
      </c>
      <c r="F407" t="inlineStr">
        <is>
          <t>DALARNAS LÄN</t>
        </is>
      </c>
      <c r="G407" t="inlineStr">
        <is>
          <t>RÄTTVIK</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53229-2025</t>
        </is>
      </c>
      <c r="B408" t="inlineStr">
        <is>
          <t>avverkningsanmälan</t>
        </is>
      </c>
      <c r="C408" t="inlineStr">
        <is>
          <t>Föryngringsavverkning</t>
        </is>
      </c>
      <c r="D408" s="1" t="n">
        <v>45958</v>
      </c>
      <c r="E408" s="1" t="n">
        <v>46289</v>
      </c>
      <c r="F408" t="inlineStr">
        <is>
          <t>DALARNAS LÄN</t>
        </is>
      </c>
      <c r="G408" t="inlineStr">
        <is>
          <t>RÄTTVIK</t>
        </is>
      </c>
      <c r="H408" t="inlineStr">
        <is>
          <t>Bergvik skog väst AB</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43729-2023</t>
        </is>
      </c>
      <c r="B409" t="inlineStr">
        <is>
          <t>avverkningsanmälan</t>
        </is>
      </c>
      <c r="C409" t="inlineStr">
        <is>
          <t>Föryngringsavverkning</t>
        </is>
      </c>
      <c r="D409" s="1" t="n">
        <v>45187</v>
      </c>
      <c r="E409" s="1" t="n">
        <v>46289</v>
      </c>
      <c r="F409" t="inlineStr">
        <is>
          <t>DALARNAS LÄN</t>
        </is>
      </c>
      <c r="G409" t="inlineStr">
        <is>
          <t>RÄTTVIK</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13744-2025</t>
        </is>
      </c>
      <c r="B410" t="inlineStr">
        <is>
          <t>avverkningsanmälan</t>
        </is>
      </c>
      <c r="C410" t="inlineStr">
        <is>
          <t>Föryngringsavverkning</t>
        </is>
      </c>
      <c r="D410" s="1" t="n">
        <v>45737</v>
      </c>
      <c r="E410" s="1" t="n">
        <v>46289</v>
      </c>
      <c r="F410" t="inlineStr">
        <is>
          <t>DALARNAS LÄN</t>
        </is>
      </c>
      <c r="G410" t="inlineStr">
        <is>
          <t>RÄTTVIK</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53673-2025</t>
        </is>
      </c>
      <c r="B411" t="inlineStr">
        <is>
          <t>avverkningsanmälan</t>
        </is>
      </c>
      <c r="C411" t="inlineStr">
        <is>
          <t>Föryngringsavverkning</t>
        </is>
      </c>
      <c r="D411" s="1" t="n">
        <v>45960</v>
      </c>
      <c r="E411" s="1" t="n">
        <v>46289</v>
      </c>
      <c r="F411" t="inlineStr">
        <is>
          <t>DALARNAS LÄN</t>
        </is>
      </c>
      <c r="G411" t="inlineStr">
        <is>
          <t>RÄTTVIK</t>
        </is>
      </c>
      <c r="H411" t="inlineStr">
        <is>
          <t>Bergvik skog väst AB</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53667-2025</t>
        </is>
      </c>
      <c r="B412" t="inlineStr">
        <is>
          <t>avverkningsanmälan</t>
        </is>
      </c>
      <c r="C412" t="inlineStr">
        <is>
          <t>Föryngringsavverkning</t>
        </is>
      </c>
      <c r="D412" s="1" t="n">
        <v>45960</v>
      </c>
      <c r="E412" s="1" t="n">
        <v>46289</v>
      </c>
      <c r="F412" t="inlineStr">
        <is>
          <t>DALARNAS LÄN</t>
        </is>
      </c>
      <c r="G412" t="inlineStr">
        <is>
          <t>RÄTTVIK</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60619-2022</t>
        </is>
      </c>
      <c r="B413" t="inlineStr">
        <is>
          <t>avverkningsanmälan</t>
        </is>
      </c>
      <c r="C413" t="inlineStr">
        <is>
          <t>Föryngringsavverkning</t>
        </is>
      </c>
      <c r="D413" s="1" t="n">
        <v>44911</v>
      </c>
      <c r="E413" s="1" t="n">
        <v>46289</v>
      </c>
      <c r="F413" t="inlineStr">
        <is>
          <t>DALARNAS LÄN</t>
        </is>
      </c>
      <c r="G413" t="inlineStr">
        <is>
          <t>RÄTTVIK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53698-2025</t>
        </is>
      </c>
      <c r="B414" t="inlineStr">
        <is>
          <t>avverkningsanmälan</t>
        </is>
      </c>
      <c r="C414" t="inlineStr">
        <is>
          <t>Föryngringsavverkning</t>
        </is>
      </c>
      <c r="D414" s="1" t="n">
        <v>45960</v>
      </c>
      <c r="E414" s="1" t="n">
        <v>46289</v>
      </c>
      <c r="F414" t="inlineStr">
        <is>
          <t>DALARNAS LÄN</t>
        </is>
      </c>
      <c r="G414" t="inlineStr">
        <is>
          <t>RÄTTVIK</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46905-2023</t>
        </is>
      </c>
      <c r="B415" t="inlineStr">
        <is>
          <t>avverkningsanmälan</t>
        </is>
      </c>
      <c r="C415" t="inlineStr">
        <is>
          <t>Föryngringsavverkning</t>
        </is>
      </c>
      <c r="D415" s="1" t="n">
        <v>45201</v>
      </c>
      <c r="E415" s="1" t="n">
        <v>46289</v>
      </c>
      <c r="F415" t="inlineStr">
        <is>
          <t>DALARNAS LÄN</t>
        </is>
      </c>
      <c r="G415" t="inlineStr">
        <is>
          <t>RÄTTVIK</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50695-2023</t>
        </is>
      </c>
      <c r="B416" t="inlineStr">
        <is>
          <t>avverkningsanmälan</t>
        </is>
      </c>
      <c r="C416" t="inlineStr">
        <is>
          <t>Föryngringsavverkning</t>
        </is>
      </c>
      <c r="D416" s="1" t="n">
        <v>45217</v>
      </c>
      <c r="E416" s="1" t="n">
        <v>46289</v>
      </c>
      <c r="F416" t="inlineStr">
        <is>
          <t>DALARNAS LÄN</t>
        </is>
      </c>
      <c r="G416" t="inlineStr">
        <is>
          <t>RÄTTVIK</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53602-2025</t>
        </is>
      </c>
      <c r="B417" t="inlineStr">
        <is>
          <t>avverkningsanmälan</t>
        </is>
      </c>
      <c r="C417" t="inlineStr">
        <is>
          <t>Föryngringsavverkning</t>
        </is>
      </c>
      <c r="D417" s="1" t="n">
        <v>45960</v>
      </c>
      <c r="E417" s="1" t="n">
        <v>46289</v>
      </c>
      <c r="F417" t="inlineStr">
        <is>
          <t>DALARNAS LÄN</t>
        </is>
      </c>
      <c r="G417" t="inlineStr">
        <is>
          <t>RÄTTVIK</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53711-2025</t>
        </is>
      </c>
      <c r="B418" t="inlineStr">
        <is>
          <t>avverkningsanmälan</t>
        </is>
      </c>
      <c r="C418" t="inlineStr">
        <is>
          <t>Föryngringsavverkning</t>
        </is>
      </c>
      <c r="D418" s="1" t="n">
        <v>45960</v>
      </c>
      <c r="E418" s="1" t="n">
        <v>46289</v>
      </c>
      <c r="F418" t="inlineStr">
        <is>
          <t>DALARNAS LÄN</t>
        </is>
      </c>
      <c r="G418" t="inlineStr">
        <is>
          <t>RÄTTVIK</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3638-2024</t>
        </is>
      </c>
      <c r="B419" t="inlineStr">
        <is>
          <t>avverkningsanmälan</t>
        </is>
      </c>
      <c r="C419" t="inlineStr">
        <is>
          <t>Föryngringsavverkning</t>
        </is>
      </c>
      <c r="D419" s="1" t="n">
        <v>45321</v>
      </c>
      <c r="E419" s="1" t="n">
        <v>46289</v>
      </c>
      <c r="F419" t="inlineStr">
        <is>
          <t>DALARNAS LÄN</t>
        </is>
      </c>
      <c r="G419" t="inlineStr">
        <is>
          <t>RÄTTVIK</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53944-2025</t>
        </is>
      </c>
      <c r="B420" t="inlineStr">
        <is>
          <t>avverkningsanmälan</t>
        </is>
      </c>
      <c r="C420" t="inlineStr">
        <is>
          <t>Föryngringsavverkning</t>
        </is>
      </c>
      <c r="D420" s="1" t="n">
        <v>45961</v>
      </c>
      <c r="E420" s="1" t="n">
        <v>46289</v>
      </c>
      <c r="F420" t="inlineStr">
        <is>
          <t>DALARNAS LÄN</t>
        </is>
      </c>
      <c r="G420" t="inlineStr">
        <is>
          <t>RÄTTVIK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28811-2025</t>
        </is>
      </c>
      <c r="B421" t="inlineStr">
        <is>
          <t>avverkningsanmälan</t>
        </is>
      </c>
      <c r="C421" t="inlineStr">
        <is>
          <t>Föryngringsavverkning</t>
        </is>
      </c>
      <c r="D421" s="1" t="n">
        <v>45820</v>
      </c>
      <c r="E421" s="1" t="n">
        <v>46289</v>
      </c>
      <c r="F421" t="inlineStr">
        <is>
          <t>DALARNAS LÄN</t>
        </is>
      </c>
      <c r="G421" t="inlineStr">
        <is>
          <t>RÄTTVIK</t>
        </is>
      </c>
      <c r="I421" t="n">
        <v>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14633-2024</t>
        </is>
      </c>
      <c r="B422" t="inlineStr">
        <is>
          <t>avverkningsanmälan</t>
        </is>
      </c>
      <c r="C422" t="inlineStr">
        <is>
          <t>Föryngringsavverkning</t>
        </is>
      </c>
      <c r="D422" s="1" t="n">
        <v>45397</v>
      </c>
      <c r="E422" s="1" t="n">
        <v>46289</v>
      </c>
      <c r="F422" t="inlineStr">
        <is>
          <t>DALARNAS LÄN</t>
        </is>
      </c>
      <c r="G422" t="inlineStr">
        <is>
          <t>RÄTTVIK</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53987-2025</t>
        </is>
      </c>
      <c r="B423" t="inlineStr">
        <is>
          <t>avverkningsanmälan</t>
        </is>
      </c>
      <c r="C423" t="inlineStr">
        <is>
          <t>Avverkning för annat ändamål</t>
        </is>
      </c>
      <c r="D423" s="1" t="n">
        <v>45961</v>
      </c>
      <c r="E423" s="1" t="n">
        <v>46289</v>
      </c>
      <c r="F423" t="inlineStr">
        <is>
          <t>DALARNAS LÄN</t>
        </is>
      </c>
      <c r="G423" t="inlineStr">
        <is>
          <t>RÄTTVIK</t>
        </is>
      </c>
      <c r="H423" t="inlineStr">
        <is>
          <t>Sveaskog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44017-2023</t>
        </is>
      </c>
      <c r="B424" t="inlineStr">
        <is>
          <t>avverkningsanmälan</t>
        </is>
      </c>
      <c r="C424" t="inlineStr">
        <is>
          <t>Föryngringsavverkning</t>
        </is>
      </c>
      <c r="D424" s="1" t="n">
        <v>45182</v>
      </c>
      <c r="E424" s="1" t="n">
        <v>46289</v>
      </c>
      <c r="F424" t="inlineStr">
        <is>
          <t>DALARNAS LÄN</t>
        </is>
      </c>
      <c r="G424" t="inlineStr">
        <is>
          <t>RÄTTVIK</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51872-2023</t>
        </is>
      </c>
      <c r="B425" t="inlineStr">
        <is>
          <t>avverkningsanmälan</t>
        </is>
      </c>
      <c r="C425" t="inlineStr">
        <is>
          <t>Föryngringsavverkning</t>
        </is>
      </c>
      <c r="D425" s="1" t="n">
        <v>45223</v>
      </c>
      <c r="E425" s="1" t="n">
        <v>46289</v>
      </c>
      <c r="F425" t="inlineStr">
        <is>
          <t>DALARNAS LÄN</t>
        </is>
      </c>
      <c r="G425" t="inlineStr">
        <is>
          <t>RÄTTVIK</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40994-2024</t>
        </is>
      </c>
      <c r="B426" t="inlineStr">
        <is>
          <t>avverkningsanmälan</t>
        </is>
      </c>
      <c r="C426" t="inlineStr">
        <is>
          <t>Föryngringsavverkning</t>
        </is>
      </c>
      <c r="D426" s="1" t="n">
        <v>45558</v>
      </c>
      <c r="E426" s="1" t="n">
        <v>46289</v>
      </c>
      <c r="F426" t="inlineStr">
        <is>
          <t>DALARNAS LÄN</t>
        </is>
      </c>
      <c r="G426" t="inlineStr">
        <is>
          <t>RÄTTVIK</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28683-2025</t>
        </is>
      </c>
      <c r="B427" t="inlineStr">
        <is>
          <t>avverkningsanmälan</t>
        </is>
      </c>
      <c r="C427" t="inlineStr">
        <is>
          <t>Föryngringsavverkning</t>
        </is>
      </c>
      <c r="D427" s="1" t="n">
        <v>45819</v>
      </c>
      <c r="E427" s="1" t="n">
        <v>46289</v>
      </c>
      <c r="F427" t="inlineStr">
        <is>
          <t>DALARNAS LÄN</t>
        </is>
      </c>
      <c r="G427" t="inlineStr">
        <is>
          <t>RÄTTVIK</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30776-2023</t>
        </is>
      </c>
      <c r="B428" t="inlineStr">
        <is>
          <t>avverkningsanmälan</t>
        </is>
      </c>
      <c r="C428" t="inlineStr">
        <is>
          <t>Föryngringsavverkning</t>
        </is>
      </c>
      <c r="D428" s="1" t="n">
        <v>45112</v>
      </c>
      <c r="E428" s="1" t="n">
        <v>46289</v>
      </c>
      <c r="F428" t="inlineStr">
        <is>
          <t>DALARNAS LÄN</t>
        </is>
      </c>
      <c r="G428" t="inlineStr">
        <is>
          <t>RÄTTVIK</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4417-2025</t>
        </is>
      </c>
      <c r="B429" t="inlineStr">
        <is>
          <t>avverkningsanmälan</t>
        </is>
      </c>
      <c r="C429" t="inlineStr">
        <is>
          <t>Föryngringsavverkning</t>
        </is>
      </c>
      <c r="D429" s="1" t="n">
        <v>45686</v>
      </c>
      <c r="E429" s="1" t="n">
        <v>46289</v>
      </c>
      <c r="F429" t="inlineStr">
        <is>
          <t>DALARNAS LÄN</t>
        </is>
      </c>
      <c r="G429" t="inlineStr">
        <is>
          <t>RÄTTVIK</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54386-2025</t>
        </is>
      </c>
      <c r="B430" t="inlineStr">
        <is>
          <t>avverkningsanmälan</t>
        </is>
      </c>
      <c r="C430" t="inlineStr">
        <is>
          <t>Föryngringsavverkning</t>
        </is>
      </c>
      <c r="D430" s="1" t="n">
        <v>45965</v>
      </c>
      <c r="E430" s="1" t="n">
        <v>46289</v>
      </c>
      <c r="F430" t="inlineStr">
        <is>
          <t>DALARNAS LÄN</t>
        </is>
      </c>
      <c r="G430" t="inlineStr">
        <is>
          <t>RÄTTVIK</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42089-2024</t>
        </is>
      </c>
      <c r="B431" t="inlineStr">
        <is>
          <t>avverkningsanmälan</t>
        </is>
      </c>
      <c r="C431" t="inlineStr">
        <is>
          <t>Föryngringsavverkning</t>
        </is>
      </c>
      <c r="D431" s="1" t="n">
        <v>45562</v>
      </c>
      <c r="E431" s="1" t="n">
        <v>46289</v>
      </c>
      <c r="F431" t="inlineStr">
        <is>
          <t>DALARNAS LÄN</t>
        </is>
      </c>
      <c r="G431" t="inlineStr">
        <is>
          <t>RÄTTVIK</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54648-2025</t>
        </is>
      </c>
      <c r="B432" t="inlineStr">
        <is>
          <t>avverkningsanmälan</t>
        </is>
      </c>
      <c r="C432" t="inlineStr">
        <is>
          <t>Föryngringsavverkning</t>
        </is>
      </c>
      <c r="D432" s="1" t="n">
        <v>45966</v>
      </c>
      <c r="E432" s="1" t="n">
        <v>46289</v>
      </c>
      <c r="F432" t="inlineStr">
        <is>
          <t>DALARNAS LÄN</t>
        </is>
      </c>
      <c r="G432" t="inlineStr">
        <is>
          <t>RÄTTVIK</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41542-2024</t>
        </is>
      </c>
      <c r="B433" t="inlineStr">
        <is>
          <t>avverkningsanmälan</t>
        </is>
      </c>
      <c r="C433" t="inlineStr">
        <is>
          <t>Föryngringsavverkning</t>
        </is>
      </c>
      <c r="D433" s="1" t="n">
        <v>45560</v>
      </c>
      <c r="E433" s="1" t="n">
        <v>46289</v>
      </c>
      <c r="F433" t="inlineStr">
        <is>
          <t>DALARNAS LÄN</t>
        </is>
      </c>
      <c r="G433" t="inlineStr">
        <is>
          <t>RÄTTVIK</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54388-2025</t>
        </is>
      </c>
      <c r="B434" t="inlineStr">
        <is>
          <t>avverkningsanmälan</t>
        </is>
      </c>
      <c r="C434" t="inlineStr">
        <is>
          <t>Föryngringsavverkning</t>
        </is>
      </c>
      <c r="D434" s="1" t="n">
        <v>45965</v>
      </c>
      <c r="E434" s="1" t="n">
        <v>46289</v>
      </c>
      <c r="F434" t="inlineStr">
        <is>
          <t>DALARNAS LÄN</t>
        </is>
      </c>
      <c r="G434" t="inlineStr">
        <is>
          <t>RÄTTVIK</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54928-2025</t>
        </is>
      </c>
      <c r="B435" t="inlineStr">
        <is>
          <t>avverkningsanmälan</t>
        </is>
      </c>
      <c r="C435" t="inlineStr">
        <is>
          <t>Föryngringsavverkning</t>
        </is>
      </c>
      <c r="D435" s="1" t="n">
        <v>45967</v>
      </c>
      <c r="E435" s="1" t="n">
        <v>46289</v>
      </c>
      <c r="F435" t="inlineStr">
        <is>
          <t>DALARNAS LÄN</t>
        </is>
      </c>
      <c r="G435" t="inlineStr">
        <is>
          <t>RÄTTVIK</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55196-2025</t>
        </is>
      </c>
      <c r="B436" t="inlineStr">
        <is>
          <t>avverkningsanmälan</t>
        </is>
      </c>
      <c r="C436" t="inlineStr">
        <is>
          <t>Föryngringsavverkning</t>
        </is>
      </c>
      <c r="D436" s="1" t="n">
        <v>45968</v>
      </c>
      <c r="E436" s="1" t="n">
        <v>46289</v>
      </c>
      <c r="F436" t="inlineStr">
        <is>
          <t>DALARNAS LÄN</t>
        </is>
      </c>
      <c r="G436" t="inlineStr">
        <is>
          <t>RÄTTVIK</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2098-2025</t>
        </is>
      </c>
      <c r="B437" t="inlineStr">
        <is>
          <t>avverkningsanmälan</t>
        </is>
      </c>
      <c r="C437" t="inlineStr">
        <is>
          <t>Föryngringsavverkning</t>
        </is>
      </c>
      <c r="D437" s="1" t="n">
        <v>45672</v>
      </c>
      <c r="E437" s="1" t="n">
        <v>46289</v>
      </c>
      <c r="F437" t="inlineStr">
        <is>
          <t>DALARNAS LÄN</t>
        </is>
      </c>
      <c r="G437" t="inlineStr">
        <is>
          <t>RÄTTVIK</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55055-2025</t>
        </is>
      </c>
      <c r="B438" t="inlineStr">
        <is>
          <t>avverkningsanmälan</t>
        </is>
      </c>
      <c r="C438" t="inlineStr">
        <is>
          <t>Föryngringsavverkning</t>
        </is>
      </c>
      <c r="D438" s="1" t="n">
        <v>45967</v>
      </c>
      <c r="E438" s="1" t="n">
        <v>46289</v>
      </c>
      <c r="F438" t="inlineStr">
        <is>
          <t>DALARNAS LÄN</t>
        </is>
      </c>
      <c r="G438" t="inlineStr">
        <is>
          <t>RÄTTVIK</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16876-2025</t>
        </is>
      </c>
      <c r="B439" t="inlineStr">
        <is>
          <t>avverkningsanmälan</t>
        </is>
      </c>
      <c r="C439" t="inlineStr">
        <is>
          <t>Föryngringsavverkning</t>
        </is>
      </c>
      <c r="D439" s="1" t="n">
        <v>45755</v>
      </c>
      <c r="E439" s="1" t="n">
        <v>46289</v>
      </c>
      <c r="F439" t="inlineStr">
        <is>
          <t>DALARNAS LÄN</t>
        </is>
      </c>
      <c r="G439" t="inlineStr">
        <is>
          <t>RÄTTVIK</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950-2025</t>
        </is>
      </c>
      <c r="B440" t="inlineStr">
        <is>
          <t>avverkningsanmälan</t>
        </is>
      </c>
      <c r="C440" t="inlineStr">
        <is>
          <t>Föryngringsavverkning</t>
        </is>
      </c>
      <c r="D440" s="1" t="n">
        <v>45666</v>
      </c>
      <c r="E440" s="1" t="n">
        <v>46289</v>
      </c>
      <c r="F440" t="inlineStr">
        <is>
          <t>DALARNAS LÄN</t>
        </is>
      </c>
      <c r="G440" t="inlineStr">
        <is>
          <t>RÄTTVIK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55059-2025</t>
        </is>
      </c>
      <c r="B441" t="inlineStr">
        <is>
          <t>avverkningsanmälan</t>
        </is>
      </c>
      <c r="C441" t="inlineStr">
        <is>
          <t>Föryngringsavverkning</t>
        </is>
      </c>
      <c r="D441" s="1" t="n">
        <v>45967</v>
      </c>
      <c r="E441" s="1" t="n">
        <v>46289</v>
      </c>
      <c r="F441" t="inlineStr">
        <is>
          <t>DALARNAS LÄN</t>
        </is>
      </c>
      <c r="G441" t="inlineStr">
        <is>
          <t>RÄTTVIK</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9937-2024</t>
        </is>
      </c>
      <c r="B442" t="inlineStr">
        <is>
          <t>avverkningsanmälan</t>
        </is>
      </c>
      <c r="C442" t="inlineStr">
        <is>
          <t>Föryngringsavverkning</t>
        </is>
      </c>
      <c r="D442" s="1" t="n">
        <v>45363</v>
      </c>
      <c r="E442" s="1" t="n">
        <v>46289</v>
      </c>
      <c r="F442" t="inlineStr">
        <is>
          <t>DALARNAS LÄN</t>
        </is>
      </c>
      <c r="G442" t="inlineStr">
        <is>
          <t>RÄTTVIK</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55712-2025</t>
        </is>
      </c>
      <c r="B443" t="inlineStr">
        <is>
          <t>avverkningsanmälan</t>
        </is>
      </c>
      <c r="C443" t="inlineStr">
        <is>
          <t>Föryngringsavverkning</t>
        </is>
      </c>
      <c r="D443" s="1" t="n">
        <v>45971</v>
      </c>
      <c r="E443" s="1" t="n">
        <v>46289</v>
      </c>
      <c r="F443" t="inlineStr">
        <is>
          <t>DALARNAS LÄN</t>
        </is>
      </c>
      <c r="G443" t="inlineStr">
        <is>
          <t>RÄTTVIK</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12464-2022</t>
        </is>
      </c>
      <c r="B444" t="inlineStr">
        <is>
          <t>avverkningsanmälan</t>
        </is>
      </c>
      <c r="C444" t="inlineStr">
        <is>
          <t>Föryngringsavverkning</t>
        </is>
      </c>
      <c r="D444" s="1" t="n">
        <v>44638</v>
      </c>
      <c r="E444" s="1" t="n">
        <v>46289</v>
      </c>
      <c r="F444" t="inlineStr">
        <is>
          <t>DALARNAS LÄN</t>
        </is>
      </c>
      <c r="G444" t="inlineStr">
        <is>
          <t>RÄTTVIK</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55412-2025</t>
        </is>
      </c>
      <c r="B445" t="inlineStr">
        <is>
          <t>avverkningsanmälan</t>
        </is>
      </c>
      <c r="C445" t="inlineStr">
        <is>
          <t>Föryngringsavverkning</t>
        </is>
      </c>
      <c r="D445" s="1" t="n">
        <v>45971</v>
      </c>
      <c r="E445" s="1" t="n">
        <v>46289</v>
      </c>
      <c r="F445" t="inlineStr">
        <is>
          <t>DALARNAS LÄN</t>
        </is>
      </c>
      <c r="G445" t="inlineStr">
        <is>
          <t>RÄTTVIK</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55708-2025</t>
        </is>
      </c>
      <c r="B446" t="inlineStr">
        <is>
          <t>avverkningsanmälan</t>
        </is>
      </c>
      <c r="C446" t="inlineStr">
        <is>
          <t>Föryngringsavverkning</t>
        </is>
      </c>
      <c r="D446" s="1" t="n">
        <v>45971</v>
      </c>
      <c r="E446" s="1" t="n">
        <v>46289</v>
      </c>
      <c r="F446" t="inlineStr">
        <is>
          <t>DALARNAS LÄN</t>
        </is>
      </c>
      <c r="G446" t="inlineStr">
        <is>
          <t>RÄTTVIK</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55321-2025</t>
        </is>
      </c>
      <c r="B447" t="inlineStr">
        <is>
          <t>avverkningsanmälan</t>
        </is>
      </c>
      <c r="C447" t="inlineStr">
        <is>
          <t>Föryngringsavverkning</t>
        </is>
      </c>
      <c r="D447" s="1" t="n">
        <v>45971</v>
      </c>
      <c r="E447" s="1" t="n">
        <v>46289</v>
      </c>
      <c r="F447" t="inlineStr">
        <is>
          <t>DALARNAS LÄN</t>
        </is>
      </c>
      <c r="G447" t="inlineStr">
        <is>
          <t>RÄTTVIK</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55740-2025</t>
        </is>
      </c>
      <c r="B448" t="inlineStr">
        <is>
          <t>avverkningsanmälan</t>
        </is>
      </c>
      <c r="C448" t="inlineStr">
        <is>
          <t>Föryngringsavverkning</t>
        </is>
      </c>
      <c r="D448" s="1" t="n">
        <v>45972</v>
      </c>
      <c r="E448" s="1" t="n">
        <v>46289</v>
      </c>
      <c r="F448" t="inlineStr">
        <is>
          <t>DALARNAS LÄN</t>
        </is>
      </c>
      <c r="G448" t="inlineStr">
        <is>
          <t>RÄTTVIK</t>
        </is>
      </c>
      <c r="H448" t="inlineStr">
        <is>
          <t>Bergvik skog väst AB</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55704-2025</t>
        </is>
      </c>
      <c r="B449" t="inlineStr">
        <is>
          <t>avverkningsanmälan</t>
        </is>
      </c>
      <c r="C449" t="inlineStr">
        <is>
          <t>Föryngringsavverkning</t>
        </is>
      </c>
      <c r="D449" s="1" t="n">
        <v>45971</v>
      </c>
      <c r="E449" s="1" t="n">
        <v>46289</v>
      </c>
      <c r="F449" t="inlineStr">
        <is>
          <t>DALARNAS LÄN</t>
        </is>
      </c>
      <c r="G449" t="inlineStr">
        <is>
          <t>RÄTTVIK</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29135-2025</t>
        </is>
      </c>
      <c r="B450" t="inlineStr">
        <is>
          <t>avverkningsanmälan</t>
        </is>
      </c>
      <c r="C450" t="inlineStr">
        <is>
          <t>Föryngringsavverkning</t>
        </is>
      </c>
      <c r="D450" s="1" t="n">
        <v>45821</v>
      </c>
      <c r="E450" s="1" t="n">
        <v>46289</v>
      </c>
      <c r="F450" t="inlineStr">
        <is>
          <t>DALARNAS LÄN</t>
        </is>
      </c>
      <c r="G450" t="inlineStr">
        <is>
          <t>RÄTTVIK</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5653-2025</t>
        </is>
      </c>
      <c r="B451" t="inlineStr">
        <is>
          <t>avverkningsanmälan</t>
        </is>
      </c>
      <c r="C451" t="inlineStr">
        <is>
          <t>Föryngringsavverkning</t>
        </is>
      </c>
      <c r="D451" s="1" t="n">
        <v>45693</v>
      </c>
      <c r="E451" s="1" t="n">
        <v>46289</v>
      </c>
      <c r="F451" t="inlineStr">
        <is>
          <t>DALARNAS LÄN</t>
        </is>
      </c>
      <c r="G451" t="inlineStr">
        <is>
          <t>RÄTTVIK</t>
        </is>
      </c>
      <c r="H451" t="inlineStr">
        <is>
          <t>Bergvik skog väst AB</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25891-2023</t>
        </is>
      </c>
      <c r="B452" t="inlineStr">
        <is>
          <t>avverkningsanmälan</t>
        </is>
      </c>
      <c r="C452" t="inlineStr">
        <is>
          <t>Föryngringsavverkning</t>
        </is>
      </c>
      <c r="D452" s="1" t="n">
        <v>45085</v>
      </c>
      <c r="E452" s="1" t="n">
        <v>46289</v>
      </c>
      <c r="F452" t="inlineStr">
        <is>
          <t>DALARNAS LÄN</t>
        </is>
      </c>
      <c r="G452" t="inlineStr">
        <is>
          <t>RÄTTVIK</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12334-2022</t>
        </is>
      </c>
      <c r="B453" t="inlineStr">
        <is>
          <t>avverkningsanmälan</t>
        </is>
      </c>
      <c r="C453" t="inlineStr">
        <is>
          <t>Avverkning för annat ändamål</t>
        </is>
      </c>
      <c r="D453" s="1" t="n">
        <v>44637</v>
      </c>
      <c r="E453" s="1" t="n">
        <v>46289</v>
      </c>
      <c r="F453" t="inlineStr">
        <is>
          <t>DALARNAS LÄN</t>
        </is>
      </c>
      <c r="G453" t="inlineStr">
        <is>
          <t>RÄTTVIK</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56063-2025</t>
        </is>
      </c>
      <c r="B454" t="inlineStr">
        <is>
          <t>avverkningsanmälan</t>
        </is>
      </c>
      <c r="C454" t="inlineStr">
        <is>
          <t>Föryngringsavverkning</t>
        </is>
      </c>
      <c r="D454" s="1" t="n">
        <v>45973</v>
      </c>
      <c r="E454" s="1" t="n">
        <v>46289</v>
      </c>
      <c r="F454" t="inlineStr">
        <is>
          <t>DALARNAS LÄN</t>
        </is>
      </c>
      <c r="G454" t="inlineStr">
        <is>
          <t>RÄTTVIK</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56236-2025</t>
        </is>
      </c>
      <c r="B455" t="inlineStr">
        <is>
          <t>avverkningsanmälan</t>
        </is>
      </c>
      <c r="C455" t="inlineStr">
        <is>
          <t>Föryngringsavverkning</t>
        </is>
      </c>
      <c r="D455" s="1" t="n">
        <v>45974</v>
      </c>
      <c r="E455" s="1" t="n">
        <v>46289</v>
      </c>
      <c r="F455" t="inlineStr">
        <is>
          <t>DALARNAS LÄN</t>
        </is>
      </c>
      <c r="G455" t="inlineStr">
        <is>
          <t>RÄTTVIK</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54206-2023</t>
        </is>
      </c>
      <c r="B456" t="inlineStr">
        <is>
          <t>avverkningsanmälan</t>
        </is>
      </c>
      <c r="C456" t="inlineStr">
        <is>
          <t>Föryngringsavverkning</t>
        </is>
      </c>
      <c r="D456" s="1" t="n">
        <v>45225</v>
      </c>
      <c r="E456" s="1" t="n">
        <v>46289</v>
      </c>
      <c r="F456" t="inlineStr">
        <is>
          <t>DALARNAS LÄN</t>
        </is>
      </c>
      <c r="G456" t="inlineStr">
        <is>
          <t>RÄTTVIK</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56492-2025</t>
        </is>
      </c>
      <c r="B457" t="inlineStr">
        <is>
          <t>avverkningsanmälan</t>
        </is>
      </c>
      <c r="C457" t="inlineStr">
        <is>
          <t>Föryngringsavverkning</t>
        </is>
      </c>
      <c r="D457" s="1" t="n">
        <v>45974</v>
      </c>
      <c r="E457" s="1" t="n">
        <v>46289</v>
      </c>
      <c r="F457" t="inlineStr">
        <is>
          <t>DALARNAS LÄN</t>
        </is>
      </c>
      <c r="G457" t="inlineStr">
        <is>
          <t>RÄTTVIK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56377-2025</t>
        </is>
      </c>
      <c r="B458" t="inlineStr">
        <is>
          <t>avverkningsanmälan</t>
        </is>
      </c>
      <c r="C458" t="inlineStr">
        <is>
          <t>Föryngringsavverkning</t>
        </is>
      </c>
      <c r="D458" s="1" t="n">
        <v>45974</v>
      </c>
      <c r="E458" s="1" t="n">
        <v>46289</v>
      </c>
      <c r="F458" t="inlineStr">
        <is>
          <t>DALARNAS LÄN</t>
        </is>
      </c>
      <c r="G458" t="inlineStr">
        <is>
          <t>RÄTTVIK</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29289-2025</t>
        </is>
      </c>
      <c r="B459" t="inlineStr">
        <is>
          <t>avverkningsanmälan</t>
        </is>
      </c>
      <c r="C459" t="inlineStr">
        <is>
          <t>Föryngringsavverkning</t>
        </is>
      </c>
      <c r="D459" s="1" t="n">
        <v>45824</v>
      </c>
      <c r="E459" s="1" t="n">
        <v>46289</v>
      </c>
      <c r="F459" t="inlineStr">
        <is>
          <t>DALARNAS LÄN</t>
        </is>
      </c>
      <c r="G459" t="inlineStr">
        <is>
          <t>RÄTTVIK</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56049-2025</t>
        </is>
      </c>
      <c r="B460" t="inlineStr">
        <is>
          <t>avverkningsanmälan</t>
        </is>
      </c>
      <c r="C460" t="inlineStr">
        <is>
          <t>Föryngringsavverkning</t>
        </is>
      </c>
      <c r="D460" s="1" t="n">
        <v>45973</v>
      </c>
      <c r="E460" s="1" t="n">
        <v>46289</v>
      </c>
      <c r="F460" t="inlineStr">
        <is>
          <t>DALARNAS LÄN</t>
        </is>
      </c>
      <c r="G460" t="inlineStr">
        <is>
          <t>RÄTTVIK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2722-2024</t>
        </is>
      </c>
      <c r="B461" t="inlineStr">
        <is>
          <t>avverkningsanmälan</t>
        </is>
      </c>
      <c r="C461" t="inlineStr">
        <is>
          <t>Föryngringsavverkning</t>
        </is>
      </c>
      <c r="D461" s="1" t="n">
        <v>45314</v>
      </c>
      <c r="E461" s="1" t="n">
        <v>46289</v>
      </c>
      <c r="F461" t="inlineStr">
        <is>
          <t>DALARNAS LÄN</t>
        </is>
      </c>
      <c r="G461" t="inlineStr">
        <is>
          <t>RÄTTVIK</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29360-2025</t>
        </is>
      </c>
      <c r="B462" t="inlineStr">
        <is>
          <t>avverkningsanmälan</t>
        </is>
      </c>
      <c r="C462" t="inlineStr">
        <is>
          <t>Föryngringsavverkning</t>
        </is>
      </c>
      <c r="D462" s="1" t="n">
        <v>45824</v>
      </c>
      <c r="E462" s="1" t="n">
        <v>46289</v>
      </c>
      <c r="F462" t="inlineStr">
        <is>
          <t>DALARNAS LÄN</t>
        </is>
      </c>
      <c r="G462" t="inlineStr">
        <is>
          <t>RÄTTVIK</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1797-2024</t>
        </is>
      </c>
      <c r="B463" t="inlineStr">
        <is>
          <t>avverkningsanmälan</t>
        </is>
      </c>
      <c r="C463" t="inlineStr">
        <is>
          <t>Föryngringsavverkning</t>
        </is>
      </c>
      <c r="D463" s="1" t="n">
        <v>45307</v>
      </c>
      <c r="E463" s="1" t="n">
        <v>46289</v>
      </c>
      <c r="F463" t="inlineStr">
        <is>
          <t>DALARNAS LÄN</t>
        </is>
      </c>
      <c r="G463" t="inlineStr">
        <is>
          <t>RÄTTVIK</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10513-2025</t>
        </is>
      </c>
      <c r="B464" t="inlineStr">
        <is>
          <t>avverkningsanmälan</t>
        </is>
      </c>
      <c r="C464" t="inlineStr">
        <is>
          <t>Föryngringsavverkning</t>
        </is>
      </c>
      <c r="D464" s="1" t="n">
        <v>45721</v>
      </c>
      <c r="E464" s="1" t="n">
        <v>46289</v>
      </c>
      <c r="F464" t="inlineStr">
        <is>
          <t>DALARNAS LÄN</t>
        </is>
      </c>
      <c r="G464" t="inlineStr">
        <is>
          <t>RÄTTVIK</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14193-2022</t>
        </is>
      </c>
      <c r="B465" t="inlineStr">
        <is>
          <t>avverkningsanmälan</t>
        </is>
      </c>
      <c r="C465" t="inlineStr">
        <is>
          <t>Föryngringsavverkning</t>
        </is>
      </c>
      <c r="D465" s="1" t="n">
        <v>44651</v>
      </c>
      <c r="E465" s="1" t="n">
        <v>46289</v>
      </c>
      <c r="F465" t="inlineStr">
        <is>
          <t>DALARNAS LÄN</t>
        </is>
      </c>
      <c r="G465" t="inlineStr">
        <is>
          <t>RÄTTVIK</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56628-2025</t>
        </is>
      </c>
      <c r="B466" t="inlineStr">
        <is>
          <t>avverkningsanmälan</t>
        </is>
      </c>
      <c r="C466" t="inlineStr">
        <is>
          <t>Föryngringsavverkning</t>
        </is>
      </c>
      <c r="D466" s="1" t="n">
        <v>45975</v>
      </c>
      <c r="E466" s="1" t="n">
        <v>46289</v>
      </c>
      <c r="F466" t="inlineStr">
        <is>
          <t>DALARNAS LÄN</t>
        </is>
      </c>
      <c r="G466" t="inlineStr">
        <is>
          <t>RÄTTVIK</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51209-2024</t>
        </is>
      </c>
      <c r="B467" t="inlineStr">
        <is>
          <t>avverkningsanmälan</t>
        </is>
      </c>
      <c r="C467" t="inlineStr">
        <is>
          <t>Föryngringsavverkning</t>
        </is>
      </c>
      <c r="D467" s="1" t="n">
        <v>45603</v>
      </c>
      <c r="E467" s="1" t="n">
        <v>46289</v>
      </c>
      <c r="F467" t="inlineStr">
        <is>
          <t>DALARNAS LÄN</t>
        </is>
      </c>
      <c r="G467" t="inlineStr">
        <is>
          <t>RÄTTVIK</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23747-2024</t>
        </is>
      </c>
      <c r="B468" t="inlineStr">
        <is>
          <t>avverkningsanmälan</t>
        </is>
      </c>
      <c r="C468" t="inlineStr">
        <is>
          <t>Föryngringsavverkning</t>
        </is>
      </c>
      <c r="D468" s="1" t="n">
        <v>45455</v>
      </c>
      <c r="E468" s="1" t="n">
        <v>46289</v>
      </c>
      <c r="F468" t="inlineStr">
        <is>
          <t>DALARNAS LÄN</t>
        </is>
      </c>
      <c r="G468" t="inlineStr">
        <is>
          <t>RÄTTVIK</t>
        </is>
      </c>
      <c r="H468" t="inlineStr">
        <is>
          <t>Allmännings- och besparingsskogar</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42530-2023</t>
        </is>
      </c>
      <c r="B469" t="inlineStr">
        <is>
          <t>avverkningsanmälan</t>
        </is>
      </c>
      <c r="C469" t="inlineStr">
        <is>
          <t>Föryngringsavverkning</t>
        </is>
      </c>
      <c r="D469" s="1" t="n">
        <v>45176</v>
      </c>
      <c r="E469" s="1" t="n">
        <v>46289</v>
      </c>
      <c r="F469" t="inlineStr">
        <is>
          <t>DALARNAS LÄN</t>
        </is>
      </c>
      <c r="G469" t="inlineStr">
        <is>
          <t>RÄTTVIK</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4414-2025</t>
        </is>
      </c>
      <c r="B470" t="inlineStr">
        <is>
          <t>avverkningsanmälan</t>
        </is>
      </c>
      <c r="C470" t="inlineStr">
        <is>
          <t>Föryngringsavverkning</t>
        </is>
      </c>
      <c r="D470" s="1" t="n">
        <v>45686</v>
      </c>
      <c r="E470" s="1" t="n">
        <v>46289</v>
      </c>
      <c r="F470" t="inlineStr">
        <is>
          <t>DALARNAS LÄN</t>
        </is>
      </c>
      <c r="G470" t="inlineStr">
        <is>
          <t>RÄTTVIK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29943-2025</t>
        </is>
      </c>
      <c r="B471" t="inlineStr">
        <is>
          <t>avverkningsanmälan</t>
        </is>
      </c>
      <c r="C471" t="inlineStr">
        <is>
          <t>Föryngringsavverkning</t>
        </is>
      </c>
      <c r="D471" s="1" t="n">
        <v>45826</v>
      </c>
      <c r="E471" s="1" t="n">
        <v>46289</v>
      </c>
      <c r="F471" t="inlineStr">
        <is>
          <t>DALARNAS LÄN</t>
        </is>
      </c>
      <c r="G471" t="inlineStr">
        <is>
          <t>RÄTTVIK</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59345-2023</t>
        </is>
      </c>
      <c r="B472" t="inlineStr">
        <is>
          <t>avverkningsanmälan</t>
        </is>
      </c>
      <c r="C472" t="inlineStr">
        <is>
          <t>Föryngringsavverkning</t>
        </is>
      </c>
      <c r="D472" s="1" t="n">
        <v>45253</v>
      </c>
      <c r="E472" s="1" t="n">
        <v>46289</v>
      </c>
      <c r="F472" t="inlineStr">
        <is>
          <t>DALARNAS LÄN</t>
        </is>
      </c>
      <c r="G472" t="inlineStr">
        <is>
          <t>RÄTTVIK</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57820-2025</t>
        </is>
      </c>
      <c r="B473" t="inlineStr">
        <is>
          <t>avverkningsanmälan</t>
        </is>
      </c>
      <c r="C473" t="inlineStr">
        <is>
          <t>Föryngringsavverkning</t>
        </is>
      </c>
      <c r="D473" s="1" t="n">
        <v>45981</v>
      </c>
      <c r="E473" s="1" t="n">
        <v>46289</v>
      </c>
      <c r="F473" t="inlineStr">
        <is>
          <t>DALARNAS LÄN</t>
        </is>
      </c>
      <c r="G473" t="inlineStr">
        <is>
          <t>RÄTTVIK</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2004-2025</t>
        </is>
      </c>
      <c r="B474" t="inlineStr">
        <is>
          <t>avverkningsanmälan</t>
        </is>
      </c>
      <c r="C474" t="inlineStr">
        <is>
          <t>Föryngringsavverkning</t>
        </is>
      </c>
      <c r="D474" s="1" t="n">
        <v>45671</v>
      </c>
      <c r="E474" s="1" t="n">
        <v>46289</v>
      </c>
      <c r="F474" t="inlineStr">
        <is>
          <t>DALARNAS LÄN</t>
        </is>
      </c>
      <c r="G474" t="inlineStr">
        <is>
          <t>RÄTTVIK</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2011-2025</t>
        </is>
      </c>
      <c r="B475" t="inlineStr">
        <is>
          <t>avverkningsanmälan</t>
        </is>
      </c>
      <c r="C475" t="inlineStr">
        <is>
          <t>Föryngringsavverkning</t>
        </is>
      </c>
      <c r="D475" s="1" t="n">
        <v>45672</v>
      </c>
      <c r="E475" s="1" t="n">
        <v>46289</v>
      </c>
      <c r="F475" t="inlineStr">
        <is>
          <t>DALARNAS LÄN</t>
        </is>
      </c>
      <c r="G475" t="inlineStr">
        <is>
          <t>RÄTTVIK</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38737-2023</t>
        </is>
      </c>
      <c r="B476" t="inlineStr">
        <is>
          <t>avverkningsanmälan</t>
        </is>
      </c>
      <c r="C476" t="inlineStr">
        <is>
          <t>Föryngringsavverkning</t>
        </is>
      </c>
      <c r="D476" s="1" t="n">
        <v>45161</v>
      </c>
      <c r="E476" s="1" t="n">
        <v>46289</v>
      </c>
      <c r="F476" t="inlineStr">
        <is>
          <t>DALARNAS LÄN</t>
        </is>
      </c>
      <c r="G476" t="inlineStr">
        <is>
          <t>RÄTTVIK</t>
        </is>
      </c>
      <c r="H476" t="inlineStr">
        <is>
          <t>Kommuner</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58550-2025</t>
        </is>
      </c>
      <c r="B477" t="inlineStr">
        <is>
          <t>avverkningsanmälan</t>
        </is>
      </c>
      <c r="C477" t="inlineStr">
        <is>
          <t>Föryngringsavverkning</t>
        </is>
      </c>
      <c r="D477" s="1" t="n">
        <v>45986</v>
      </c>
      <c r="E477" s="1" t="n">
        <v>46289</v>
      </c>
      <c r="F477" t="inlineStr">
        <is>
          <t>DALARNAS LÄN</t>
        </is>
      </c>
      <c r="G477" t="inlineStr">
        <is>
          <t>RÄTTVIK</t>
        </is>
      </c>
      <c r="H477" t="inlineStr">
        <is>
          <t>Bergvik skog väst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58273-2025</t>
        </is>
      </c>
      <c r="B478" t="inlineStr">
        <is>
          <t>avverkningsanmälan</t>
        </is>
      </c>
      <c r="C478" t="inlineStr">
        <is>
          <t>Föryngringsavverkning</t>
        </is>
      </c>
      <c r="D478" s="1" t="n">
        <v>45985</v>
      </c>
      <c r="E478" s="1" t="n">
        <v>46289</v>
      </c>
      <c r="F478" t="inlineStr">
        <is>
          <t>DALARNAS LÄN</t>
        </is>
      </c>
      <c r="G478" t="inlineStr">
        <is>
          <t>RÄTTVIK</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58381-2025</t>
        </is>
      </c>
      <c r="B479" t="inlineStr">
        <is>
          <t>avverkningsanmälan</t>
        </is>
      </c>
      <c r="C479" t="inlineStr">
        <is>
          <t>Föryngringsavverkning</t>
        </is>
      </c>
      <c r="D479" s="1" t="n">
        <v>45985</v>
      </c>
      <c r="E479" s="1" t="n">
        <v>46289</v>
      </c>
      <c r="F479" t="inlineStr">
        <is>
          <t>DALARNAS LÄN</t>
        </is>
      </c>
      <c r="G479" t="inlineStr">
        <is>
          <t>RÄTTVIK</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58334-2025</t>
        </is>
      </c>
      <c r="B480" t="inlineStr">
        <is>
          <t>avverkningsanmälan</t>
        </is>
      </c>
      <c r="C480" t="inlineStr">
        <is>
          <t>Föryngringsavverkning</t>
        </is>
      </c>
      <c r="D480" s="1" t="n">
        <v>45985</v>
      </c>
      <c r="E480" s="1" t="n">
        <v>46289</v>
      </c>
      <c r="F480" t="inlineStr">
        <is>
          <t>DALARNAS LÄN</t>
        </is>
      </c>
      <c r="G480" t="inlineStr">
        <is>
          <t>RÄTTVIK</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58275-2025</t>
        </is>
      </c>
      <c r="B481" t="inlineStr">
        <is>
          <t>avverkningsanmälan</t>
        </is>
      </c>
      <c r="C481" t="inlineStr">
        <is>
          <t>Föryngringsavverkning</t>
        </is>
      </c>
      <c r="D481" s="1" t="n">
        <v>45985</v>
      </c>
      <c r="E481" s="1" t="n">
        <v>46289</v>
      </c>
      <c r="F481" t="inlineStr">
        <is>
          <t>DALARNAS LÄN</t>
        </is>
      </c>
      <c r="G481" t="inlineStr">
        <is>
          <t>RÄTTVIK</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32012-2023</t>
        </is>
      </c>
      <c r="B482" t="inlineStr">
        <is>
          <t>avverkningsanmälan</t>
        </is>
      </c>
      <c r="C482" t="inlineStr">
        <is>
          <t>Föryngringsavverkning</t>
        </is>
      </c>
      <c r="D482" s="1" t="n">
        <v>45119</v>
      </c>
      <c r="E482" s="1" t="n">
        <v>46289</v>
      </c>
      <c r="F482" t="inlineStr">
        <is>
          <t>DALARNAS LÄN</t>
        </is>
      </c>
      <c r="G482" t="inlineStr">
        <is>
          <t>RÄTTVIK</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63540-2023</t>
        </is>
      </c>
      <c r="B483" t="inlineStr">
        <is>
          <t>avverkningsanmälan</t>
        </is>
      </c>
      <c r="C483" t="inlineStr">
        <is>
          <t>Föryngringsavverkning</t>
        </is>
      </c>
      <c r="D483" s="1" t="n">
        <v>45275</v>
      </c>
      <c r="E483" s="1" t="n">
        <v>46289</v>
      </c>
      <c r="F483" t="inlineStr">
        <is>
          <t>DALARNAS LÄN</t>
        </is>
      </c>
      <c r="G483" t="inlineStr">
        <is>
          <t>RÄTTVIK</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58260-2025</t>
        </is>
      </c>
      <c r="B484" t="inlineStr">
        <is>
          <t>avverkningsanmälan</t>
        </is>
      </c>
      <c r="C484" t="inlineStr">
        <is>
          <t>Föryngringsavverkning</t>
        </is>
      </c>
      <c r="D484" s="1" t="n">
        <v>45985</v>
      </c>
      <c r="E484" s="1" t="n">
        <v>46289</v>
      </c>
      <c r="F484" t="inlineStr">
        <is>
          <t>DALARNAS LÄN</t>
        </is>
      </c>
      <c r="G484" t="inlineStr">
        <is>
          <t>RÄTTVIK</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29744-2023</t>
        </is>
      </c>
      <c r="B485" t="inlineStr">
        <is>
          <t>avverkningsanmälan</t>
        </is>
      </c>
      <c r="C485" t="inlineStr">
        <is>
          <t>Föryngringsavverkning</t>
        </is>
      </c>
      <c r="D485" s="1" t="n">
        <v>45107</v>
      </c>
      <c r="E485" s="1" t="n">
        <v>46289</v>
      </c>
      <c r="F485" t="inlineStr">
        <is>
          <t>DALARNAS LÄN</t>
        </is>
      </c>
      <c r="G485" t="inlineStr">
        <is>
          <t>RÄTTVIK</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20198-2025</t>
        </is>
      </c>
      <c r="B486" t="inlineStr">
        <is>
          <t>avverkningsanmälan</t>
        </is>
      </c>
      <c r="C486" t="inlineStr">
        <is>
          <t>Föryngringsavverkning</t>
        </is>
      </c>
      <c r="D486" s="1" t="n">
        <v>45772</v>
      </c>
      <c r="E486" s="1" t="n">
        <v>46289</v>
      </c>
      <c r="F486" t="inlineStr">
        <is>
          <t>DALARNAS LÄN</t>
        </is>
      </c>
      <c r="G486" t="inlineStr">
        <is>
          <t>RÄTTVIK</t>
        </is>
      </c>
      <c r="H486" t="inlineStr">
        <is>
          <t>Sveaskog</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58317-2025</t>
        </is>
      </c>
      <c r="B487" t="inlineStr">
        <is>
          <t>avverkningsanmälan</t>
        </is>
      </c>
      <c r="C487" t="inlineStr">
        <is>
          <t>Föryngringsavverkning</t>
        </is>
      </c>
      <c r="D487" s="1" t="n">
        <v>45985</v>
      </c>
      <c r="E487" s="1" t="n">
        <v>46289</v>
      </c>
      <c r="F487" t="inlineStr">
        <is>
          <t>DALARNAS LÄN</t>
        </is>
      </c>
      <c r="G487" t="inlineStr">
        <is>
          <t>RÄTTVIK</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58361-2025</t>
        </is>
      </c>
      <c r="B488" t="inlineStr">
        <is>
          <t>avverkningsanmälan</t>
        </is>
      </c>
      <c r="C488" t="inlineStr">
        <is>
          <t>Föryngringsavverkning</t>
        </is>
      </c>
      <c r="D488" s="1" t="n">
        <v>45985</v>
      </c>
      <c r="E488" s="1" t="n">
        <v>46289</v>
      </c>
      <c r="F488" t="inlineStr">
        <is>
          <t>DALARNAS LÄN</t>
        </is>
      </c>
      <c r="G488" t="inlineStr">
        <is>
          <t>RÄTTVIK</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58714-2025</t>
        </is>
      </c>
      <c r="B489" t="inlineStr">
        <is>
          <t>avverkningsanmälan</t>
        </is>
      </c>
      <c r="C489" t="inlineStr">
        <is>
          <t>Föryngringsavverkning</t>
        </is>
      </c>
      <c r="D489" s="1" t="n">
        <v>45986</v>
      </c>
      <c r="E489" s="1" t="n">
        <v>46289</v>
      </c>
      <c r="F489" t="inlineStr">
        <is>
          <t>DALARNAS LÄN</t>
        </is>
      </c>
      <c r="G489" t="inlineStr">
        <is>
          <t>RÄTTVIK</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60455-2022</t>
        </is>
      </c>
      <c r="B490" t="inlineStr">
        <is>
          <t>avverkningsanmälan</t>
        </is>
      </c>
      <c r="C490" t="inlineStr">
        <is>
          <t>Föryngringsavverkning</t>
        </is>
      </c>
      <c r="D490" s="1" t="n">
        <v>44911</v>
      </c>
      <c r="E490" s="1" t="n">
        <v>46289</v>
      </c>
      <c r="F490" t="inlineStr">
        <is>
          <t>DALARNAS LÄN</t>
        </is>
      </c>
      <c r="G490" t="inlineStr">
        <is>
          <t>RÄTTVIK</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58564-2025</t>
        </is>
      </c>
      <c r="B491" t="inlineStr">
        <is>
          <t>avverkningsanmälan</t>
        </is>
      </c>
      <c r="C491" t="inlineStr">
        <is>
          <t>Föryngringsavverkning</t>
        </is>
      </c>
      <c r="D491" s="1" t="n">
        <v>45986</v>
      </c>
      <c r="E491" s="1" t="n">
        <v>46289</v>
      </c>
      <c r="F491" t="inlineStr">
        <is>
          <t>DALARNAS LÄN</t>
        </is>
      </c>
      <c r="G491" t="inlineStr">
        <is>
          <t>RÄTTVIK</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29758-2023</t>
        </is>
      </c>
      <c r="B492" t="inlineStr">
        <is>
          <t>avverkningsanmälan</t>
        </is>
      </c>
      <c r="C492" t="inlineStr">
        <is>
          <t>Föryngringsavverkning</t>
        </is>
      </c>
      <c r="D492" s="1" t="n">
        <v>45107</v>
      </c>
      <c r="E492" s="1" t="n">
        <v>46289</v>
      </c>
      <c r="F492" t="inlineStr">
        <is>
          <t>DALARNAS LÄN</t>
        </is>
      </c>
      <c r="G492" t="inlineStr">
        <is>
          <t>RÄTTVIK</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2101-2025</t>
        </is>
      </c>
      <c r="B493" t="inlineStr">
        <is>
          <t>avverkningsanmälan</t>
        </is>
      </c>
      <c r="C493" t="inlineStr">
        <is>
          <t>Föryngringsavverkning</t>
        </is>
      </c>
      <c r="D493" s="1" t="n">
        <v>45672</v>
      </c>
      <c r="E493" s="1" t="n">
        <v>46289</v>
      </c>
      <c r="F493" t="inlineStr">
        <is>
          <t>DALARNAS LÄN</t>
        </is>
      </c>
      <c r="G493" t="inlineStr">
        <is>
          <t>RÄTTVIK</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49496-2024</t>
        </is>
      </c>
      <c r="B494" t="inlineStr">
        <is>
          <t>avverkningsanmälan</t>
        </is>
      </c>
      <c r="C494" t="inlineStr">
        <is>
          <t>Föryngringsavverkning</t>
        </is>
      </c>
      <c r="D494" s="1" t="n">
        <v>45596</v>
      </c>
      <c r="E494" s="1" t="n">
        <v>46289</v>
      </c>
      <c r="F494" t="inlineStr">
        <is>
          <t>DALARNAS LÄN</t>
        </is>
      </c>
      <c r="G494" t="inlineStr">
        <is>
          <t>RÄTTVIK</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61135-2024</t>
        </is>
      </c>
      <c r="B495" t="inlineStr">
        <is>
          <t>avverkningsanmälan</t>
        </is>
      </c>
      <c r="C495" t="inlineStr">
        <is>
          <t>Föryngringsavverkning</t>
        </is>
      </c>
      <c r="D495" s="1" t="n">
        <v>45645</v>
      </c>
      <c r="E495" s="1" t="n">
        <v>46289</v>
      </c>
      <c r="F495" t="inlineStr">
        <is>
          <t>DALARNAS LÄN</t>
        </is>
      </c>
      <c r="G495" t="inlineStr">
        <is>
          <t>RÄTTVIK</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58844-2025</t>
        </is>
      </c>
      <c r="B496" t="inlineStr">
        <is>
          <t>avverkningsanmälan</t>
        </is>
      </c>
      <c r="C496" t="inlineStr">
        <is>
          <t>Föryngringsavverkning</t>
        </is>
      </c>
      <c r="D496" s="1" t="n">
        <v>45987</v>
      </c>
      <c r="E496" s="1" t="n">
        <v>46289</v>
      </c>
      <c r="F496" t="inlineStr">
        <is>
          <t>DALARNAS LÄN</t>
        </is>
      </c>
      <c r="G496" t="inlineStr">
        <is>
          <t>RÄTTVIK</t>
        </is>
      </c>
      <c r="H496" t="inlineStr">
        <is>
          <t>Bergvik skog väst AB</t>
        </is>
      </c>
      <c r="I496" t="n">
        <v>9.6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59060-2025</t>
        </is>
      </c>
      <c r="B497" t="inlineStr">
        <is>
          <t>avverkningsanmälan</t>
        </is>
      </c>
      <c r="C497" t="inlineStr">
        <is>
          <t>Föryngringsavverkning</t>
        </is>
      </c>
      <c r="D497" s="1" t="n">
        <v>45988</v>
      </c>
      <c r="E497" s="1" t="n">
        <v>46289</v>
      </c>
      <c r="F497" t="inlineStr">
        <is>
          <t>DALARNAS LÄN</t>
        </is>
      </c>
      <c r="G497" t="inlineStr">
        <is>
          <t>RÄTTVIK</t>
        </is>
      </c>
      <c r="H497" t="inlineStr">
        <is>
          <t>Bergvik skog väst AB</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18293-2024</t>
        </is>
      </c>
      <c r="B498" t="inlineStr">
        <is>
          <t>avverkningsanmälan</t>
        </is>
      </c>
      <c r="C498" t="inlineStr">
        <is>
          <t>Föryngringsavverkning</t>
        </is>
      </c>
      <c r="D498" s="1" t="n">
        <v>45422</v>
      </c>
      <c r="E498" s="1" t="n">
        <v>46289</v>
      </c>
      <c r="F498" t="inlineStr">
        <is>
          <t>DALARNAS LÄN</t>
        </is>
      </c>
      <c r="G498" t="inlineStr">
        <is>
          <t>RÄTTVIK</t>
        </is>
      </c>
      <c r="H498" t="inlineStr">
        <is>
          <t>Allmännings- och besparingsskogar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3154-2025</t>
        </is>
      </c>
      <c r="B499" t="inlineStr">
        <is>
          <t>avverkningsanmälan</t>
        </is>
      </c>
      <c r="C499" t="inlineStr">
        <is>
          <t>Föryngringsavverkning</t>
        </is>
      </c>
      <c r="D499" s="1" t="n">
        <v>45679</v>
      </c>
      <c r="E499" s="1" t="n">
        <v>46289</v>
      </c>
      <c r="F499" t="inlineStr">
        <is>
          <t>DALARNAS LÄN</t>
        </is>
      </c>
      <c r="G499" t="inlineStr">
        <is>
          <t>RÄTTVIK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41212-2022</t>
        </is>
      </c>
      <c r="B500" t="inlineStr">
        <is>
          <t>avverkningsanmälan</t>
        </is>
      </c>
      <c r="C500" t="inlineStr">
        <is>
          <t>Föryngringsavverkning</t>
        </is>
      </c>
      <c r="D500" s="1" t="n">
        <v>44826</v>
      </c>
      <c r="E500" s="1" t="n">
        <v>46289</v>
      </c>
      <c r="F500" t="inlineStr">
        <is>
          <t>DALARNAS LÄN</t>
        </is>
      </c>
      <c r="G500" t="inlineStr">
        <is>
          <t>RÄTTVIK</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24889-2022</t>
        </is>
      </c>
      <c r="B501" t="inlineStr">
        <is>
          <t>avverkningsanmälan</t>
        </is>
      </c>
      <c r="C501" t="inlineStr">
        <is>
          <t>Föryngringsavverkning</t>
        </is>
      </c>
      <c r="D501" s="1" t="n">
        <v>44728</v>
      </c>
      <c r="E501" s="1" t="n">
        <v>46289</v>
      </c>
      <c r="F501" t="inlineStr">
        <is>
          <t>DALARNAS LÄN</t>
        </is>
      </c>
      <c r="G501" t="inlineStr">
        <is>
          <t>RÄTTVIK</t>
        </is>
      </c>
      <c r="H501" t="inlineStr">
        <is>
          <t>Sveaskog</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29519-2025</t>
        </is>
      </c>
      <c r="B502" t="inlineStr">
        <is>
          <t>avverkningsanmälan</t>
        </is>
      </c>
      <c r="C502" t="inlineStr">
        <is>
          <t>Föryngringsavverkning</t>
        </is>
      </c>
      <c r="D502" s="1" t="n">
        <v>45825</v>
      </c>
      <c r="E502" s="1" t="n">
        <v>46289</v>
      </c>
      <c r="F502" t="inlineStr">
        <is>
          <t>DALARNAS LÄN</t>
        </is>
      </c>
      <c r="G502" t="inlineStr">
        <is>
          <t>RÄTTVIK</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59518-2022</t>
        </is>
      </c>
      <c r="B503" t="inlineStr">
        <is>
          <t>avverkningsanmälan</t>
        </is>
      </c>
      <c r="C503" t="inlineStr">
        <is>
          <t>Föryngringsavverkning</t>
        </is>
      </c>
      <c r="D503" s="1" t="n">
        <v>44907</v>
      </c>
      <c r="E503" s="1" t="n">
        <v>46289</v>
      </c>
      <c r="F503" t="inlineStr">
        <is>
          <t>DALARNAS LÄN</t>
        </is>
      </c>
      <c r="G503" t="inlineStr">
        <is>
          <t>RÄTTVIK</t>
        </is>
      </c>
      <c r="H503" t="inlineStr">
        <is>
          <t>Övriga statliga verk och myndigheter</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59500-2025</t>
        </is>
      </c>
      <c r="B504" t="inlineStr">
        <is>
          <t>avverkningsanmälan</t>
        </is>
      </c>
      <c r="C504" t="inlineStr">
        <is>
          <t>Föryngringsavverkning</t>
        </is>
      </c>
      <c r="D504" s="1" t="n">
        <v>45989</v>
      </c>
      <c r="E504" s="1" t="n">
        <v>46289</v>
      </c>
      <c r="F504" t="inlineStr">
        <is>
          <t>DALARNAS LÄN</t>
        </is>
      </c>
      <c r="G504" t="inlineStr">
        <is>
          <t>RÄTTVIK</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29695-2025</t>
        </is>
      </c>
      <c r="B505" t="inlineStr">
        <is>
          <t>avverkningsanmälan</t>
        </is>
      </c>
      <c r="C505" t="inlineStr">
        <is>
          <t>Föryngringsavverkning</t>
        </is>
      </c>
      <c r="D505" s="1" t="n">
        <v>45825</v>
      </c>
      <c r="E505" s="1" t="n">
        <v>46289</v>
      </c>
      <c r="F505" t="inlineStr">
        <is>
          <t>DALARNAS LÄN</t>
        </is>
      </c>
      <c r="G505" t="inlineStr">
        <is>
          <t>RÄTTVIK</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29676-2025</t>
        </is>
      </c>
      <c r="B506" t="inlineStr">
        <is>
          <t>avverkningsanmälan</t>
        </is>
      </c>
      <c r="C506" t="inlineStr">
        <is>
          <t>Föryngringsavverkning</t>
        </is>
      </c>
      <c r="D506" s="1" t="n">
        <v>45825</v>
      </c>
      <c r="E506" s="1" t="n">
        <v>46289</v>
      </c>
      <c r="F506" t="inlineStr">
        <is>
          <t>DALARNAS LÄN</t>
        </is>
      </c>
      <c r="G506" t="inlineStr">
        <is>
          <t>RÄTTVIK</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40313-2023</t>
        </is>
      </c>
      <c r="B507" t="inlineStr">
        <is>
          <t>avverkningsanmälan</t>
        </is>
      </c>
      <c r="C507" t="inlineStr">
        <is>
          <t>Föryngringsavverkning</t>
        </is>
      </c>
      <c r="D507" s="1" t="n">
        <v>45168</v>
      </c>
      <c r="E507" s="1" t="n">
        <v>46289</v>
      </c>
      <c r="F507" t="inlineStr">
        <is>
          <t>DALARNAS LÄN</t>
        </is>
      </c>
      <c r="G507" t="inlineStr">
        <is>
          <t>RÄTTVIK</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29521-2025</t>
        </is>
      </c>
      <c r="B508" t="inlineStr">
        <is>
          <t>avverkningsanmälan</t>
        </is>
      </c>
      <c r="C508" t="inlineStr">
        <is>
          <t>Föryngringsavverkning</t>
        </is>
      </c>
      <c r="D508" s="1" t="n">
        <v>45825</v>
      </c>
      <c r="E508" s="1" t="n">
        <v>46289</v>
      </c>
      <c r="F508" t="inlineStr">
        <is>
          <t>DALARNAS LÄN</t>
        </is>
      </c>
      <c r="G508" t="inlineStr">
        <is>
          <t>RÄTTVIK</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440-2025</t>
        </is>
      </c>
      <c r="B509" t="inlineStr">
        <is>
          <t>avverkningsanmälan</t>
        </is>
      </c>
      <c r="C509" t="inlineStr">
        <is>
          <t>Föryngringsavverkning</t>
        </is>
      </c>
      <c r="D509" s="1" t="n">
        <v>45664</v>
      </c>
      <c r="E509" s="1" t="n">
        <v>46289</v>
      </c>
      <c r="F509" t="inlineStr">
        <is>
          <t>DALARNAS LÄN</t>
        </is>
      </c>
      <c r="G509" t="inlineStr">
        <is>
          <t>RÄTTVIK</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59504-2025</t>
        </is>
      </c>
      <c r="B510" t="inlineStr">
        <is>
          <t>avverkningsanmälan</t>
        </is>
      </c>
      <c r="C510" t="inlineStr">
        <is>
          <t>Föryngringsavverkning</t>
        </is>
      </c>
      <c r="D510" s="1" t="n">
        <v>45989</v>
      </c>
      <c r="E510" s="1" t="n">
        <v>46289</v>
      </c>
      <c r="F510" t="inlineStr">
        <is>
          <t>DALARNAS LÄN</t>
        </is>
      </c>
      <c r="G510" t="inlineStr">
        <is>
          <t>RÄTTVIK</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59721-2025</t>
        </is>
      </c>
      <c r="B511" t="inlineStr">
        <is>
          <t>avverkningsanmälan</t>
        </is>
      </c>
      <c r="C511" t="inlineStr">
        <is>
          <t>Föryngringsavverkning</t>
        </is>
      </c>
      <c r="D511" s="1" t="n">
        <v>45992</v>
      </c>
      <c r="E511" s="1" t="n">
        <v>46289</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60302-2025</t>
        </is>
      </c>
      <c r="B512" t="inlineStr">
        <is>
          <t>avverkningsanmälan</t>
        </is>
      </c>
      <c r="C512" t="inlineStr">
        <is>
          <t>Föryngringsavverkning</t>
        </is>
      </c>
      <c r="D512" s="1" t="n">
        <v>45994</v>
      </c>
      <c r="E512" s="1" t="n">
        <v>46289</v>
      </c>
      <c r="F512" t="inlineStr">
        <is>
          <t>DALARNAS LÄN</t>
        </is>
      </c>
      <c r="G512" t="inlineStr">
        <is>
          <t>RÄTTVIK</t>
        </is>
      </c>
      <c r="H512" t="inlineStr">
        <is>
          <t>Övriga statliga verk och myndigheter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5953-2025</t>
        </is>
      </c>
      <c r="B513" t="inlineStr">
        <is>
          <t>avverkningsanmälan</t>
        </is>
      </c>
      <c r="C513" t="inlineStr">
        <is>
          <t>Föryngringsavverkning</t>
        </is>
      </c>
      <c r="D513" s="1" t="n">
        <v>45695</v>
      </c>
      <c r="E513" s="1" t="n">
        <v>46289</v>
      </c>
      <c r="F513" t="inlineStr">
        <is>
          <t>DALARNAS LÄN</t>
        </is>
      </c>
      <c r="G513" t="inlineStr">
        <is>
          <t>RÄTTVIK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23041-2022</t>
        </is>
      </c>
      <c r="B514" t="inlineStr">
        <is>
          <t>avverkningsanmälan</t>
        </is>
      </c>
      <c r="C514" t="inlineStr">
        <is>
          <t>Föryngringsavverkning</t>
        </is>
      </c>
      <c r="D514" s="1" t="n">
        <v>44719</v>
      </c>
      <c r="E514" s="1" t="n">
        <v>46289</v>
      </c>
      <c r="F514" t="inlineStr">
        <is>
          <t>DALARNAS LÄN</t>
        </is>
      </c>
      <c r="G514" t="inlineStr">
        <is>
          <t>RÄTTVIK</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56523-2024</t>
        </is>
      </c>
      <c r="B515" t="inlineStr">
        <is>
          <t>avverkningsanmälan</t>
        </is>
      </c>
      <c r="C515" t="inlineStr">
        <is>
          <t>Föryngringsavverkning</t>
        </is>
      </c>
      <c r="D515" s="1" t="n">
        <v>45625</v>
      </c>
      <c r="E515" s="1" t="n">
        <v>46289</v>
      </c>
      <c r="F515" t="inlineStr">
        <is>
          <t>DALARNAS LÄN</t>
        </is>
      </c>
      <c r="G515" t="inlineStr">
        <is>
          <t>RÄTTVIK</t>
        </is>
      </c>
      <c r="H515" t="inlineStr">
        <is>
          <t>Bergvik skog öst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60288-2025</t>
        </is>
      </c>
      <c r="B516" t="inlineStr">
        <is>
          <t>avverkningsanmälan</t>
        </is>
      </c>
      <c r="C516" t="inlineStr">
        <is>
          <t>Föryngringsavverkning</t>
        </is>
      </c>
      <c r="D516" s="1" t="n">
        <v>45994</v>
      </c>
      <c r="E516" s="1" t="n">
        <v>46289</v>
      </c>
      <c r="F516" t="inlineStr">
        <is>
          <t>DALARNAS LÄN</t>
        </is>
      </c>
      <c r="G516" t="inlineStr">
        <is>
          <t>RÄTTVIK</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356-2026</t>
        </is>
      </c>
      <c r="B517" t="inlineStr">
        <is>
          <t>avverkningsanmälan</t>
        </is>
      </c>
      <c r="C517" t="inlineStr">
        <is>
          <t>Föryngringsavverkning</t>
        </is>
      </c>
      <c r="D517" s="1" t="n">
        <v>46027</v>
      </c>
      <c r="E517" s="1" t="n">
        <v>46289</v>
      </c>
      <c r="F517" t="inlineStr">
        <is>
          <t>DALARNAS LÄN</t>
        </is>
      </c>
      <c r="G517" t="inlineStr">
        <is>
          <t>RÄTTVIK</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339-2026</t>
        </is>
      </c>
      <c r="B518" t="inlineStr">
        <is>
          <t>avverkningsanmälan</t>
        </is>
      </c>
      <c r="C518" t="inlineStr">
        <is>
          <t>Föryngringsavverkning</t>
        </is>
      </c>
      <c r="D518" s="1" t="n">
        <v>46027</v>
      </c>
      <c r="E518" s="1" t="n">
        <v>46289</v>
      </c>
      <c r="F518" t="inlineStr">
        <is>
          <t>DALARNAS LÄN</t>
        </is>
      </c>
      <c r="G518" t="inlineStr">
        <is>
          <t>RÄTTVIK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338-2026</t>
        </is>
      </c>
      <c r="B519" t="inlineStr">
        <is>
          <t>avverkningsanmälan</t>
        </is>
      </c>
      <c r="C519" t="inlineStr">
        <is>
          <t>Föryngringsavverkning</t>
        </is>
      </c>
      <c r="D519" s="1" t="n">
        <v>46027</v>
      </c>
      <c r="E519" s="1" t="n">
        <v>46289</v>
      </c>
      <c r="F519" t="inlineStr">
        <is>
          <t>DALARNAS LÄN</t>
        </is>
      </c>
      <c r="G519" t="inlineStr">
        <is>
          <t>RÄTTVIK</t>
        </is>
      </c>
      <c r="I519" t="n">
        <v>12.9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38633-2022</t>
        </is>
      </c>
      <c r="B520" t="inlineStr">
        <is>
          <t>avverkningsanmälan</t>
        </is>
      </c>
      <c r="C520" t="inlineStr">
        <is>
          <t>Föryngringsavverkning</t>
        </is>
      </c>
      <c r="D520" s="1" t="n">
        <v>44813</v>
      </c>
      <c r="E520" s="1" t="n">
        <v>46289</v>
      </c>
      <c r="F520" t="inlineStr">
        <is>
          <t>DALARNAS LÄN</t>
        </is>
      </c>
      <c r="G520" t="inlineStr">
        <is>
          <t>RÄTTVIK</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592-2026</t>
        </is>
      </c>
      <c r="B521" t="inlineStr">
        <is>
          <t>avverkningsanmälan</t>
        </is>
      </c>
      <c r="C521" t="inlineStr">
        <is>
          <t>Föryngringsavverkning</t>
        </is>
      </c>
      <c r="D521" s="1" t="n">
        <v>46027</v>
      </c>
      <c r="E521" s="1" t="n">
        <v>46289</v>
      </c>
      <c r="F521" t="inlineStr">
        <is>
          <t>DALARNAS LÄN</t>
        </is>
      </c>
      <c r="G521" t="inlineStr">
        <is>
          <t>RÄTTVIK</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61213-2025</t>
        </is>
      </c>
      <c r="B522" t="inlineStr">
        <is>
          <t>avverkningsanmälan</t>
        </is>
      </c>
      <c r="C522" t="inlineStr">
        <is>
          <t>Föryngringsavverkning</t>
        </is>
      </c>
      <c r="D522" s="1" t="n">
        <v>46000</v>
      </c>
      <c r="E522" s="1" t="n">
        <v>46289</v>
      </c>
      <c r="F522" t="inlineStr">
        <is>
          <t>DALARNAS LÄN</t>
        </is>
      </c>
      <c r="G522" t="inlineStr">
        <is>
          <t>RÄTTVIK</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61117-2025</t>
        </is>
      </c>
      <c r="B523" t="inlineStr">
        <is>
          <t>avverkningsanmälan</t>
        </is>
      </c>
      <c r="C523" t="inlineStr">
        <is>
          <t>Föryngringsavverkning</t>
        </is>
      </c>
      <c r="D523" s="1" t="n">
        <v>46000</v>
      </c>
      <c r="E523" s="1" t="n">
        <v>46289</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59307-2022</t>
        </is>
      </c>
      <c r="B524" t="inlineStr">
        <is>
          <t>avverkningsanmälan</t>
        </is>
      </c>
      <c r="C524" t="inlineStr">
        <is>
          <t>Föryngringsavverkning</t>
        </is>
      </c>
      <c r="D524" s="1" t="n">
        <v>44897</v>
      </c>
      <c r="E524" s="1" t="n">
        <v>46289</v>
      </c>
      <c r="F524" t="inlineStr">
        <is>
          <t>DALARNAS LÄN</t>
        </is>
      </c>
      <c r="G524" t="inlineStr">
        <is>
          <t>RÄTTVIK</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60823-2025</t>
        </is>
      </c>
      <c r="B525" t="inlineStr">
        <is>
          <t>avverkningsanmälan</t>
        </is>
      </c>
      <c r="C525" t="inlineStr">
        <is>
          <t>Föryngringsavverkning</t>
        </is>
      </c>
      <c r="D525" s="1" t="n">
        <v>45999</v>
      </c>
      <c r="E525" s="1" t="n">
        <v>46289</v>
      </c>
      <c r="F525" t="inlineStr">
        <is>
          <t>DALARNAS LÄN</t>
        </is>
      </c>
      <c r="G525" t="inlineStr">
        <is>
          <t>RÄTTVIK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934-2026</t>
        </is>
      </c>
      <c r="B526" t="inlineStr">
        <is>
          <t>avverkningsanmälan</t>
        </is>
      </c>
      <c r="C526" t="inlineStr">
        <is>
          <t>Föryngringsavverkning</t>
        </is>
      </c>
      <c r="D526" s="1" t="n">
        <v>46030</v>
      </c>
      <c r="E526" s="1" t="n">
        <v>46289</v>
      </c>
      <c r="F526" t="inlineStr">
        <is>
          <t>DALARNAS LÄN</t>
        </is>
      </c>
      <c r="G526" t="inlineStr">
        <is>
          <t>RÄTTVIK</t>
        </is>
      </c>
      <c r="I526" t="n">
        <v>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31622-2025</t>
        </is>
      </c>
      <c r="B527" t="inlineStr">
        <is>
          <t>avverkningsanmälan</t>
        </is>
      </c>
      <c r="C527" t="inlineStr">
        <is>
          <t>Föryngringsavverkning</t>
        </is>
      </c>
      <c r="D527" s="1" t="n">
        <v>45833</v>
      </c>
      <c r="E527" s="1" t="n">
        <v>46289</v>
      </c>
      <c r="F527" t="inlineStr">
        <is>
          <t>DALARNAS LÄN</t>
        </is>
      </c>
      <c r="G527" t="inlineStr">
        <is>
          <t>RÄTTVIK</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31297-2025</t>
        </is>
      </c>
      <c r="B528" t="inlineStr">
        <is>
          <t>avverkningsanmälan</t>
        </is>
      </c>
      <c r="C528" t="inlineStr">
        <is>
          <t>Föryngringsavverkning</t>
        </is>
      </c>
      <c r="D528" s="1" t="n">
        <v>45833</v>
      </c>
      <c r="E528" s="1" t="n">
        <v>46289</v>
      </c>
      <c r="F528" t="inlineStr">
        <is>
          <t>DALARNAS LÄN</t>
        </is>
      </c>
      <c r="G528" t="inlineStr">
        <is>
          <t>RÄTTVIK</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31300-2025</t>
        </is>
      </c>
      <c r="B529" t="inlineStr">
        <is>
          <t>avverkningsanmälan</t>
        </is>
      </c>
      <c r="C529" t="inlineStr">
        <is>
          <t>Föryngringsavverkning</t>
        </is>
      </c>
      <c r="D529" s="1" t="n">
        <v>45833</v>
      </c>
      <c r="E529" s="1" t="n">
        <v>46289</v>
      </c>
      <c r="F529" t="inlineStr">
        <is>
          <t>DALARNAS LÄN</t>
        </is>
      </c>
      <c r="G529" t="inlineStr">
        <is>
          <t>RÄTTVIK</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31260-2025</t>
        </is>
      </c>
      <c r="B530" t="inlineStr">
        <is>
          <t>avverkningsanmälan</t>
        </is>
      </c>
      <c r="C530" t="inlineStr">
        <is>
          <t>Föryngringsavverkning</t>
        </is>
      </c>
      <c r="D530" s="1" t="n">
        <v>45833</v>
      </c>
      <c r="E530" s="1" t="n">
        <v>46289</v>
      </c>
      <c r="F530" t="inlineStr">
        <is>
          <t>DALARNAS LÄN</t>
        </is>
      </c>
      <c r="G530" t="inlineStr">
        <is>
          <t>RÄTTVIK</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31273-2025</t>
        </is>
      </c>
      <c r="B531" t="inlineStr">
        <is>
          <t>avverkningsanmälan</t>
        </is>
      </c>
      <c r="C531" t="inlineStr">
        <is>
          <t>Föryngringsavverkning</t>
        </is>
      </c>
      <c r="D531" s="1" t="n">
        <v>45833</v>
      </c>
      <c r="E531" s="1" t="n">
        <v>46289</v>
      </c>
      <c r="F531" t="inlineStr">
        <is>
          <t>DALARNAS LÄN</t>
        </is>
      </c>
      <c r="G531" t="inlineStr">
        <is>
          <t>RÄTTVIK</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61057-2025</t>
        </is>
      </c>
      <c r="B532" t="inlineStr">
        <is>
          <t>avverkningsanmälan</t>
        </is>
      </c>
      <c r="C532" t="inlineStr">
        <is>
          <t>Föryngringsavverkning</t>
        </is>
      </c>
      <c r="D532" s="1" t="n">
        <v>46000</v>
      </c>
      <c r="E532" s="1" t="n">
        <v>46289</v>
      </c>
      <c r="F532" t="inlineStr">
        <is>
          <t>DALARNAS LÄN</t>
        </is>
      </c>
      <c r="G532" t="inlineStr">
        <is>
          <t>RÄTTVIK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60828-2025</t>
        </is>
      </c>
      <c r="B533" t="inlineStr">
        <is>
          <t>avverkningsanmälan</t>
        </is>
      </c>
      <c r="C533" t="inlineStr">
        <is>
          <t>Föryngringsavverkning</t>
        </is>
      </c>
      <c r="D533" s="1" t="n">
        <v>45999</v>
      </c>
      <c r="E533" s="1" t="n">
        <v>46289</v>
      </c>
      <c r="F533" t="inlineStr">
        <is>
          <t>DALARNAS LÄN</t>
        </is>
      </c>
      <c r="G533" t="inlineStr">
        <is>
          <t>RÄTTVIK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1336-2026</t>
        </is>
      </c>
      <c r="B534" t="inlineStr">
        <is>
          <t>avverkningsanmälan</t>
        </is>
      </c>
      <c r="C534" t="inlineStr">
        <is>
          <t>Föryngringsavverkning</t>
        </is>
      </c>
      <c r="D534" s="1" t="n">
        <v>46031</v>
      </c>
      <c r="E534" s="1" t="n">
        <v>46289</v>
      </c>
      <c r="F534" t="inlineStr">
        <is>
          <t>DALARNAS LÄN</t>
        </is>
      </c>
      <c r="G534" t="inlineStr">
        <is>
          <t>RÄTTVIK</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1460-2026</t>
        </is>
      </c>
      <c r="B535" t="inlineStr">
        <is>
          <t>avverkningsanmälan</t>
        </is>
      </c>
      <c r="C535" t="inlineStr">
        <is>
          <t>Föryngringsavverkning</t>
        </is>
      </c>
      <c r="D535" s="1" t="n">
        <v>46033</v>
      </c>
      <c r="E535" s="1" t="n">
        <v>46289</v>
      </c>
      <c r="F535" t="inlineStr">
        <is>
          <t>DALARNAS LÄN</t>
        </is>
      </c>
      <c r="G535" t="inlineStr">
        <is>
          <t>RÄTTVIK</t>
        </is>
      </c>
      <c r="H535" t="inlineStr">
        <is>
          <t>Bergvik skog väst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1462-2026</t>
        </is>
      </c>
      <c r="B536" t="inlineStr">
        <is>
          <t>avverkningsanmälan</t>
        </is>
      </c>
      <c r="C536" t="inlineStr">
        <is>
          <t>Föryngringsavverkning</t>
        </is>
      </c>
      <c r="D536" s="1" t="n">
        <v>46033</v>
      </c>
      <c r="E536" s="1" t="n">
        <v>46289</v>
      </c>
      <c r="F536" t="inlineStr">
        <is>
          <t>DALARNAS LÄN</t>
        </is>
      </c>
      <c r="G536" t="inlineStr">
        <is>
          <t>RÄTTVIK</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1463-2026</t>
        </is>
      </c>
      <c r="B537" t="inlineStr">
        <is>
          <t>avverkningsanmälan</t>
        </is>
      </c>
      <c r="C537" t="inlineStr">
        <is>
          <t>Föryngringsavverkning</t>
        </is>
      </c>
      <c r="D537" s="1" t="n">
        <v>46033</v>
      </c>
      <c r="E537" s="1" t="n">
        <v>46289</v>
      </c>
      <c r="F537" t="inlineStr">
        <is>
          <t>DALARNAS LÄN</t>
        </is>
      </c>
      <c r="G537" t="inlineStr">
        <is>
          <t>RÄTTVIK</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31310-2025</t>
        </is>
      </c>
      <c r="B538" t="inlineStr">
        <is>
          <t>avverkningsanmälan</t>
        </is>
      </c>
      <c r="C538" t="inlineStr">
        <is>
          <t>Föryngringsavverkning</t>
        </is>
      </c>
      <c r="D538" s="1" t="n">
        <v>45833</v>
      </c>
      <c r="E538" s="1" t="n">
        <v>46289</v>
      </c>
      <c r="F538" t="inlineStr">
        <is>
          <t>DALARNAS LÄN</t>
        </is>
      </c>
      <c r="G538" t="inlineStr">
        <is>
          <t>RÄTTVIK</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49240-2023</t>
        </is>
      </c>
      <c r="B539" t="inlineStr">
        <is>
          <t>avverkningsanmälan</t>
        </is>
      </c>
      <c r="C539" t="inlineStr">
        <is>
          <t>Föryngringsavverkning</t>
        </is>
      </c>
      <c r="D539" s="1" t="n">
        <v>45210</v>
      </c>
      <c r="E539" s="1" t="n">
        <v>46289</v>
      </c>
      <c r="F539" t="inlineStr">
        <is>
          <t>DALARNAS LÄN</t>
        </is>
      </c>
      <c r="G539" t="inlineStr">
        <is>
          <t>RÄTTVIK</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35244-2022</t>
        </is>
      </c>
      <c r="B540" t="inlineStr">
        <is>
          <t>avverkningsanmälan</t>
        </is>
      </c>
      <c r="C540" t="inlineStr">
        <is>
          <t>Avverkning för annat ändamål</t>
        </is>
      </c>
      <c r="D540" s="1" t="n">
        <v>44798</v>
      </c>
      <c r="E540" s="1" t="n">
        <v>46289</v>
      </c>
      <c r="F540" t="inlineStr">
        <is>
          <t>DALARNAS LÄN</t>
        </is>
      </c>
      <c r="G540" t="inlineStr">
        <is>
          <t>RÄTTVIK</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11298-2025</t>
        </is>
      </c>
      <c r="B541" t="inlineStr">
        <is>
          <t>avverkningsanmälan</t>
        </is>
      </c>
      <c r="C541" t="inlineStr">
        <is>
          <t>Föryngringsavverkning</t>
        </is>
      </c>
      <c r="D541" s="1" t="n">
        <v>45726</v>
      </c>
      <c r="E541" s="1" t="n">
        <v>46289</v>
      </c>
      <c r="F541" t="inlineStr">
        <is>
          <t>DALARNAS LÄN</t>
        </is>
      </c>
      <c r="G541" t="inlineStr">
        <is>
          <t>RÄTTVIK</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1646-2026</t>
        </is>
      </c>
      <c r="B542" t="inlineStr">
        <is>
          <t>avverkningsanmälan</t>
        </is>
      </c>
      <c r="C542" t="inlineStr">
        <is>
          <t>Föryngringsavverkning</t>
        </is>
      </c>
      <c r="D542" s="1" t="n">
        <v>46034</v>
      </c>
      <c r="E542" s="1" t="n">
        <v>46289</v>
      </c>
      <c r="F542" t="inlineStr">
        <is>
          <t>DALARNAS LÄN</t>
        </is>
      </c>
      <c r="G542" t="inlineStr">
        <is>
          <t>RÄTTVIK</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3342-2024</t>
        </is>
      </c>
      <c r="B543" t="inlineStr">
        <is>
          <t>avverkningsanmälan</t>
        </is>
      </c>
      <c r="C543" t="inlineStr">
        <is>
          <t>Föryngringsavverkning</t>
        </is>
      </c>
      <c r="D543" s="1" t="n">
        <v>45317</v>
      </c>
      <c r="E543" s="1" t="n">
        <v>46289</v>
      </c>
      <c r="F543" t="inlineStr">
        <is>
          <t>DALARNAS LÄN</t>
        </is>
      </c>
      <c r="G543" t="inlineStr">
        <is>
          <t>RÄTTVIK</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31286-2025</t>
        </is>
      </c>
      <c r="B544" t="inlineStr">
        <is>
          <t>avverkningsanmälan</t>
        </is>
      </c>
      <c r="C544" t="inlineStr">
        <is>
          <t>Föryngringsavverkning</t>
        </is>
      </c>
      <c r="D544" s="1" t="n">
        <v>45833</v>
      </c>
      <c r="E544" s="1" t="n">
        <v>46289</v>
      </c>
      <c r="F544" t="inlineStr">
        <is>
          <t>DALARNAS LÄN</t>
        </is>
      </c>
      <c r="G544" t="inlineStr">
        <is>
          <t>RÄTTVIK</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32166-2025</t>
        </is>
      </c>
      <c r="B545" t="inlineStr">
        <is>
          <t>avverkningsanmälan</t>
        </is>
      </c>
      <c r="C545" t="inlineStr">
        <is>
          <t>Föryngringsavverkning</t>
        </is>
      </c>
      <c r="D545" s="1" t="n">
        <v>45835</v>
      </c>
      <c r="E545" s="1" t="n">
        <v>46289</v>
      </c>
      <c r="F545" t="inlineStr">
        <is>
          <t>DALARNAS LÄN</t>
        </is>
      </c>
      <c r="G545" t="inlineStr">
        <is>
          <t>RÄTTVIK</t>
        </is>
      </c>
      <c r="H545" t="inlineStr">
        <is>
          <t>Sveaskog</t>
        </is>
      </c>
      <c r="I545" t="n">
        <v>8.699999999999999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31976-2025</t>
        </is>
      </c>
      <c r="B546" t="inlineStr">
        <is>
          <t>avverkningsanmälan</t>
        </is>
      </c>
      <c r="C546" t="inlineStr">
        <is>
          <t>Föryngringsavverkning</t>
        </is>
      </c>
      <c r="D546" s="1" t="n">
        <v>45835</v>
      </c>
      <c r="E546" s="1" t="n">
        <v>46289</v>
      </c>
      <c r="F546" t="inlineStr">
        <is>
          <t>DALARNAS LÄN</t>
        </is>
      </c>
      <c r="G546" t="inlineStr">
        <is>
          <t>RÄTTVIK</t>
        </is>
      </c>
      <c r="H546" t="inlineStr">
        <is>
          <t>Sveaskog</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2121-2026</t>
        </is>
      </c>
      <c r="B547" t="inlineStr">
        <is>
          <t>avverkningsanmälan</t>
        </is>
      </c>
      <c r="C547" t="inlineStr">
        <is>
          <t>Föryngringsavverkning</t>
        </is>
      </c>
      <c r="D547" s="1" t="n">
        <v>46036</v>
      </c>
      <c r="E547" s="1" t="n">
        <v>46289</v>
      </c>
      <c r="F547" t="inlineStr">
        <is>
          <t>DALARNAS LÄN</t>
        </is>
      </c>
      <c r="G547" t="inlineStr">
        <is>
          <t>RÄTTVIK</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702-2024</t>
        </is>
      </c>
      <c r="B548" t="inlineStr">
        <is>
          <t>avverkningsanmälan</t>
        </is>
      </c>
      <c r="C548" t="inlineStr">
        <is>
          <t>Föryngringsavverkning</t>
        </is>
      </c>
      <c r="D548" s="1" t="n">
        <v>45300</v>
      </c>
      <c r="E548" s="1" t="n">
        <v>46289</v>
      </c>
      <c r="F548" t="inlineStr">
        <is>
          <t>DALARNAS LÄN</t>
        </is>
      </c>
      <c r="G548" t="inlineStr">
        <is>
          <t>RÄTTVIK</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61820-2025</t>
        </is>
      </c>
      <c r="B549" t="inlineStr">
        <is>
          <t>avverkningsanmälan</t>
        </is>
      </c>
      <c r="C549" t="inlineStr">
        <is>
          <t>Föryngringsavverkning</t>
        </is>
      </c>
      <c r="D549" s="1" t="n">
        <v>46003</v>
      </c>
      <c r="E549" s="1" t="n">
        <v>46289</v>
      </c>
      <c r="F549" t="inlineStr">
        <is>
          <t>DALARNAS LÄN</t>
        </is>
      </c>
      <c r="G549" t="inlineStr">
        <is>
          <t>RÄTTVIK</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46481-2025</t>
        </is>
      </c>
      <c r="B550" t="inlineStr">
        <is>
          <t>avverkningsanmälan</t>
        </is>
      </c>
      <c r="C550" t="inlineStr">
        <is>
          <t>Föryngringsavverkning</t>
        </is>
      </c>
      <c r="D550" s="1" t="n">
        <v>45925</v>
      </c>
      <c r="E550" s="1" t="n">
        <v>46289</v>
      </c>
      <c r="F550" t="inlineStr">
        <is>
          <t>DALARNAS LÄN</t>
        </is>
      </c>
      <c r="G550" t="inlineStr">
        <is>
          <t>RÄTTVIK</t>
        </is>
      </c>
      <c r="H550" t="inlineStr">
        <is>
          <t>Sveaskog</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270-2026</t>
        </is>
      </c>
      <c r="B551" t="inlineStr">
        <is>
          <t>avverkningsanmälan</t>
        </is>
      </c>
      <c r="C551" t="inlineStr">
        <is>
          <t>Föryngringsavverkning</t>
        </is>
      </c>
      <c r="D551" s="1" t="n">
        <v>46027</v>
      </c>
      <c r="E551" s="1" t="n">
        <v>46289</v>
      </c>
      <c r="F551" t="inlineStr">
        <is>
          <t>DALARNAS LÄN</t>
        </is>
      </c>
      <c r="G551" t="inlineStr">
        <is>
          <t>RÄTTVIK</t>
        </is>
      </c>
      <c r="I551" t="n">
        <v>18.7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2163-2026</t>
        </is>
      </c>
      <c r="B552" t="inlineStr">
        <is>
          <t>avverkningsanmälan</t>
        </is>
      </c>
      <c r="C552" t="inlineStr">
        <is>
          <t>Föryngringsavverkning</t>
        </is>
      </c>
      <c r="D552" s="1" t="n">
        <v>46036</v>
      </c>
      <c r="E552" s="1" t="n">
        <v>46289</v>
      </c>
      <c r="F552" t="inlineStr">
        <is>
          <t>DALARNAS LÄN</t>
        </is>
      </c>
      <c r="G552" t="inlineStr">
        <is>
          <t>RÄTTVIK</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2128-2026</t>
        </is>
      </c>
      <c r="B553" t="inlineStr">
        <is>
          <t>avverkningsanmälan</t>
        </is>
      </c>
      <c r="C553" t="inlineStr">
        <is>
          <t>Föryngringsavverkning</t>
        </is>
      </c>
      <c r="D553" s="1" t="n">
        <v>46036</v>
      </c>
      <c r="E553" s="1" t="n">
        <v>46289</v>
      </c>
      <c r="F553" t="inlineStr">
        <is>
          <t>DALARNAS LÄN</t>
        </is>
      </c>
      <c r="G553" t="inlineStr">
        <is>
          <t>RÄTTVIK</t>
        </is>
      </c>
      <c r="I553" t="n">
        <v>10.1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2118-2026</t>
        </is>
      </c>
      <c r="B554" t="inlineStr">
        <is>
          <t>avverkningsanmälan</t>
        </is>
      </c>
      <c r="C554" t="inlineStr">
        <is>
          <t>Föryngringsavverkning</t>
        </is>
      </c>
      <c r="D554" s="1" t="n">
        <v>46036</v>
      </c>
      <c r="E554" s="1" t="n">
        <v>46289</v>
      </c>
      <c r="F554" t="inlineStr">
        <is>
          <t>DALARNAS LÄN</t>
        </is>
      </c>
      <c r="G554" t="inlineStr">
        <is>
          <t>RÄTTVIK</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31556-2022</t>
        </is>
      </c>
      <c r="B555" t="inlineStr">
        <is>
          <t>avverkningsanmälan</t>
        </is>
      </c>
      <c r="C555" t="inlineStr">
        <is>
          <t>Föryngringsavverkning</t>
        </is>
      </c>
      <c r="D555" s="1" t="n">
        <v>44775</v>
      </c>
      <c r="E555" s="1" t="n">
        <v>46289</v>
      </c>
      <c r="F555" t="inlineStr">
        <is>
          <t>DALARNAS LÄN</t>
        </is>
      </c>
      <c r="G555" t="inlineStr">
        <is>
          <t>RÄTTVIK</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3449-2026</t>
        </is>
      </c>
      <c r="B556" t="inlineStr">
        <is>
          <t>avverkningsanmälan</t>
        </is>
      </c>
      <c r="C556" t="inlineStr">
        <is>
          <t>Föryngringsavverkning</t>
        </is>
      </c>
      <c r="D556" s="1" t="n">
        <v>46042</v>
      </c>
      <c r="E556" s="1" t="n">
        <v>46289</v>
      </c>
      <c r="F556" t="inlineStr">
        <is>
          <t>DALARNAS LÄN</t>
        </is>
      </c>
      <c r="G556" t="inlineStr">
        <is>
          <t>RÄTTVIK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63302-2025</t>
        </is>
      </c>
      <c r="B557" t="inlineStr">
        <is>
          <t>avverkningsanmälan</t>
        </is>
      </c>
      <c r="C557" t="inlineStr">
        <is>
          <t>Föryngringsavverkning</t>
        </is>
      </c>
      <c r="D557" s="1" t="n">
        <v>46010</v>
      </c>
      <c r="E557" s="1" t="n">
        <v>46289</v>
      </c>
      <c r="F557" t="inlineStr">
        <is>
          <t>DALARNAS LÄN</t>
        </is>
      </c>
      <c r="G557" t="inlineStr">
        <is>
          <t>RÄTTVIK</t>
        </is>
      </c>
      <c r="H557" t="inlineStr">
        <is>
          <t>Bergvik skog väst AB</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3466-2026</t>
        </is>
      </c>
      <c r="B558" t="inlineStr">
        <is>
          <t>avverkningsanmälan</t>
        </is>
      </c>
      <c r="C558" t="inlineStr">
        <is>
          <t>Föryngringsavverkning</t>
        </is>
      </c>
      <c r="D558" s="1" t="n">
        <v>46042</v>
      </c>
      <c r="E558" s="1" t="n">
        <v>46289</v>
      </c>
      <c r="F558" t="inlineStr">
        <is>
          <t>DALARNAS LÄN</t>
        </is>
      </c>
      <c r="G558" t="inlineStr">
        <is>
          <t>RÄTTVIK</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33002-2025</t>
        </is>
      </c>
      <c r="B559" t="inlineStr">
        <is>
          <t>avverkningsanmälan</t>
        </is>
      </c>
      <c r="C559" t="inlineStr">
        <is>
          <t>Föryngringsavverkning</t>
        </is>
      </c>
      <c r="D559" s="1" t="n">
        <v>45840</v>
      </c>
      <c r="E559" s="1" t="n">
        <v>46289</v>
      </c>
      <c r="F559" t="inlineStr">
        <is>
          <t>DALARNAS LÄN</t>
        </is>
      </c>
      <c r="G559" t="inlineStr">
        <is>
          <t>RÄTTVIK</t>
        </is>
      </c>
      <c r="H559" t="inlineStr">
        <is>
          <t>Bergvik skog väst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41046-2023</t>
        </is>
      </c>
      <c r="B560" t="inlineStr">
        <is>
          <t>avverkningsanmälan</t>
        </is>
      </c>
      <c r="C560" t="inlineStr">
        <is>
          <t>Avverkning för annat ändamål</t>
        </is>
      </c>
      <c r="D560" s="1" t="n">
        <v>45173</v>
      </c>
      <c r="E560" s="1" t="n">
        <v>46289</v>
      </c>
      <c r="F560" t="inlineStr">
        <is>
          <t>DALARNAS LÄN</t>
        </is>
      </c>
      <c r="G560" t="inlineStr">
        <is>
          <t>RÄTTVIK</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3476-2026</t>
        </is>
      </c>
      <c r="B561" t="inlineStr">
        <is>
          <t>avverkningsanmälan</t>
        </is>
      </c>
      <c r="C561" t="inlineStr">
        <is>
          <t>Föryngringsavverkning</t>
        </is>
      </c>
      <c r="D561" s="1" t="n">
        <v>46042</v>
      </c>
      <c r="E561" s="1" t="n">
        <v>46289</v>
      </c>
      <c r="F561" t="inlineStr">
        <is>
          <t>DALARNAS LÄN</t>
        </is>
      </c>
      <c r="G561" t="inlineStr">
        <is>
          <t>RÄTTVIK</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55263-2023</t>
        </is>
      </c>
      <c r="B562" t="inlineStr">
        <is>
          <t>avverkningsanmälan</t>
        </is>
      </c>
      <c r="C562" t="inlineStr">
        <is>
          <t>Föryngringsavverkning</t>
        </is>
      </c>
      <c r="D562" s="1" t="n">
        <v>45231</v>
      </c>
      <c r="E562" s="1" t="n">
        <v>46289</v>
      </c>
      <c r="F562" t="inlineStr">
        <is>
          <t>DALARNAS LÄN</t>
        </is>
      </c>
      <c r="G562" t="inlineStr">
        <is>
          <t>RÄTTVIK</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55270-2023</t>
        </is>
      </c>
      <c r="B563" t="inlineStr">
        <is>
          <t>avverkningsanmälan</t>
        </is>
      </c>
      <c r="C563" t="inlineStr">
        <is>
          <t>Föryngringsavverkning</t>
        </is>
      </c>
      <c r="D563" s="1" t="n">
        <v>45231</v>
      </c>
      <c r="E563" s="1" t="n">
        <v>46289</v>
      </c>
      <c r="F563" t="inlineStr">
        <is>
          <t>DALARNAS LÄN</t>
        </is>
      </c>
      <c r="G563" t="inlineStr">
        <is>
          <t>RÄTTVIK</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33117-2025</t>
        </is>
      </c>
      <c r="B564" t="inlineStr">
        <is>
          <t>avverkningsanmälan</t>
        </is>
      </c>
      <c r="C564" t="inlineStr">
        <is>
          <t>Föryngringsavverkning</t>
        </is>
      </c>
      <c r="D564" s="1" t="n">
        <v>45840</v>
      </c>
      <c r="E564" s="1" t="n">
        <v>46289</v>
      </c>
      <c r="F564" t="inlineStr">
        <is>
          <t>DALARNAS LÄN</t>
        </is>
      </c>
      <c r="G564" t="inlineStr">
        <is>
          <t>RÄTTVIK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2835-2026</t>
        </is>
      </c>
      <c r="B565" t="inlineStr">
        <is>
          <t>avverkningsanmälan</t>
        </is>
      </c>
      <c r="C565" t="inlineStr">
        <is>
          <t>Föryngringsavverkning</t>
        </is>
      </c>
      <c r="D565" s="1" t="n">
        <v>46038</v>
      </c>
      <c r="E565" s="1" t="n">
        <v>46289</v>
      </c>
      <c r="F565" t="inlineStr">
        <is>
          <t>DALARNAS LÄN</t>
        </is>
      </c>
      <c r="G565" t="inlineStr">
        <is>
          <t>RÄTTVIK</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63309-2025</t>
        </is>
      </c>
      <c r="B566" t="inlineStr">
        <is>
          <t>avverkningsanmälan</t>
        </is>
      </c>
      <c r="C566" t="inlineStr">
        <is>
          <t>Föryngringsavverkning</t>
        </is>
      </c>
      <c r="D566" s="1" t="n">
        <v>46010</v>
      </c>
      <c r="E566" s="1" t="n">
        <v>46289</v>
      </c>
      <c r="F566" t="inlineStr">
        <is>
          <t>DALARNAS LÄN</t>
        </is>
      </c>
      <c r="G566" t="inlineStr">
        <is>
          <t>RÄTTVIK</t>
        </is>
      </c>
      <c r="H566" t="inlineStr">
        <is>
          <t>Bergvik skog väst AB</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3448-2026</t>
        </is>
      </c>
      <c r="B567" t="inlineStr">
        <is>
          <t>avverkningsanmälan</t>
        </is>
      </c>
      <c r="C567" t="inlineStr">
        <is>
          <t>Föryngringsavverkning</t>
        </is>
      </c>
      <c r="D567" s="1" t="n">
        <v>46042</v>
      </c>
      <c r="E567" s="1" t="n">
        <v>46289</v>
      </c>
      <c r="F567" t="inlineStr">
        <is>
          <t>DALARNAS LÄN</t>
        </is>
      </c>
      <c r="G567" t="inlineStr">
        <is>
          <t>RÄTTVIK</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63336-2025</t>
        </is>
      </c>
      <c r="B568" t="inlineStr">
        <is>
          <t>avverkningsanmälan</t>
        </is>
      </c>
      <c r="C568" t="inlineStr">
        <is>
          <t>Föryngringsavverkning</t>
        </is>
      </c>
      <c r="D568" s="1" t="n">
        <v>46010</v>
      </c>
      <c r="E568" s="1" t="n">
        <v>46289</v>
      </c>
      <c r="F568" t="inlineStr">
        <is>
          <t>DALARNAS LÄN</t>
        </is>
      </c>
      <c r="G568" t="inlineStr">
        <is>
          <t>RÄTTVIK</t>
        </is>
      </c>
      <c r="H568" t="inlineStr">
        <is>
          <t>Bergvik skog väst AB</t>
        </is>
      </c>
      <c r="I568" t="n">
        <v>11.9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63251-2025</t>
        </is>
      </c>
      <c r="B569" t="inlineStr">
        <is>
          <t>avverkningsanmälan</t>
        </is>
      </c>
      <c r="C569" t="inlineStr">
        <is>
          <t>Föryngringsavverkning</t>
        </is>
      </c>
      <c r="D569" s="1" t="n">
        <v>46010</v>
      </c>
      <c r="E569" s="1" t="n">
        <v>46289</v>
      </c>
      <c r="F569" t="inlineStr">
        <is>
          <t>DALARNAS LÄN</t>
        </is>
      </c>
      <c r="G569" t="inlineStr">
        <is>
          <t>RÄTTVIK</t>
        </is>
      </c>
      <c r="H569" t="inlineStr">
        <is>
          <t>Bergvik skog väst AB</t>
        </is>
      </c>
      <c r="I569" t="n">
        <v>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4061-2026</t>
        </is>
      </c>
      <c r="B570" t="inlineStr">
        <is>
          <t>avverkningsanmälan</t>
        </is>
      </c>
      <c r="C570" t="inlineStr">
        <is>
          <t>Föryngringsavverkning</t>
        </is>
      </c>
      <c r="D570" s="1" t="n">
        <v>46044</v>
      </c>
      <c r="E570" s="1" t="n">
        <v>46289</v>
      </c>
      <c r="F570" t="inlineStr">
        <is>
          <t>DALARNAS LÄN</t>
        </is>
      </c>
      <c r="G570" t="inlineStr">
        <is>
          <t>RÄTTVIK</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63111-2025</t>
        </is>
      </c>
      <c r="B571" t="inlineStr">
        <is>
          <t>avverkningsanmälan</t>
        </is>
      </c>
      <c r="C571" t="inlineStr">
        <is>
          <t>Föryngringsavverkning</t>
        </is>
      </c>
      <c r="D571" s="1" t="n">
        <v>46009</v>
      </c>
      <c r="E571" s="1" t="n">
        <v>46289</v>
      </c>
      <c r="F571" t="inlineStr">
        <is>
          <t>DALARNAS LÄN</t>
        </is>
      </c>
      <c r="G571" t="inlineStr">
        <is>
          <t>RÄTTVIK</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9672-2024</t>
        </is>
      </c>
      <c r="B572" t="inlineStr">
        <is>
          <t>avverkningsanmälan</t>
        </is>
      </c>
      <c r="C572" t="inlineStr">
        <is>
          <t>Föryngringsavverkning</t>
        </is>
      </c>
      <c r="D572" s="1" t="n">
        <v>45362</v>
      </c>
      <c r="E572" s="1" t="n">
        <v>46289</v>
      </c>
      <c r="F572" t="inlineStr">
        <is>
          <t>DALARNAS LÄN</t>
        </is>
      </c>
      <c r="G572" t="inlineStr">
        <is>
          <t>RÄTTVIK</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63157-2025</t>
        </is>
      </c>
      <c r="B573" t="inlineStr">
        <is>
          <t>avverkningsanmälan</t>
        </is>
      </c>
      <c r="C573" t="inlineStr">
        <is>
          <t>Föryngringsavverkning</t>
        </is>
      </c>
      <c r="D573" s="1" t="n">
        <v>46010</v>
      </c>
      <c r="E573" s="1" t="n">
        <v>46289</v>
      </c>
      <c r="F573" t="inlineStr">
        <is>
          <t>DALARNAS LÄN</t>
        </is>
      </c>
      <c r="G573" t="inlineStr">
        <is>
          <t>RÄTTVIK</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4092-2026</t>
        </is>
      </c>
      <c r="B574" t="inlineStr">
        <is>
          <t>avverkningsanmälan</t>
        </is>
      </c>
      <c r="C574" t="inlineStr">
        <is>
          <t>Föryngringsavverkning</t>
        </is>
      </c>
      <c r="D574" s="1" t="n">
        <v>46044</v>
      </c>
      <c r="E574" s="1" t="n">
        <v>46289</v>
      </c>
      <c r="F574" t="inlineStr">
        <is>
          <t>DALARNAS LÄN</t>
        </is>
      </c>
      <c r="G574" t="inlineStr">
        <is>
          <t>RÄTTVIK</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4648-2026</t>
        </is>
      </c>
      <c r="B575" t="inlineStr">
        <is>
          <t>avverkningsanmälan</t>
        </is>
      </c>
      <c r="C575" t="inlineStr">
        <is>
          <t>Föryngringsavverkning</t>
        </is>
      </c>
      <c r="D575" s="1" t="n">
        <v>46048</v>
      </c>
      <c r="E575" s="1" t="n">
        <v>46289</v>
      </c>
      <c r="F575" t="inlineStr">
        <is>
          <t>DALARNAS LÄN</t>
        </is>
      </c>
      <c r="G575" t="inlineStr">
        <is>
          <t>RÄTTVIK</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4824-2026</t>
        </is>
      </c>
      <c r="B576" t="inlineStr">
        <is>
          <t>avverkningsanmälan</t>
        </is>
      </c>
      <c r="C576" t="inlineStr">
        <is>
          <t>Föryngringsavverkning</t>
        </is>
      </c>
      <c r="D576" s="1" t="n">
        <v>46048</v>
      </c>
      <c r="E576" s="1" t="n">
        <v>46289</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3725-2024</t>
        </is>
      </c>
      <c r="B577" t="inlineStr">
        <is>
          <t>avverkningsanmälan</t>
        </is>
      </c>
      <c r="C577" t="inlineStr">
        <is>
          <t>Föryngringsavverkning</t>
        </is>
      </c>
      <c r="D577" s="1" t="n">
        <v>45321</v>
      </c>
      <c r="E577" s="1" t="n">
        <v>46289</v>
      </c>
      <c r="F577" t="inlineStr">
        <is>
          <t>DALARNAS LÄN</t>
        </is>
      </c>
      <c r="G577" t="inlineStr">
        <is>
          <t>RÄTTVIK</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5005-2026</t>
        </is>
      </c>
      <c r="B578" t="inlineStr">
        <is>
          <t>avverkningsanmälan</t>
        </is>
      </c>
      <c r="C578" t="inlineStr">
        <is>
          <t>Föryngringsavverkning</t>
        </is>
      </c>
      <c r="D578" s="1" t="n">
        <v>46049</v>
      </c>
      <c r="E578" s="1" t="n">
        <v>46289</v>
      </c>
      <c r="F578" t="inlineStr">
        <is>
          <t>DALARNAS LÄN</t>
        </is>
      </c>
      <c r="G578" t="inlineStr">
        <is>
          <t>RÄTTVIK</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23478-2023</t>
        </is>
      </c>
      <c r="B579" t="inlineStr">
        <is>
          <t>avverkningsanmälan</t>
        </is>
      </c>
      <c r="C579" t="inlineStr">
        <is>
          <t>Föryngringsavverkning</t>
        </is>
      </c>
      <c r="D579" s="1" t="n">
        <v>45072</v>
      </c>
      <c r="E579" s="1" t="n">
        <v>46289</v>
      </c>
      <c r="F579" t="inlineStr">
        <is>
          <t>DALARNAS LÄN</t>
        </is>
      </c>
      <c r="G579" t="inlineStr">
        <is>
          <t>RÄTTVIK</t>
        </is>
      </c>
      <c r="H579" t="inlineStr">
        <is>
          <t>Övriga statliga verk och myndigheter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23479-2023</t>
        </is>
      </c>
      <c r="B580" t="inlineStr">
        <is>
          <t>avverkningsanmälan</t>
        </is>
      </c>
      <c r="C580" t="inlineStr">
        <is>
          <t>Föryngringsavverkning</t>
        </is>
      </c>
      <c r="D580" s="1" t="n">
        <v>45072</v>
      </c>
      <c r="E580" s="1" t="n">
        <v>46289</v>
      </c>
      <c r="F580" t="inlineStr">
        <is>
          <t>DALARNAS LÄN</t>
        </is>
      </c>
      <c r="G580" t="inlineStr">
        <is>
          <t>RÄTTVIK</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5430-2026</t>
        </is>
      </c>
      <c r="B581" t="inlineStr">
        <is>
          <t>avverkningsanmälan</t>
        </is>
      </c>
      <c r="C581" t="inlineStr">
        <is>
          <t>Föryngringsavverkning</t>
        </is>
      </c>
      <c r="D581" s="1" t="n">
        <v>46050</v>
      </c>
      <c r="E581" s="1" t="n">
        <v>46289</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9211-2024</t>
        </is>
      </c>
      <c r="B582" t="inlineStr">
        <is>
          <t>avverkningsanmälan</t>
        </is>
      </c>
      <c r="C582" t="inlineStr">
        <is>
          <t>Föryngringsavverkning</t>
        </is>
      </c>
      <c r="D582" s="1" t="n">
        <v>45358</v>
      </c>
      <c r="E582" s="1" t="n">
        <v>46289</v>
      </c>
      <c r="F582" t="inlineStr">
        <is>
          <t>DALARNAS LÄN</t>
        </is>
      </c>
      <c r="G582" t="inlineStr">
        <is>
          <t>RÄTTVIK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53178-2025</t>
        </is>
      </c>
      <c r="B583" t="inlineStr">
        <is>
          <t>avverkningsanmälan</t>
        </is>
      </c>
      <c r="C583" t="inlineStr">
        <is>
          <t>Föryngringsavverkning</t>
        </is>
      </c>
      <c r="D583" s="1" t="n">
        <v>45958</v>
      </c>
      <c r="E583" s="1" t="n">
        <v>46289</v>
      </c>
      <c r="F583" t="inlineStr">
        <is>
          <t>DALARNAS LÄN</t>
        </is>
      </c>
      <c r="G583" t="inlineStr">
        <is>
          <t>RÄTTVIK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13568-2025</t>
        </is>
      </c>
      <c r="B584" t="inlineStr">
        <is>
          <t>avverkningsanmälan</t>
        </is>
      </c>
      <c r="C584" t="inlineStr">
        <is>
          <t>Föryngringsavverkning</t>
        </is>
      </c>
      <c r="D584" s="1" t="n">
        <v>45736</v>
      </c>
      <c r="E584" s="1" t="n">
        <v>46289</v>
      </c>
      <c r="F584" t="inlineStr">
        <is>
          <t>DALARNAS LÄN</t>
        </is>
      </c>
      <c r="G584" t="inlineStr">
        <is>
          <t>RÄTTVIK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47620-2024</t>
        </is>
      </c>
      <c r="B585" t="inlineStr">
        <is>
          <t>avverkningsanmälan</t>
        </is>
      </c>
      <c r="C585" t="inlineStr">
        <is>
          <t>Föryngringsavverkning</t>
        </is>
      </c>
      <c r="D585" s="1" t="n">
        <v>45588</v>
      </c>
      <c r="E585" s="1" t="n">
        <v>46289</v>
      </c>
      <c r="F585" t="inlineStr">
        <is>
          <t>DALARNAS LÄN</t>
        </is>
      </c>
      <c r="G585" t="inlineStr">
        <is>
          <t>RÄTTVIK</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27418-2023</t>
        </is>
      </c>
      <c r="B586" t="inlineStr">
        <is>
          <t>avverkningsanmälan</t>
        </is>
      </c>
      <c r="C586" t="inlineStr">
        <is>
          <t>Föryngringsavverkning</t>
        </is>
      </c>
      <c r="D586" s="1" t="n">
        <v>45097</v>
      </c>
      <c r="E586" s="1" t="n">
        <v>46289</v>
      </c>
      <c r="F586" t="inlineStr">
        <is>
          <t>DALARNAS LÄN</t>
        </is>
      </c>
      <c r="G586" t="inlineStr">
        <is>
          <t>RÄTTVIK</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46060-2022</t>
        </is>
      </c>
      <c r="B587" t="inlineStr">
        <is>
          <t>avverkningsanmälan</t>
        </is>
      </c>
      <c r="C587" t="inlineStr">
        <is>
          <t>Föryngringsavverkning</t>
        </is>
      </c>
      <c r="D587" s="1" t="n">
        <v>44847</v>
      </c>
      <c r="E587" s="1" t="n">
        <v>46289</v>
      </c>
      <c r="F587" t="inlineStr">
        <is>
          <t>DALARNAS LÄN</t>
        </is>
      </c>
      <c r="G587" t="inlineStr">
        <is>
          <t>RÄTTVIK</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13875-2026</t>
        </is>
      </c>
      <c r="B588" t="inlineStr">
        <is>
          <t>avverkningsanmälan</t>
        </is>
      </c>
      <c r="C588" t="inlineStr">
        <is>
          <t>Föryngringsavverkning</t>
        </is>
      </c>
      <c r="D588" s="1" t="n">
        <v>46098</v>
      </c>
      <c r="E588" s="1" t="n">
        <v>46289</v>
      </c>
      <c r="F588" t="inlineStr">
        <is>
          <t>DALARNAS LÄN</t>
        </is>
      </c>
      <c r="G588" t="inlineStr">
        <is>
          <t>RÄTTVIK</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23615-2026</t>
        </is>
      </c>
      <c r="B589" t="inlineStr">
        <is>
          <t>avverkningsanmälan</t>
        </is>
      </c>
      <c r="C589" t="inlineStr">
        <is>
          <t>Föryngringsavverkning</t>
        </is>
      </c>
      <c r="D589" s="1" t="n">
        <v>46162</v>
      </c>
      <c r="E589" s="1" t="n">
        <v>46289</v>
      </c>
      <c r="F589" t="inlineStr">
        <is>
          <t>DALARNAS LÄN</t>
        </is>
      </c>
      <c r="G589" t="inlineStr">
        <is>
          <t>RÄTTVIK</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6470-2026</t>
        </is>
      </c>
      <c r="B590" t="inlineStr">
        <is>
          <t>avverkningsanmälan</t>
        </is>
      </c>
      <c r="C590" t="inlineStr">
        <is>
          <t>Föryngringsavverkning</t>
        </is>
      </c>
      <c r="D590" s="1" t="n">
        <v>46056</v>
      </c>
      <c r="E590" s="1" t="n">
        <v>46289</v>
      </c>
      <c r="F590" t="inlineStr">
        <is>
          <t>DALARNAS LÄN</t>
        </is>
      </c>
      <c r="G590" t="inlineStr">
        <is>
          <t>RÄTTVIK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6858-2026</t>
        </is>
      </c>
      <c r="B591" t="inlineStr">
        <is>
          <t>avverkningsanmälan</t>
        </is>
      </c>
      <c r="C591" t="inlineStr">
        <is>
          <t>Föryngringsavverkning</t>
        </is>
      </c>
      <c r="D591" s="1" t="n">
        <v>46057</v>
      </c>
      <c r="E591" s="1" t="n">
        <v>46289</v>
      </c>
      <c r="F591" t="inlineStr">
        <is>
          <t>DALARNAS LÄN</t>
        </is>
      </c>
      <c r="G591" t="inlineStr">
        <is>
          <t>RÄTTVIK</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38529-2026</t>
        </is>
      </c>
      <c r="B592" t="inlineStr">
        <is>
          <t>avverkningsanmälan</t>
        </is>
      </c>
      <c r="C592" t="inlineStr">
        <is>
          <t>Föryngringsavverkning</t>
        </is>
      </c>
      <c r="D592" s="1" t="n">
        <v>46283</v>
      </c>
      <c r="E592" s="1" t="n">
        <v>46289</v>
      </c>
      <c r="F592" t="inlineStr">
        <is>
          <t>DALARNAS LÄN</t>
        </is>
      </c>
      <c r="G592" t="inlineStr">
        <is>
          <t>RÄTTVIK</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7140-2024</t>
        </is>
      </c>
      <c r="B593" t="inlineStr">
        <is>
          <t>avverkningsanmälan</t>
        </is>
      </c>
      <c r="C593" t="inlineStr">
        <is>
          <t>Föryngringsavverkning</t>
        </is>
      </c>
      <c r="D593" s="1" t="n">
        <v>45344</v>
      </c>
      <c r="E593" s="1" t="n">
        <v>46289</v>
      </c>
      <c r="F593" t="inlineStr">
        <is>
          <t>DALARNAS LÄN</t>
        </is>
      </c>
      <c r="G593" t="inlineStr">
        <is>
          <t>RÄTTVIK</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32728-2026</t>
        </is>
      </c>
      <c r="B594" t="inlineStr">
        <is>
          <t>avverkningsanmälan</t>
        </is>
      </c>
      <c r="C594" t="inlineStr">
        <is>
          <t>Föryngringsavverkning</t>
        </is>
      </c>
      <c r="D594" s="1" t="n">
        <v>46241</v>
      </c>
      <c r="E594" s="1" t="n">
        <v>46289</v>
      </c>
      <c r="F594" t="inlineStr">
        <is>
          <t>DALARNAS LÄN</t>
        </is>
      </c>
      <c r="G594" t="inlineStr">
        <is>
          <t>RÄTTVIK</t>
        </is>
      </c>
      <c r="H594" t="inlineStr">
        <is>
          <t>Bergvik skog väst AB</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7663-2026</t>
        </is>
      </c>
      <c r="B595" t="inlineStr">
        <is>
          <t>avverkningsanmälan</t>
        </is>
      </c>
      <c r="C595" t="inlineStr">
        <is>
          <t>Föryngringsavverkning</t>
        </is>
      </c>
      <c r="D595" s="1" t="n">
        <v>46062</v>
      </c>
      <c r="E595" s="1" t="n">
        <v>46289</v>
      </c>
      <c r="F595" t="inlineStr">
        <is>
          <t>DALARNAS LÄN</t>
        </is>
      </c>
      <c r="G595" t="inlineStr">
        <is>
          <t>RÄTTVIK</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7790-2026</t>
        </is>
      </c>
      <c r="B596" t="inlineStr">
        <is>
          <t>avverkningsanmälan</t>
        </is>
      </c>
      <c r="C596" t="inlineStr">
        <is>
          <t>Föryngringsavverkning</t>
        </is>
      </c>
      <c r="D596" s="1" t="n">
        <v>46062</v>
      </c>
      <c r="E596" s="1" t="n">
        <v>46289</v>
      </c>
      <c r="F596" t="inlineStr">
        <is>
          <t>DALARNAS LÄN</t>
        </is>
      </c>
      <c r="G596" t="inlineStr">
        <is>
          <t>RÄTTVIK</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7805-2026</t>
        </is>
      </c>
      <c r="B597" t="inlineStr">
        <is>
          <t>avverkningsanmälan</t>
        </is>
      </c>
      <c r="C597" t="inlineStr">
        <is>
          <t>Föryngringsavverkning</t>
        </is>
      </c>
      <c r="D597" s="1" t="n">
        <v>46062</v>
      </c>
      <c r="E597" s="1" t="n">
        <v>46289</v>
      </c>
      <c r="F597" t="inlineStr">
        <is>
          <t>DALARNAS LÄN</t>
        </is>
      </c>
      <c r="G597" t="inlineStr">
        <is>
          <t>RÄTTVIK</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7663-2026</t>
        </is>
      </c>
      <c r="B598" t="inlineStr">
        <is>
          <t>avverkningsanmälan</t>
        </is>
      </c>
      <c r="C598" t="inlineStr">
        <is>
          <t>Föryngringsavverkning</t>
        </is>
      </c>
      <c r="D598" s="1" t="n">
        <v>46062</v>
      </c>
      <c r="E598" s="1" t="n">
        <v>46289</v>
      </c>
      <c r="F598" t="inlineStr">
        <is>
          <t>DALARNAS LÄN</t>
        </is>
      </c>
      <c r="G598" t="inlineStr">
        <is>
          <t>RÄTTVIK</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2042-2025</t>
        </is>
      </c>
      <c r="B599" t="inlineStr">
        <is>
          <t>avverkningsanmälan</t>
        </is>
      </c>
      <c r="C599" t="inlineStr">
        <is>
          <t>Föryngringsavverkning</t>
        </is>
      </c>
      <c r="D599" s="1" t="n">
        <v>45671</v>
      </c>
      <c r="E599" s="1" t="n">
        <v>46289</v>
      </c>
      <c r="F599" t="inlineStr">
        <is>
          <t>DALARNAS LÄN</t>
        </is>
      </c>
      <c r="G599" t="inlineStr">
        <is>
          <t>RÄTTVIK</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8140-2026</t>
        </is>
      </c>
      <c r="B600" t="inlineStr">
        <is>
          <t>avverkningsanmälan</t>
        </is>
      </c>
      <c r="C600" t="inlineStr">
        <is>
          <t>Föryngringsavverkning</t>
        </is>
      </c>
      <c r="D600" s="1" t="n">
        <v>46064</v>
      </c>
      <c r="E600" s="1" t="n">
        <v>46289</v>
      </c>
      <c r="F600" t="inlineStr">
        <is>
          <t>DALARNAS LÄN</t>
        </is>
      </c>
      <c r="G600" t="inlineStr">
        <is>
          <t>RÄTTVIK</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8141-2026</t>
        </is>
      </c>
      <c r="B601" t="inlineStr">
        <is>
          <t>avverkningsanmälan</t>
        </is>
      </c>
      <c r="C601" t="inlineStr">
        <is>
          <t>Föryngringsavverkning</t>
        </is>
      </c>
      <c r="D601" s="1" t="n">
        <v>46064</v>
      </c>
      <c r="E601" s="1" t="n">
        <v>46289</v>
      </c>
      <c r="F601" t="inlineStr">
        <is>
          <t>DALARNAS LÄN</t>
        </is>
      </c>
      <c r="G601" t="inlineStr">
        <is>
          <t>RÄTTVIK</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26717-2023</t>
        </is>
      </c>
      <c r="B602" t="inlineStr">
        <is>
          <t>avverkningsanmälan</t>
        </is>
      </c>
      <c r="C602" t="inlineStr">
        <is>
          <t>Föryngringsavverkning</t>
        </is>
      </c>
      <c r="D602" s="1" t="n">
        <v>45093</v>
      </c>
      <c r="E602" s="1" t="n">
        <v>46289</v>
      </c>
      <c r="F602" t="inlineStr">
        <is>
          <t>DALARNAS LÄN</t>
        </is>
      </c>
      <c r="G602" t="inlineStr">
        <is>
          <t>RÄTTVIK</t>
        </is>
      </c>
      <c r="H602" t="inlineStr">
        <is>
          <t>Bergvik skog väst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7915-2026</t>
        </is>
      </c>
      <c r="B603" t="inlineStr">
        <is>
          <t>avverkningsanmälan</t>
        </is>
      </c>
      <c r="C603" t="inlineStr">
        <is>
          <t>Föryngringsavverkning</t>
        </is>
      </c>
      <c r="D603" s="1" t="n">
        <v>46063</v>
      </c>
      <c r="E603" s="1" t="n">
        <v>46289</v>
      </c>
      <c r="F603" t="inlineStr">
        <is>
          <t>DALARNAS LÄN</t>
        </is>
      </c>
      <c r="G603" t="inlineStr">
        <is>
          <t>RÄTTVIK</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36455-2024</t>
        </is>
      </c>
      <c r="B604" t="inlineStr">
        <is>
          <t>avverkningsanmälan</t>
        </is>
      </c>
      <c r="C604" t="inlineStr">
        <is>
          <t>Föryngringsavverkning</t>
        </is>
      </c>
      <c r="D604" s="1" t="n">
        <v>45537</v>
      </c>
      <c r="E604" s="1" t="n">
        <v>46289</v>
      </c>
      <c r="F604" t="inlineStr">
        <is>
          <t>DALARNAS LÄN</t>
        </is>
      </c>
      <c r="G604" t="inlineStr">
        <is>
          <t>RÄTTVIK</t>
        </is>
      </c>
      <c r="I604" t="n">
        <v>9.800000000000001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8695-2026</t>
        </is>
      </c>
      <c r="B605" t="inlineStr">
        <is>
          <t>avverkningsanmälan</t>
        </is>
      </c>
      <c r="C605" t="inlineStr">
        <is>
          <t>Föryngringsavverkning</t>
        </is>
      </c>
      <c r="D605" s="1" t="n">
        <v>46066</v>
      </c>
      <c r="E605" s="1" t="n">
        <v>46289</v>
      </c>
      <c r="F605" t="inlineStr">
        <is>
          <t>DALARNAS LÄN</t>
        </is>
      </c>
      <c r="G605" t="inlineStr">
        <is>
          <t>RÄTTVIK</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8766-2026</t>
        </is>
      </c>
      <c r="B606" t="inlineStr">
        <is>
          <t>avverkningsanmälan</t>
        </is>
      </c>
      <c r="C606" t="inlineStr">
        <is>
          <t>Avverkning för annat ändamål</t>
        </is>
      </c>
      <c r="D606" s="1" t="n">
        <v>46066</v>
      </c>
      <c r="E606" s="1" t="n">
        <v>46289</v>
      </c>
      <c r="F606" t="inlineStr">
        <is>
          <t>DALARNAS LÄN</t>
        </is>
      </c>
      <c r="G606" t="inlineStr">
        <is>
          <t>RÄTTVIK</t>
        </is>
      </c>
      <c r="I606" t="n">
        <v>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28637-2026</t>
        </is>
      </c>
      <c r="B607" t="inlineStr">
        <is>
          <t>avverkningsanmälan</t>
        </is>
      </c>
      <c r="C607" t="inlineStr">
        <is>
          <t>Avverkning för att bevara och utveckla /försöksver</t>
        </is>
      </c>
      <c r="D607" s="1" t="n">
        <v>46198</v>
      </c>
      <c r="E607" s="1" t="n">
        <v>46289</v>
      </c>
      <c r="F607" t="inlineStr">
        <is>
          <t>DALARNAS LÄN</t>
        </is>
      </c>
      <c r="G607" t="inlineStr">
        <is>
          <t>RÄTTVIK</t>
        </is>
      </c>
      <c r="H607" t="inlineStr">
        <is>
          <t>Sveaskog</t>
        </is>
      </c>
      <c r="I607" t="n">
        <v>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31072-2026</t>
        </is>
      </c>
      <c r="B608" t="inlineStr">
        <is>
          <t>avverkningsanmälan</t>
        </is>
      </c>
      <c r="C608" t="inlineStr">
        <is>
          <t>Föryngringsavverkning</t>
        </is>
      </c>
      <c r="D608" s="1" t="n">
        <v>46216</v>
      </c>
      <c r="E608" s="1" t="n">
        <v>46289</v>
      </c>
      <c r="F608" t="inlineStr">
        <is>
          <t>DALARNAS LÄN</t>
        </is>
      </c>
      <c r="G608" t="inlineStr">
        <is>
          <t>RÄTTVIK</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8393-2026</t>
        </is>
      </c>
      <c r="B609" t="inlineStr">
        <is>
          <t>avverkningsanmälan</t>
        </is>
      </c>
      <c r="C609" t="inlineStr">
        <is>
          <t>Föryngringsavverkning</t>
        </is>
      </c>
      <c r="D609" s="1" t="n">
        <v>46065</v>
      </c>
      <c r="E609" s="1" t="n">
        <v>46289</v>
      </c>
      <c r="F609" t="inlineStr">
        <is>
          <t>DALARNAS LÄN</t>
        </is>
      </c>
      <c r="G609" t="inlineStr">
        <is>
          <t>RÄTTVIK</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32746-2026</t>
        </is>
      </c>
      <c r="B610" t="inlineStr">
        <is>
          <t>avverkningsanmälan</t>
        </is>
      </c>
      <c r="C610" t="inlineStr">
        <is>
          <t>Föryngringsavverkning</t>
        </is>
      </c>
      <c r="D610" s="1" t="n">
        <v>46241</v>
      </c>
      <c r="E610" s="1" t="n">
        <v>46289</v>
      </c>
      <c r="F610" t="inlineStr">
        <is>
          <t>DALARNAS LÄN</t>
        </is>
      </c>
      <c r="G610" t="inlineStr">
        <is>
          <t>RÄTTVIK</t>
        </is>
      </c>
      <c r="H610" t="inlineStr">
        <is>
          <t>Bergvik skog väst AB</t>
        </is>
      </c>
      <c r="I610" t="n">
        <v>13.8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8665-2026</t>
        </is>
      </c>
      <c r="B611" t="inlineStr">
        <is>
          <t>avverkningsanmälan</t>
        </is>
      </c>
      <c r="C611" t="inlineStr">
        <is>
          <t>Föryngringsavverkning</t>
        </is>
      </c>
      <c r="D611" s="1" t="n">
        <v>46066</v>
      </c>
      <c r="E611" s="1" t="n">
        <v>46289</v>
      </c>
      <c r="F611" t="inlineStr">
        <is>
          <t>DALARNAS LÄN</t>
        </is>
      </c>
      <c r="G611" t="inlineStr">
        <is>
          <t>RÄTTVIK</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32730-2026</t>
        </is>
      </c>
      <c r="B612" t="inlineStr">
        <is>
          <t>avverkningsanmälan</t>
        </is>
      </c>
      <c r="C612" t="inlineStr">
        <is>
          <t>Föryngringsavverkning</t>
        </is>
      </c>
      <c r="D612" s="1" t="n">
        <v>46241</v>
      </c>
      <c r="E612" s="1" t="n">
        <v>46289</v>
      </c>
      <c r="F612" t="inlineStr">
        <is>
          <t>DALARNAS LÄN</t>
        </is>
      </c>
      <c r="G612" t="inlineStr">
        <is>
          <t>RÄTTVIK</t>
        </is>
      </c>
      <c r="H612" t="inlineStr">
        <is>
          <t>Bergvik skog väst AB</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36442-2024</t>
        </is>
      </c>
      <c r="B613" t="inlineStr">
        <is>
          <t>avverkningsanmälan</t>
        </is>
      </c>
      <c r="C613" t="inlineStr">
        <is>
          <t>Föryngringsavverkning</t>
        </is>
      </c>
      <c r="D613" s="1" t="n">
        <v>45537</v>
      </c>
      <c r="E613" s="1" t="n">
        <v>46289</v>
      </c>
      <c r="F613" t="inlineStr">
        <is>
          <t>DALARNAS LÄN</t>
        </is>
      </c>
      <c r="G613" t="inlineStr">
        <is>
          <t>RÄTTVIK</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32727-2026</t>
        </is>
      </c>
      <c r="B614" t="inlineStr">
        <is>
          <t>avverkningsanmälan</t>
        </is>
      </c>
      <c r="C614" t="inlineStr">
        <is>
          <t>Föryngringsavverkning</t>
        </is>
      </c>
      <c r="D614" s="1" t="n">
        <v>46241</v>
      </c>
      <c r="E614" s="1" t="n">
        <v>46289</v>
      </c>
      <c r="F614" t="inlineStr">
        <is>
          <t>DALARNAS LÄN</t>
        </is>
      </c>
      <c r="G614" t="inlineStr">
        <is>
          <t>RÄTTVIK</t>
        </is>
      </c>
      <c r="H614" t="inlineStr">
        <is>
          <t>Bergvik skog väst AB</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39039-2026</t>
        </is>
      </c>
      <c r="B615" t="inlineStr">
        <is>
          <t>avverkningsanmälan</t>
        </is>
      </c>
      <c r="C615" t="inlineStr">
        <is>
          <t>Föryngringsavverkning</t>
        </is>
      </c>
      <c r="D615" s="1" t="n">
        <v>46287</v>
      </c>
      <c r="E615" s="1" t="n">
        <v>46289</v>
      </c>
      <c r="F615" t="inlineStr">
        <is>
          <t>DALARNAS LÄN</t>
        </is>
      </c>
      <c r="G615" t="inlineStr">
        <is>
          <t>RÄTTVIK</t>
        </is>
      </c>
      <c r="H615" t="inlineStr">
        <is>
          <t>Sveaskog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9286-2026</t>
        </is>
      </c>
      <c r="B616" t="inlineStr">
        <is>
          <t>avverkningsanmälan</t>
        </is>
      </c>
      <c r="C616" t="inlineStr">
        <is>
          <t>Föryngringsavverkning</t>
        </is>
      </c>
      <c r="D616" s="1" t="n">
        <v>46070</v>
      </c>
      <c r="E616" s="1" t="n">
        <v>46289</v>
      </c>
      <c r="F616" t="inlineStr">
        <is>
          <t>DALARNAS LÄN</t>
        </is>
      </c>
      <c r="G616" t="inlineStr">
        <is>
          <t>RÄTTVIK</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33082-2024</t>
        </is>
      </c>
      <c r="B617" t="inlineStr">
        <is>
          <t>avverkningsanmälan</t>
        </is>
      </c>
      <c r="C617" t="inlineStr">
        <is>
          <t>Föryngringsavverkning</t>
        </is>
      </c>
      <c r="D617" s="1" t="n">
        <v>45517</v>
      </c>
      <c r="E617" s="1" t="n">
        <v>46289</v>
      </c>
      <c r="F617" t="inlineStr">
        <is>
          <t>DALARNAS LÄN</t>
        </is>
      </c>
      <c r="G617" t="inlineStr">
        <is>
          <t>RÄTTVIK</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60958-2023</t>
        </is>
      </c>
      <c r="B618" t="inlineStr">
        <is>
          <t>avverkningsanmälan</t>
        </is>
      </c>
      <c r="C618" t="inlineStr">
        <is>
          <t>Föryngringsavverkning</t>
        </is>
      </c>
      <c r="D618" s="1" t="n">
        <v>45259</v>
      </c>
      <c r="E618" s="1" t="n">
        <v>46289</v>
      </c>
      <c r="F618" t="inlineStr">
        <is>
          <t>DALARNAS LÄN</t>
        </is>
      </c>
      <c r="G618" t="inlineStr">
        <is>
          <t>RÄTTVIK</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8924-2026</t>
        </is>
      </c>
      <c r="B619" t="inlineStr">
        <is>
          <t>avverkningsanmälan</t>
        </is>
      </c>
      <c r="C619" t="inlineStr">
        <is>
          <t>Föryngringsavverkning</t>
        </is>
      </c>
      <c r="D619" s="1" t="n">
        <v>46069</v>
      </c>
      <c r="E619" s="1" t="n">
        <v>46289</v>
      </c>
      <c r="F619" t="inlineStr">
        <is>
          <t>DALARNAS LÄN</t>
        </is>
      </c>
      <c r="G619" t="inlineStr">
        <is>
          <t>RÄTTVIK</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45472-2022</t>
        </is>
      </c>
      <c r="B620" t="inlineStr">
        <is>
          <t>avverkningsanmälan</t>
        </is>
      </c>
      <c r="C620" t="inlineStr">
        <is>
          <t>Föryngringsavverkning</t>
        </is>
      </c>
      <c r="D620" s="1" t="n">
        <v>44841</v>
      </c>
      <c r="E620" s="1" t="n">
        <v>46289</v>
      </c>
      <c r="F620" t="inlineStr">
        <is>
          <t>DALARNAS LÄN</t>
        </is>
      </c>
      <c r="G620" t="inlineStr">
        <is>
          <t>RÄTTVIK</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38692-2024</t>
        </is>
      </c>
      <c r="B621" t="inlineStr">
        <is>
          <t>avverkningsanmälan</t>
        </is>
      </c>
      <c r="C621" t="inlineStr">
        <is>
          <t>Föryngringsavverkning</t>
        </is>
      </c>
      <c r="D621" s="1" t="n">
        <v>45547</v>
      </c>
      <c r="E621" s="1" t="n">
        <v>46289</v>
      </c>
      <c r="F621" t="inlineStr">
        <is>
          <t>DALARNAS LÄN</t>
        </is>
      </c>
      <c r="G621" t="inlineStr">
        <is>
          <t>RÄTTVIK</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34030-2024</t>
        </is>
      </c>
      <c r="B622" t="inlineStr">
        <is>
          <t>avverkningsanmälan</t>
        </is>
      </c>
      <c r="C622" t="inlineStr">
        <is>
          <t>Avverkning för annat ändamål</t>
        </is>
      </c>
      <c r="D622" s="1" t="n">
        <v>45523</v>
      </c>
      <c r="E622" s="1" t="n">
        <v>46289</v>
      </c>
      <c r="F622" t="inlineStr">
        <is>
          <t>DALARNAS LÄN</t>
        </is>
      </c>
      <c r="G622" t="inlineStr">
        <is>
          <t>RÄTTVIK</t>
        </is>
      </c>
      <c r="H622" t="inlineStr">
        <is>
          <t>Bergvik skog väst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37124-2024</t>
        </is>
      </c>
      <c r="B623" t="inlineStr">
        <is>
          <t>avverkningsanmälan</t>
        </is>
      </c>
      <c r="C623" t="inlineStr">
        <is>
          <t>Avverkning för annat ändamål</t>
        </is>
      </c>
      <c r="D623" s="1" t="n">
        <v>45539</v>
      </c>
      <c r="E623" s="1" t="n">
        <v>46289</v>
      </c>
      <c r="F623" t="inlineStr">
        <is>
          <t>DALARNAS LÄN</t>
        </is>
      </c>
      <c r="G623" t="inlineStr">
        <is>
          <t>RÄTTVIK</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9859-2026</t>
        </is>
      </c>
      <c r="B624" t="inlineStr">
        <is>
          <t>avverkningsanmälan</t>
        </is>
      </c>
      <c r="C624" t="inlineStr">
        <is>
          <t>Föryngringsavverkning</t>
        </is>
      </c>
      <c r="D624" s="1" t="n">
        <v>46072</v>
      </c>
      <c r="E624" s="1" t="n">
        <v>46289</v>
      </c>
      <c r="F624" t="inlineStr">
        <is>
          <t>DALARNAS LÄN</t>
        </is>
      </c>
      <c r="G624" t="inlineStr">
        <is>
          <t>RÄTTVIK</t>
        </is>
      </c>
      <c r="H624" t="inlineStr">
        <is>
          <t>Övriga statliga verk och myndigheter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9989-2026</t>
        </is>
      </c>
      <c r="B625" t="inlineStr">
        <is>
          <t>avverkningsanmälan</t>
        </is>
      </c>
      <c r="C625" t="inlineStr">
        <is>
          <t>Föryngringsavverkning</t>
        </is>
      </c>
      <c r="D625" s="1" t="n">
        <v>46073</v>
      </c>
      <c r="E625" s="1" t="n">
        <v>46289</v>
      </c>
      <c r="F625" t="inlineStr">
        <is>
          <t>DALARNAS LÄN</t>
        </is>
      </c>
      <c r="G625" t="inlineStr">
        <is>
          <t>RÄTTVIK</t>
        </is>
      </c>
      <c r="H625" t="inlineStr">
        <is>
          <t>Bergvik skog väst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10023-2026</t>
        </is>
      </c>
      <c r="B626" t="inlineStr">
        <is>
          <t>avverkningsanmälan</t>
        </is>
      </c>
      <c r="C626" t="inlineStr">
        <is>
          <t>Föryngringsavverkning</t>
        </is>
      </c>
      <c r="D626" s="1" t="n">
        <v>46073</v>
      </c>
      <c r="E626" s="1" t="n">
        <v>46289</v>
      </c>
      <c r="F626" t="inlineStr">
        <is>
          <t>DALARNAS LÄN</t>
        </is>
      </c>
      <c r="G626" t="inlineStr">
        <is>
          <t>RÄTTVIK</t>
        </is>
      </c>
      <c r="H626" t="inlineStr">
        <is>
          <t>Bergvik skog väst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9860-2026</t>
        </is>
      </c>
      <c r="B627" t="inlineStr">
        <is>
          <t>avverkningsanmälan</t>
        </is>
      </c>
      <c r="C627" t="inlineStr">
        <is>
          <t>Föryngringsavverkning</t>
        </is>
      </c>
      <c r="D627" s="1" t="n">
        <v>46072</v>
      </c>
      <c r="E627" s="1" t="n">
        <v>46289</v>
      </c>
      <c r="F627" t="inlineStr">
        <is>
          <t>DALARNAS LÄN</t>
        </is>
      </c>
      <c r="G627" t="inlineStr">
        <is>
          <t>RÄTTVIK</t>
        </is>
      </c>
      <c r="H627" t="inlineStr">
        <is>
          <t>Övriga statliga verk och myndigheter</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7063-2026</t>
        </is>
      </c>
      <c r="B628" t="inlineStr">
        <is>
          <t>avverkningsanmälan</t>
        </is>
      </c>
      <c r="C628" t="inlineStr">
        <is>
          <t>Föryngringsavverkning</t>
        </is>
      </c>
      <c r="D628" s="1" t="n">
        <v>46057</v>
      </c>
      <c r="E628" s="1" t="n">
        <v>46289</v>
      </c>
      <c r="F628" t="inlineStr">
        <is>
          <t>DALARNAS LÄN</t>
        </is>
      </c>
      <c r="G628" t="inlineStr">
        <is>
          <t>RÄTTVIK</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28014-2022</t>
        </is>
      </c>
      <c r="B629" t="inlineStr">
        <is>
          <t>avverkningsanmälan</t>
        </is>
      </c>
      <c r="C629" t="inlineStr">
        <is>
          <t>Föryngringsavverkning</t>
        </is>
      </c>
      <c r="D629" s="1" t="n">
        <v>44746</v>
      </c>
      <c r="E629" s="1" t="n">
        <v>46289</v>
      </c>
      <c r="F629" t="inlineStr">
        <is>
          <t>DALARNAS LÄN</t>
        </is>
      </c>
      <c r="G629" t="inlineStr">
        <is>
          <t>RÄTTVIK</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64804-2023</t>
        </is>
      </c>
      <c r="B630" t="inlineStr">
        <is>
          <t>avverkningsanmälan</t>
        </is>
      </c>
      <c r="C630" t="inlineStr">
        <is>
          <t>Föryngringsavverkning</t>
        </is>
      </c>
      <c r="D630" s="1" t="n">
        <v>45282</v>
      </c>
      <c r="E630" s="1" t="n">
        <v>46289</v>
      </c>
      <c r="F630" t="inlineStr">
        <is>
          <t>DALARNAS LÄN</t>
        </is>
      </c>
      <c r="G630" t="inlineStr">
        <is>
          <t>RÄTTVIK</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9971-2022</t>
        </is>
      </c>
      <c r="B631" t="inlineStr">
        <is>
          <t>avverkningsanmälan</t>
        </is>
      </c>
      <c r="C631" t="inlineStr">
        <is>
          <t>Avverkning för annat ändamål</t>
        </is>
      </c>
      <c r="D631" s="1" t="n">
        <v>44621</v>
      </c>
      <c r="E631" s="1" t="n">
        <v>46289</v>
      </c>
      <c r="F631" t="inlineStr">
        <is>
          <t>DALARNAS LÄN</t>
        </is>
      </c>
      <c r="G631" t="inlineStr">
        <is>
          <t>RÄTTVIK</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6189-2023</t>
        </is>
      </c>
      <c r="B632" t="inlineStr">
        <is>
          <t>avverkningsanmälan</t>
        </is>
      </c>
      <c r="C632" t="inlineStr">
        <is>
          <t>Föryngringsavverkning</t>
        </is>
      </c>
      <c r="D632" s="1" t="n">
        <v>44964</v>
      </c>
      <c r="E632" s="1" t="n">
        <v>46289</v>
      </c>
      <c r="F632" t="inlineStr">
        <is>
          <t>DALARNAS LÄN</t>
        </is>
      </c>
      <c r="G632" t="inlineStr">
        <is>
          <t>RÄTTVIK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10703-2026</t>
        </is>
      </c>
      <c r="B633" t="inlineStr">
        <is>
          <t>avverkningsanmälan</t>
        </is>
      </c>
      <c r="C633" t="inlineStr">
        <is>
          <t>Föryngringsavverkning</t>
        </is>
      </c>
      <c r="D633" s="1" t="n">
        <v>46078</v>
      </c>
      <c r="E633" s="1" t="n">
        <v>46289</v>
      </c>
      <c r="F633" t="inlineStr">
        <is>
          <t>DALARNAS LÄN</t>
        </is>
      </c>
      <c r="G633" t="inlineStr">
        <is>
          <t>RÄTTVIK</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40458-2024</t>
        </is>
      </c>
      <c r="B634" t="inlineStr">
        <is>
          <t>avverkningsanmälan</t>
        </is>
      </c>
      <c r="C634" t="inlineStr">
        <is>
          <t>Föryngringsavverkning</t>
        </is>
      </c>
      <c r="D634" s="1" t="n">
        <v>45555</v>
      </c>
      <c r="E634" s="1" t="n">
        <v>46289</v>
      </c>
      <c r="F634" t="inlineStr">
        <is>
          <t>DALARNAS LÄN</t>
        </is>
      </c>
      <c r="G634" t="inlineStr">
        <is>
          <t>RÄTTVIK</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32990-2026</t>
        </is>
      </c>
      <c r="B635" t="inlineStr">
        <is>
          <t>avverkningsanmälan</t>
        </is>
      </c>
      <c r="C635" t="inlineStr">
        <is>
          <t>Föryngringsavverkning</t>
        </is>
      </c>
      <c r="D635" s="1" t="n">
        <v>46244</v>
      </c>
      <c r="E635" s="1" t="n">
        <v>46289</v>
      </c>
      <c r="F635" t="inlineStr">
        <is>
          <t>DALARNAS LÄN</t>
        </is>
      </c>
      <c r="G635" t="inlineStr">
        <is>
          <t>RÄTTVIK</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11032-2026</t>
        </is>
      </c>
      <c r="B636" t="inlineStr">
        <is>
          <t>avverkningsanmälan</t>
        </is>
      </c>
      <c r="C636" t="inlineStr">
        <is>
          <t>Föryngringsavverkning</t>
        </is>
      </c>
      <c r="D636" s="1" t="n">
        <v>46079</v>
      </c>
      <c r="E636" s="1" t="n">
        <v>46289</v>
      </c>
      <c r="F636" t="inlineStr">
        <is>
          <t>DALARNAS LÄN</t>
        </is>
      </c>
      <c r="G636" t="inlineStr">
        <is>
          <t>RÄTTVIK</t>
        </is>
      </c>
      <c r="H636" t="inlineStr">
        <is>
          <t>Bergvik skog väst AB</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30578-2022</t>
        </is>
      </c>
      <c r="B637" t="inlineStr">
        <is>
          <t>avverkningsanmälan</t>
        </is>
      </c>
      <c r="C637" t="inlineStr">
        <is>
          <t>Föryngringsavverkning</t>
        </is>
      </c>
      <c r="D637" s="1" t="n">
        <v>44762</v>
      </c>
      <c r="E637" s="1" t="n">
        <v>46289</v>
      </c>
      <c r="F637" t="inlineStr">
        <is>
          <t>DALARNAS LÄN</t>
        </is>
      </c>
      <c r="G637" t="inlineStr">
        <is>
          <t>RÄTTVIK</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7021-2022</t>
        </is>
      </c>
      <c r="B638" t="inlineStr">
        <is>
          <t>avverkningsanmälan</t>
        </is>
      </c>
      <c r="C638" t="inlineStr">
        <is>
          <t>Föryngringsavverkning</t>
        </is>
      </c>
      <c r="D638" s="1" t="n">
        <v>44602</v>
      </c>
      <c r="E638" s="1" t="n">
        <v>46289</v>
      </c>
      <c r="F638" t="inlineStr">
        <is>
          <t>DALARNAS LÄN</t>
        </is>
      </c>
      <c r="G638" t="inlineStr">
        <is>
          <t>RÄTTVIK</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34813-2022</t>
        </is>
      </c>
      <c r="B639" t="inlineStr">
        <is>
          <t>avverkningsanmälan</t>
        </is>
      </c>
      <c r="C639" t="inlineStr">
        <is>
          <t>Föryngringsavverkning</t>
        </is>
      </c>
      <c r="D639" s="1" t="n">
        <v>44796</v>
      </c>
      <c r="E639" s="1" t="n">
        <v>46289</v>
      </c>
      <c r="F639" t="inlineStr">
        <is>
          <t>DALARNAS LÄN</t>
        </is>
      </c>
      <c r="G639" t="inlineStr">
        <is>
          <t>RÄTTVIK</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27388-2022</t>
        </is>
      </c>
      <c r="B640" t="inlineStr">
        <is>
          <t>avverkningsanmälan</t>
        </is>
      </c>
      <c r="C640" t="inlineStr">
        <is>
          <t>Föryngringsavverkning</t>
        </is>
      </c>
      <c r="D640" s="1" t="n">
        <v>44742</v>
      </c>
      <c r="E640" s="1" t="n">
        <v>46289</v>
      </c>
      <c r="F640" t="inlineStr">
        <is>
          <t>DALARNAS LÄN</t>
        </is>
      </c>
      <c r="G640" t="inlineStr">
        <is>
          <t>RÄTTVIK</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11787-2026</t>
        </is>
      </c>
      <c r="B641" t="inlineStr">
        <is>
          <t>avverkningsanmälan</t>
        </is>
      </c>
      <c r="C641" t="inlineStr">
        <is>
          <t>Föryngringsavverkning</t>
        </is>
      </c>
      <c r="D641" s="1" t="n">
        <v>46085</v>
      </c>
      <c r="E641" s="1" t="n">
        <v>46289</v>
      </c>
      <c r="F641" t="inlineStr">
        <is>
          <t>DALARNAS LÄN</t>
        </is>
      </c>
      <c r="G641" t="inlineStr">
        <is>
          <t>RÄTTVIK</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37249-2022</t>
        </is>
      </c>
      <c r="B642" t="inlineStr">
        <is>
          <t>avverkningsanmälan</t>
        </is>
      </c>
      <c r="C642" t="inlineStr">
        <is>
          <t>Föryngringsavverkning</t>
        </is>
      </c>
      <c r="D642" s="1" t="n">
        <v>44807</v>
      </c>
      <c r="E642" s="1" t="n">
        <v>46289</v>
      </c>
      <c r="F642" t="inlineStr">
        <is>
          <t>DALARNAS LÄN</t>
        </is>
      </c>
      <c r="G642" t="inlineStr">
        <is>
          <t>RÄTTVIK</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21882-2024</t>
        </is>
      </c>
      <c r="B643" t="inlineStr">
        <is>
          <t>avverkningsanmälan</t>
        </is>
      </c>
      <c r="C643" t="inlineStr">
        <is>
          <t>Föryngringsavverkning</t>
        </is>
      </c>
      <c r="D643" s="1" t="n">
        <v>45443</v>
      </c>
      <c r="E643" s="1" t="n">
        <v>46289</v>
      </c>
      <c r="F643" t="inlineStr">
        <is>
          <t>DALARNAS LÄN</t>
        </is>
      </c>
      <c r="G643" t="inlineStr">
        <is>
          <t>RÄTTVIK</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32999-2026</t>
        </is>
      </c>
      <c r="B644" t="inlineStr">
        <is>
          <t>avverkningsanmälan</t>
        </is>
      </c>
      <c r="C644" t="inlineStr">
        <is>
          <t>Föryngringsavverkning</t>
        </is>
      </c>
      <c r="D644" s="1" t="n">
        <v>46244</v>
      </c>
      <c r="E644" s="1" t="n">
        <v>46289</v>
      </c>
      <c r="F644" t="inlineStr">
        <is>
          <t>DALARNAS LÄN</t>
        </is>
      </c>
      <c r="G644" t="inlineStr">
        <is>
          <t>RÄTTVIK</t>
        </is>
      </c>
      <c r="H644" t="inlineStr">
        <is>
          <t>Bergvik skog väst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33316-2026</t>
        </is>
      </c>
      <c r="B645" t="inlineStr">
        <is>
          <t>avverkningsanmälan</t>
        </is>
      </c>
      <c r="C645" t="inlineStr">
        <is>
          <t>Föryngringsavverkning</t>
        </is>
      </c>
      <c r="D645" s="1" t="n">
        <v>46246</v>
      </c>
      <c r="E645" s="1" t="n">
        <v>46289</v>
      </c>
      <c r="F645" t="inlineStr">
        <is>
          <t>DALARNAS LÄN</t>
        </is>
      </c>
      <c r="G645" t="inlineStr">
        <is>
          <t>RÄTTVIK</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11790-2026</t>
        </is>
      </c>
      <c r="B646" t="inlineStr">
        <is>
          <t>avverkningsanmälan</t>
        </is>
      </c>
      <c r="C646" t="inlineStr">
        <is>
          <t>Föryngringsavverkning</t>
        </is>
      </c>
      <c r="D646" s="1" t="n">
        <v>46085</v>
      </c>
      <c r="E646" s="1" t="n">
        <v>46289</v>
      </c>
      <c r="F646" t="inlineStr">
        <is>
          <t>DALARNAS LÄN</t>
        </is>
      </c>
      <c r="G646" t="inlineStr">
        <is>
          <t>RÄTTVIK</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12049-2026</t>
        </is>
      </c>
      <c r="B647" t="inlineStr">
        <is>
          <t>avverkningsanmälan</t>
        </is>
      </c>
      <c r="C647" t="inlineStr">
        <is>
          <t>Föryngringsavverkning</t>
        </is>
      </c>
      <c r="D647" s="1" t="n">
        <v>46086</v>
      </c>
      <c r="E647" s="1" t="n">
        <v>46289</v>
      </c>
      <c r="F647" t="inlineStr">
        <is>
          <t>DALARNAS LÄN</t>
        </is>
      </c>
      <c r="G647" t="inlineStr">
        <is>
          <t>RÄTTVIK</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8899-2026</t>
        </is>
      </c>
      <c r="B648" t="inlineStr">
        <is>
          <t>avverkningsanmälan</t>
        </is>
      </c>
      <c r="C648" t="inlineStr">
        <is>
          <t>Föryngringsavverkning</t>
        </is>
      </c>
      <c r="D648" s="1" t="n">
        <v>46068</v>
      </c>
      <c r="E648" s="1" t="n">
        <v>46289</v>
      </c>
      <c r="F648" t="inlineStr">
        <is>
          <t>DALARNAS LÄN</t>
        </is>
      </c>
      <c r="G648" t="inlineStr">
        <is>
          <t>RÄTTVIK</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12592-2026</t>
        </is>
      </c>
      <c r="B649" t="inlineStr">
        <is>
          <t>avverkningsanmälan</t>
        </is>
      </c>
      <c r="C649" t="inlineStr">
        <is>
          <t>Föryngringsavverkning</t>
        </is>
      </c>
      <c r="D649" s="1" t="n">
        <v>46090</v>
      </c>
      <c r="E649" s="1" t="n">
        <v>46289</v>
      </c>
      <c r="F649" t="inlineStr">
        <is>
          <t>DALARNAS LÄN</t>
        </is>
      </c>
      <c r="G649" t="inlineStr">
        <is>
          <t>RÄTTVIK</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1069-2024</t>
        </is>
      </c>
      <c r="B650" t="inlineStr">
        <is>
          <t>avverkningsanmälan</t>
        </is>
      </c>
      <c r="C650" t="inlineStr">
        <is>
          <t>Föryngringsavverkning</t>
        </is>
      </c>
      <c r="D650" s="1" t="n">
        <v>45302</v>
      </c>
      <c r="E650" s="1" t="n">
        <v>46289</v>
      </c>
      <c r="F650" t="inlineStr">
        <is>
          <t>DALARNAS LÄN</t>
        </is>
      </c>
      <c r="G650" t="inlineStr">
        <is>
          <t>RÄTTVIK</t>
        </is>
      </c>
      <c r="I650" t="n">
        <v>14.3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12591-2026</t>
        </is>
      </c>
      <c r="B651" t="inlineStr">
        <is>
          <t>avverkningsanmälan</t>
        </is>
      </c>
      <c r="C651" t="inlineStr">
        <is>
          <t>Föryngringsavverkning</t>
        </is>
      </c>
      <c r="D651" s="1" t="n">
        <v>46090</v>
      </c>
      <c r="E651" s="1" t="n">
        <v>46289</v>
      </c>
      <c r="F651" t="inlineStr">
        <is>
          <t>DALARNAS LÄN</t>
        </is>
      </c>
      <c r="G651" t="inlineStr">
        <is>
          <t>RÄTTVIK</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48634-2023</t>
        </is>
      </c>
      <c r="B652" t="inlineStr">
        <is>
          <t>avverkningsanmälan</t>
        </is>
      </c>
      <c r="C652" t="inlineStr">
        <is>
          <t>Föryngringsavverkning</t>
        </is>
      </c>
      <c r="D652" s="1" t="n">
        <v>45202</v>
      </c>
      <c r="E652" s="1" t="n">
        <v>46289</v>
      </c>
      <c r="F652" t="inlineStr">
        <is>
          <t>DALARNAS LÄN</t>
        </is>
      </c>
      <c r="G652" t="inlineStr">
        <is>
          <t>RÄTTVIK</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12758-2025</t>
        </is>
      </c>
      <c r="B653" t="inlineStr">
        <is>
          <t>avverkningsanmälan</t>
        </is>
      </c>
      <c r="C653" t="inlineStr">
        <is>
          <t>Föryngringsavverkning</t>
        </is>
      </c>
      <c r="D653" s="1" t="n">
        <v>45733</v>
      </c>
      <c r="E653" s="1" t="n">
        <v>46289</v>
      </c>
      <c r="F653" t="inlineStr">
        <is>
          <t>DALARNAS LÄN</t>
        </is>
      </c>
      <c r="G653" t="inlineStr">
        <is>
          <t>RÄTTVIK</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37125-2024</t>
        </is>
      </c>
      <c r="B654" t="inlineStr">
        <is>
          <t>avverkningsanmälan</t>
        </is>
      </c>
      <c r="C654" t="inlineStr">
        <is>
          <t>Föryngringsavverkning</t>
        </is>
      </c>
      <c r="D654" s="1" t="n">
        <v>45539</v>
      </c>
      <c r="E654" s="1" t="n">
        <v>46289</v>
      </c>
      <c r="F654" t="inlineStr">
        <is>
          <t>DALARNAS LÄN</t>
        </is>
      </c>
      <c r="G654" t="inlineStr">
        <is>
          <t>RÄTTVIK</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9322-2026</t>
        </is>
      </c>
      <c r="B655" t="inlineStr">
        <is>
          <t>avverkningsanmälan</t>
        </is>
      </c>
      <c r="C655" t="inlineStr">
        <is>
          <t>Föryngringsavverkning</t>
        </is>
      </c>
      <c r="D655" s="1" t="n">
        <v>46070</v>
      </c>
      <c r="E655" s="1" t="n">
        <v>46289</v>
      </c>
      <c r="F655" t="inlineStr">
        <is>
          <t>DALARNAS LÄN</t>
        </is>
      </c>
      <c r="G655" t="inlineStr">
        <is>
          <t>RÄTTVIK</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651-2023</t>
        </is>
      </c>
      <c r="B656" t="inlineStr">
        <is>
          <t>avverkningsanmälan</t>
        </is>
      </c>
      <c r="C656" t="inlineStr">
        <is>
          <t>Föryngringsavverkning</t>
        </is>
      </c>
      <c r="D656" s="1" t="n">
        <v>44930</v>
      </c>
      <c r="E656" s="1" t="n">
        <v>46289</v>
      </c>
      <c r="F656" t="inlineStr">
        <is>
          <t>DALARNAS LÄN</t>
        </is>
      </c>
      <c r="G656" t="inlineStr">
        <is>
          <t>RÄTTVIK</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34595-2025</t>
        </is>
      </c>
      <c r="B657" t="inlineStr">
        <is>
          <t>avverkningsanmälan</t>
        </is>
      </c>
      <c r="C657" t="inlineStr">
        <is>
          <t>Föryngringsavverkning</t>
        </is>
      </c>
      <c r="D657" s="1" t="n">
        <v>45847</v>
      </c>
      <c r="E657" s="1" t="n">
        <v>46289</v>
      </c>
      <c r="F657" t="inlineStr">
        <is>
          <t>DALARNAS LÄN</t>
        </is>
      </c>
      <c r="G657" t="inlineStr">
        <is>
          <t>RÄTTVIK</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12761-2025</t>
        </is>
      </c>
      <c r="B658" t="inlineStr">
        <is>
          <t>avverkningsanmälan</t>
        </is>
      </c>
      <c r="C658" t="inlineStr">
        <is>
          <t>Föryngringsavverkning</t>
        </is>
      </c>
      <c r="D658" s="1" t="n">
        <v>45733</v>
      </c>
      <c r="E658" s="1" t="n">
        <v>46289</v>
      </c>
      <c r="F658" t="inlineStr">
        <is>
          <t>DALARNAS LÄN</t>
        </is>
      </c>
      <c r="G658" t="inlineStr">
        <is>
          <t>RÄTTVIK</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61338-2023</t>
        </is>
      </c>
      <c r="B659" t="inlineStr">
        <is>
          <t>avverkningsanmälan</t>
        </is>
      </c>
      <c r="C659" t="inlineStr">
        <is>
          <t>Föryngringsavverkning</t>
        </is>
      </c>
      <c r="D659" s="1" t="n">
        <v>45264</v>
      </c>
      <c r="E659" s="1" t="n">
        <v>46289</v>
      </c>
      <c r="F659" t="inlineStr">
        <is>
          <t>DALARNAS LÄN</t>
        </is>
      </c>
      <c r="G659" t="inlineStr">
        <is>
          <t>RÄTTVIK</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34908-2025</t>
        </is>
      </c>
      <c r="B660" t="inlineStr">
        <is>
          <t>avverkningsanmälan</t>
        </is>
      </c>
      <c r="C660" t="inlineStr">
        <is>
          <t>Föryngringsavverkning</t>
        </is>
      </c>
      <c r="D660" s="1" t="n">
        <v>45849</v>
      </c>
      <c r="E660" s="1" t="n">
        <v>46289</v>
      </c>
      <c r="F660" t="inlineStr">
        <is>
          <t>DALARNAS LÄN</t>
        </is>
      </c>
      <c r="G660" t="inlineStr">
        <is>
          <t>RÄTTVIK</t>
        </is>
      </c>
      <c r="H660" t="inlineStr">
        <is>
          <t>Sveaskog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13844-2026</t>
        </is>
      </c>
      <c r="B661" t="inlineStr">
        <is>
          <t>avverkningsanmälan</t>
        </is>
      </c>
      <c r="C661" t="inlineStr">
        <is>
          <t>Föryngringsavverkning</t>
        </is>
      </c>
      <c r="D661" s="1" t="n">
        <v>46098</v>
      </c>
      <c r="E661" s="1" t="n">
        <v>46289</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14029-2026</t>
        </is>
      </c>
      <c r="B662" t="inlineStr">
        <is>
          <t>avverkningsanmälan</t>
        </is>
      </c>
      <c r="C662" t="inlineStr">
        <is>
          <t>Föryngringsavverkning</t>
        </is>
      </c>
      <c r="D662" s="1" t="n">
        <v>46098</v>
      </c>
      <c r="E662" s="1" t="n">
        <v>46289</v>
      </c>
      <c r="F662" t="inlineStr">
        <is>
          <t>DALARNAS LÄN</t>
        </is>
      </c>
      <c r="G662" t="inlineStr">
        <is>
          <t>RÄTTVIK</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14060-2026</t>
        </is>
      </c>
      <c r="B663" t="inlineStr">
        <is>
          <t>avverkningsanmälan</t>
        </is>
      </c>
      <c r="C663" t="inlineStr">
        <is>
          <t>Föryngringsavverkning</t>
        </is>
      </c>
      <c r="D663" s="1" t="n">
        <v>46099</v>
      </c>
      <c r="E663" s="1" t="n">
        <v>46289</v>
      </c>
      <c r="F663" t="inlineStr">
        <is>
          <t>DALARNAS LÄN</t>
        </is>
      </c>
      <c r="G663" t="inlineStr">
        <is>
          <t>RÄTTVIK</t>
        </is>
      </c>
      <c r="H663" t="inlineStr">
        <is>
          <t>Sveaskog</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34810-2025</t>
        </is>
      </c>
      <c r="B664" t="inlineStr">
        <is>
          <t>avverkningsanmälan</t>
        </is>
      </c>
      <c r="C664" t="inlineStr">
        <is>
          <t>Föryngringsavverkning</t>
        </is>
      </c>
      <c r="D664" s="1" t="n">
        <v>45849</v>
      </c>
      <c r="E664" s="1" t="n">
        <v>46289</v>
      </c>
      <c r="F664" t="inlineStr">
        <is>
          <t>DALARNAS LÄN</t>
        </is>
      </c>
      <c r="G664" t="inlineStr">
        <is>
          <t>RÄTTVIK</t>
        </is>
      </c>
      <c r="H664" t="inlineStr">
        <is>
          <t>Bergvik skog väst AB</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14317-2026</t>
        </is>
      </c>
      <c r="B665" t="inlineStr">
        <is>
          <t>avverkningsanmälan</t>
        </is>
      </c>
      <c r="C665" t="inlineStr">
        <is>
          <t>Föryngringsavverkning</t>
        </is>
      </c>
      <c r="D665" s="1" t="n">
        <v>46099</v>
      </c>
      <c r="E665" s="1" t="n">
        <v>46289</v>
      </c>
      <c r="F665" t="inlineStr">
        <is>
          <t>DALARNAS LÄN</t>
        </is>
      </c>
      <c r="G665" t="inlineStr">
        <is>
          <t>RÄTTVIK</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13692-2026</t>
        </is>
      </c>
      <c r="B666" t="inlineStr">
        <is>
          <t>avverkningsanmälan</t>
        </is>
      </c>
      <c r="C666" t="inlineStr">
        <is>
          <t>Föryngringsavverkning</t>
        </is>
      </c>
      <c r="D666" s="1" t="n">
        <v>46094</v>
      </c>
      <c r="E666" s="1" t="n">
        <v>46289</v>
      </c>
      <c r="F666" t="inlineStr">
        <is>
          <t>DALARNAS LÄN</t>
        </is>
      </c>
      <c r="G666" t="inlineStr">
        <is>
          <t>RÄTTVIK</t>
        </is>
      </c>
      <c r="I666" t="n">
        <v>10.1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14496-2026</t>
        </is>
      </c>
      <c r="B667" t="inlineStr">
        <is>
          <t>avverkningsanmälan</t>
        </is>
      </c>
      <c r="C667" t="inlineStr">
        <is>
          <t>Föryngringsavverkning</t>
        </is>
      </c>
      <c r="D667" s="1" t="n">
        <v>46100</v>
      </c>
      <c r="E667" s="1" t="n">
        <v>46289</v>
      </c>
      <c r="F667" t="inlineStr">
        <is>
          <t>DALARNAS LÄN</t>
        </is>
      </c>
      <c r="G667" t="inlineStr">
        <is>
          <t>RÄTTVIK</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60165-2023</t>
        </is>
      </c>
      <c r="B668" t="inlineStr">
        <is>
          <t>avverkningsanmälan</t>
        </is>
      </c>
      <c r="C668" t="inlineStr">
        <is>
          <t>Föryngringsavverkning</t>
        </is>
      </c>
      <c r="D668" s="1" t="n">
        <v>45258</v>
      </c>
      <c r="E668" s="1" t="n">
        <v>46289</v>
      </c>
      <c r="F668" t="inlineStr">
        <is>
          <t>DALARNAS LÄN</t>
        </is>
      </c>
      <c r="G668" t="inlineStr">
        <is>
          <t>RÄTTVIK</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35247-2025</t>
        </is>
      </c>
      <c r="B669" t="inlineStr">
        <is>
          <t>avverkningsanmälan</t>
        </is>
      </c>
      <c r="C669" t="inlineStr">
        <is>
          <t>Föryngringsavverkning</t>
        </is>
      </c>
      <c r="D669" s="1" t="n">
        <v>45853</v>
      </c>
      <c r="E669" s="1" t="n">
        <v>46289</v>
      </c>
      <c r="F669" t="inlineStr">
        <is>
          <t>DALARNAS LÄN</t>
        </is>
      </c>
      <c r="G669" t="inlineStr">
        <is>
          <t>RÄTTVIK</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61814-2023</t>
        </is>
      </c>
      <c r="B670" t="inlineStr">
        <is>
          <t>avverkningsanmälan</t>
        </is>
      </c>
      <c r="C670" t="inlineStr">
        <is>
          <t>Föryngringsavverkning</t>
        </is>
      </c>
      <c r="D670" s="1" t="n">
        <v>45266</v>
      </c>
      <c r="E670" s="1" t="n">
        <v>46289</v>
      </c>
      <c r="F670" t="inlineStr">
        <is>
          <t>DALARNAS LÄN</t>
        </is>
      </c>
      <c r="G670" t="inlineStr">
        <is>
          <t>RÄTTVIK</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53304-2023</t>
        </is>
      </c>
      <c r="B671" t="inlineStr">
        <is>
          <t>avverkningsanmälan</t>
        </is>
      </c>
      <c r="C671" t="inlineStr">
        <is>
          <t>Föryngringsavverkning</t>
        </is>
      </c>
      <c r="D671" s="1" t="n">
        <v>45229</v>
      </c>
      <c r="E671" s="1" t="n">
        <v>46289</v>
      </c>
      <c r="F671" t="inlineStr">
        <is>
          <t>DALARNAS LÄN</t>
        </is>
      </c>
      <c r="G671" t="inlineStr">
        <is>
          <t>RÄTTVIK</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53471-2023</t>
        </is>
      </c>
      <c r="B672" t="inlineStr">
        <is>
          <t>avverkningsanmälan</t>
        </is>
      </c>
      <c r="C672" t="inlineStr">
        <is>
          <t>Föryngringsavverkning</t>
        </is>
      </c>
      <c r="D672" s="1" t="n">
        <v>45230</v>
      </c>
      <c r="E672" s="1" t="n">
        <v>46289</v>
      </c>
      <c r="F672" t="inlineStr">
        <is>
          <t>DALARNAS LÄN</t>
        </is>
      </c>
      <c r="G672" t="inlineStr">
        <is>
          <t>RÄTTVIK</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15318-2026</t>
        </is>
      </c>
      <c r="B673" t="inlineStr">
        <is>
          <t>avverkningsanmälan</t>
        </is>
      </c>
      <c r="C673" t="inlineStr">
        <is>
          <t>Föryngringsavverkning</t>
        </is>
      </c>
      <c r="D673" s="1" t="n">
        <v>46105</v>
      </c>
      <c r="E673" s="1" t="n">
        <v>46289</v>
      </c>
      <c r="F673" t="inlineStr">
        <is>
          <t>DALARNAS LÄN</t>
        </is>
      </c>
      <c r="G673" t="inlineStr">
        <is>
          <t>RÄTTVIK</t>
        </is>
      </c>
      <c r="H673" t="inlineStr">
        <is>
          <t>Allmännings- och besparingsskogar</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14940-2026</t>
        </is>
      </c>
      <c r="B674" t="inlineStr">
        <is>
          <t>avverkningsanmälan</t>
        </is>
      </c>
      <c r="C674" t="inlineStr">
        <is>
          <t>Föryngringsavverkning</t>
        </is>
      </c>
      <c r="D674" s="1" t="n">
        <v>46104</v>
      </c>
      <c r="E674" s="1" t="n">
        <v>46289</v>
      </c>
      <c r="F674" t="inlineStr">
        <is>
          <t>DALARNAS LÄN</t>
        </is>
      </c>
      <c r="G674" t="inlineStr">
        <is>
          <t>RÄTTVIK</t>
        </is>
      </c>
      <c r="H674" t="inlineStr">
        <is>
          <t>Bergvik skog väst AB</t>
        </is>
      </c>
      <c r="I674" t="n">
        <v>32.8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20617-2025</t>
        </is>
      </c>
      <c r="B675" t="inlineStr">
        <is>
          <t>avverkningsanmälan</t>
        </is>
      </c>
      <c r="C675" t="inlineStr">
        <is>
          <t>Föryngringsavverkning</t>
        </is>
      </c>
      <c r="D675" s="1" t="n">
        <v>45776</v>
      </c>
      <c r="E675" s="1" t="n">
        <v>46289</v>
      </c>
      <c r="F675" t="inlineStr">
        <is>
          <t>DALARNAS LÄN</t>
        </is>
      </c>
      <c r="G675" t="inlineStr">
        <is>
          <t>RÄTTVIK</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15088-2026</t>
        </is>
      </c>
      <c r="B676" t="inlineStr">
        <is>
          <t>avverkningsanmälan</t>
        </is>
      </c>
      <c r="C676" t="inlineStr">
        <is>
          <t>Föryngringsavverkning</t>
        </is>
      </c>
      <c r="D676" s="1" t="n">
        <v>46105</v>
      </c>
      <c r="E676" s="1" t="n">
        <v>46289</v>
      </c>
      <c r="F676" t="inlineStr">
        <is>
          <t>DALARNAS LÄN</t>
        </is>
      </c>
      <c r="G676" t="inlineStr">
        <is>
          <t>RÄTTVIK</t>
        </is>
      </c>
      <c r="H676" t="inlineStr">
        <is>
          <t>Allmännings- och besparingsskogar</t>
        </is>
      </c>
      <c r="I676" t="n">
        <v>19.4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15090-2026</t>
        </is>
      </c>
      <c r="B677" t="inlineStr">
        <is>
          <t>avverkningsanmälan</t>
        </is>
      </c>
      <c r="C677" t="inlineStr">
        <is>
          <t>Föryngringsavverkning</t>
        </is>
      </c>
      <c r="D677" s="1" t="n">
        <v>46105</v>
      </c>
      <c r="E677" s="1" t="n">
        <v>46289</v>
      </c>
      <c r="F677" t="inlineStr">
        <is>
          <t>DALARNAS LÄN</t>
        </is>
      </c>
      <c r="G677" t="inlineStr">
        <is>
          <t>RÄTTVIK</t>
        </is>
      </c>
      <c r="H677" t="inlineStr">
        <is>
          <t>Allmännings- och besparingsskogar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57205-2023</t>
        </is>
      </c>
      <c r="B678" t="inlineStr">
        <is>
          <t>avverkningsanmälan</t>
        </is>
      </c>
      <c r="C678" t="inlineStr">
        <is>
          <t>Föryngringsavverkning</t>
        </is>
      </c>
      <c r="D678" s="1" t="n">
        <v>45245</v>
      </c>
      <c r="E678" s="1" t="n">
        <v>46289</v>
      </c>
      <c r="F678" t="inlineStr">
        <is>
          <t>DALARNAS LÄN</t>
        </is>
      </c>
      <c r="G678" t="inlineStr">
        <is>
          <t>RÄTTVIK</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15650-2026</t>
        </is>
      </c>
      <c r="B679" t="inlineStr">
        <is>
          <t>avverkningsanmälan</t>
        </is>
      </c>
      <c r="C679" t="inlineStr">
        <is>
          <t>Föryngringsavverkning</t>
        </is>
      </c>
      <c r="D679" s="1" t="n">
        <v>46106</v>
      </c>
      <c r="E679" s="1" t="n">
        <v>46289</v>
      </c>
      <c r="F679" t="inlineStr">
        <is>
          <t>DALARNAS LÄN</t>
        </is>
      </c>
      <c r="G679" t="inlineStr">
        <is>
          <t>RÄTTVIK</t>
        </is>
      </c>
      <c r="H679" t="inlineStr">
        <is>
          <t>Sveaskog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57185-2023</t>
        </is>
      </c>
      <c r="B680" t="inlineStr">
        <is>
          <t>avverkningsanmälan</t>
        </is>
      </c>
      <c r="C680" t="inlineStr">
        <is>
          <t>Föryngringsavverkning</t>
        </is>
      </c>
      <c r="D680" s="1" t="n">
        <v>45245</v>
      </c>
      <c r="E680" s="1" t="n">
        <v>46289</v>
      </c>
      <c r="F680" t="inlineStr">
        <is>
          <t>DALARNAS LÄN</t>
        </is>
      </c>
      <c r="G680" t="inlineStr">
        <is>
          <t>RÄTTVIK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5622-2023</t>
        </is>
      </c>
      <c r="B681" t="inlineStr">
        <is>
          <t>avverkningsanmälan</t>
        </is>
      </c>
      <c r="C681" t="inlineStr">
        <is>
          <t>Föryngringsavverkning</t>
        </is>
      </c>
      <c r="D681" s="1" t="n">
        <v>44960</v>
      </c>
      <c r="E681" s="1" t="n">
        <v>46289</v>
      </c>
      <c r="F681" t="inlineStr">
        <is>
          <t>DALARNAS LÄN</t>
        </is>
      </c>
      <c r="G681" t="inlineStr">
        <is>
          <t>RÄTTVIK</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55379-2022</t>
        </is>
      </c>
      <c r="B682" t="inlineStr">
        <is>
          <t>avverkningsanmälan</t>
        </is>
      </c>
      <c r="C682" t="inlineStr">
        <is>
          <t>Föryngringsavverkning</t>
        </is>
      </c>
      <c r="D682" s="1" t="n">
        <v>44882</v>
      </c>
      <c r="E682" s="1" t="n">
        <v>46289</v>
      </c>
      <c r="F682" t="inlineStr">
        <is>
          <t>DALARNAS LÄN</t>
        </is>
      </c>
      <c r="G682" t="inlineStr">
        <is>
          <t>RÄTTVIK</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35424-2025</t>
        </is>
      </c>
      <c r="B683" t="inlineStr">
        <is>
          <t>avverkningsanmälan</t>
        </is>
      </c>
      <c r="C683" t="inlineStr">
        <is>
          <t>Föryngringsavverkning</t>
        </is>
      </c>
      <c r="D683" s="1" t="n">
        <v>45855</v>
      </c>
      <c r="E683" s="1" t="n">
        <v>46289</v>
      </c>
      <c r="F683" t="inlineStr">
        <is>
          <t>DALARNAS LÄN</t>
        </is>
      </c>
      <c r="G683" t="inlineStr">
        <is>
          <t>RÄTTVIK</t>
        </is>
      </c>
      <c r="H683" t="inlineStr">
        <is>
          <t>Bergvik skog väst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5568-2026</t>
        </is>
      </c>
      <c r="B684" t="inlineStr">
        <is>
          <t>avverkningsanmälan</t>
        </is>
      </c>
      <c r="C684" t="inlineStr">
        <is>
          <t>Föryngringsavverkning</t>
        </is>
      </c>
      <c r="D684" s="1" t="n">
        <v>46050</v>
      </c>
      <c r="E684" s="1" t="n">
        <v>46289</v>
      </c>
      <c r="F684" t="inlineStr">
        <is>
          <t>DALARNAS LÄN</t>
        </is>
      </c>
      <c r="G684" t="inlineStr">
        <is>
          <t>RÄTTVIK</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17657-2022</t>
        </is>
      </c>
      <c r="B685" t="inlineStr">
        <is>
          <t>avverkningsanmälan</t>
        </is>
      </c>
      <c r="C685" t="inlineStr">
        <is>
          <t>Föryngringsavverkning</t>
        </is>
      </c>
      <c r="D685" s="1" t="n">
        <v>44680</v>
      </c>
      <c r="E685" s="1" t="n">
        <v>46289</v>
      </c>
      <c r="F685" t="inlineStr">
        <is>
          <t>DALARNAS LÄN</t>
        </is>
      </c>
      <c r="G685" t="inlineStr">
        <is>
          <t>RÄTTVIK</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15589-2026</t>
        </is>
      </c>
      <c r="B686" t="inlineStr">
        <is>
          <t>avverkningsanmälan</t>
        </is>
      </c>
      <c r="C686" t="inlineStr">
        <is>
          <t>Föryngringsavverkning</t>
        </is>
      </c>
      <c r="D686" s="1" t="n">
        <v>46106</v>
      </c>
      <c r="E686" s="1" t="n">
        <v>46289</v>
      </c>
      <c r="F686" t="inlineStr">
        <is>
          <t>DALARNAS LÄN</t>
        </is>
      </c>
      <c r="G686" t="inlineStr">
        <is>
          <t>RÄTTVIK</t>
        </is>
      </c>
      <c r="H686" t="inlineStr">
        <is>
          <t>Bergvik skog väst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15752-2026</t>
        </is>
      </c>
      <c r="B687" t="inlineStr">
        <is>
          <t>avverkningsanmälan</t>
        </is>
      </c>
      <c r="C687" t="inlineStr">
        <is>
          <t>Föryngringsavverkning</t>
        </is>
      </c>
      <c r="D687" s="1" t="n">
        <v>46107</v>
      </c>
      <c r="E687" s="1" t="n">
        <v>46289</v>
      </c>
      <c r="F687" t="inlineStr">
        <is>
          <t>DALARNAS LÄN</t>
        </is>
      </c>
      <c r="G687" t="inlineStr">
        <is>
          <t>RÄTTVIK</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15500-2026</t>
        </is>
      </c>
      <c r="B688" t="inlineStr">
        <is>
          <t>avverkningsanmälan</t>
        </is>
      </c>
      <c r="C688" t="inlineStr">
        <is>
          <t>Föryngringsavverkning</t>
        </is>
      </c>
      <c r="D688" s="1" t="n">
        <v>46106</v>
      </c>
      <c r="E688" s="1" t="n">
        <v>46289</v>
      </c>
      <c r="F688" t="inlineStr">
        <is>
          <t>DALARNAS LÄN</t>
        </is>
      </c>
      <c r="G688" t="inlineStr">
        <is>
          <t>RÄTTVIK</t>
        </is>
      </c>
      <c r="H688" t="inlineStr">
        <is>
          <t>Bergvik skog väst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4197-2024</t>
        </is>
      </c>
      <c r="B689" t="inlineStr">
        <is>
          <t>avverkningsanmälan</t>
        </is>
      </c>
      <c r="C689" t="inlineStr">
        <is>
          <t>Avverkning för annat ändamål</t>
        </is>
      </c>
      <c r="D689" s="1" t="n">
        <v>45324</v>
      </c>
      <c r="E689" s="1" t="n">
        <v>46289</v>
      </c>
      <c r="F689" t="inlineStr">
        <is>
          <t>DALARNAS LÄN</t>
        </is>
      </c>
      <c r="G689" t="inlineStr">
        <is>
          <t>RÄTTVIK</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35900-2025</t>
        </is>
      </c>
      <c r="B690" t="inlineStr">
        <is>
          <t>avverkningsanmälan</t>
        </is>
      </c>
      <c r="C690" t="inlineStr">
        <is>
          <t>Föryngringsavverkning</t>
        </is>
      </c>
      <c r="D690" s="1" t="n">
        <v>45862</v>
      </c>
      <c r="E690" s="1" t="n">
        <v>46289</v>
      </c>
      <c r="F690" t="inlineStr">
        <is>
          <t>DALARNAS LÄN</t>
        </is>
      </c>
      <c r="G690" t="inlineStr">
        <is>
          <t>RÄTTVIK</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20573-2022</t>
        </is>
      </c>
      <c r="B691" t="inlineStr">
        <is>
          <t>avverkningsanmälan</t>
        </is>
      </c>
      <c r="C691" t="inlineStr">
        <is>
          <t>Föryngringsavverkning</t>
        </is>
      </c>
      <c r="D691" s="1" t="n">
        <v>44700</v>
      </c>
      <c r="E691" s="1" t="n">
        <v>46289</v>
      </c>
      <c r="F691" t="inlineStr">
        <is>
          <t>DALARNAS LÄN</t>
        </is>
      </c>
      <c r="G691" t="inlineStr">
        <is>
          <t>RÄTTVIK</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18064-2022</t>
        </is>
      </c>
      <c r="B692" t="inlineStr">
        <is>
          <t>avverkningsanmälan</t>
        </is>
      </c>
      <c r="C692" t="inlineStr">
        <is>
          <t>Föryngringsavverkning</t>
        </is>
      </c>
      <c r="D692" s="1" t="n">
        <v>44684</v>
      </c>
      <c r="E692" s="1" t="n">
        <v>46289</v>
      </c>
      <c r="F692" t="inlineStr">
        <is>
          <t>DALARNAS LÄN</t>
        </is>
      </c>
      <c r="G692" t="inlineStr">
        <is>
          <t>RÄTTVIK</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27921-2023</t>
        </is>
      </c>
      <c r="B693" t="inlineStr">
        <is>
          <t>avverkningsanmälan</t>
        </is>
      </c>
      <c r="C693" t="inlineStr">
        <is>
          <t>Föryngringsavverkning</t>
        </is>
      </c>
      <c r="D693" s="1" t="n">
        <v>45098</v>
      </c>
      <c r="E693" s="1" t="n">
        <v>46289</v>
      </c>
      <c r="F693" t="inlineStr">
        <is>
          <t>DALARNAS LÄN</t>
        </is>
      </c>
      <c r="G693" t="inlineStr">
        <is>
          <t>RÄTTVIK</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13032-2023</t>
        </is>
      </c>
      <c r="B694" t="inlineStr">
        <is>
          <t>avverkningsanmälan</t>
        </is>
      </c>
      <c r="C694" t="inlineStr">
        <is>
          <t>Föryngringsavverkning</t>
        </is>
      </c>
      <c r="D694" s="1" t="n">
        <v>45002</v>
      </c>
      <c r="E694" s="1" t="n">
        <v>46289</v>
      </c>
      <c r="F694" t="inlineStr">
        <is>
          <t>DALARNAS LÄN</t>
        </is>
      </c>
      <c r="G694" t="inlineStr">
        <is>
          <t>RÄTTVIK</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35918-2025</t>
        </is>
      </c>
      <c r="B695" t="inlineStr">
        <is>
          <t>avverkningsanmälan</t>
        </is>
      </c>
      <c r="C695" t="inlineStr">
        <is>
          <t>Föryngringsavverkning</t>
        </is>
      </c>
      <c r="D695" s="1" t="n">
        <v>45862</v>
      </c>
      <c r="E695" s="1" t="n">
        <v>46289</v>
      </c>
      <c r="F695" t="inlineStr">
        <is>
          <t>DALARNAS LÄN</t>
        </is>
      </c>
      <c r="G695" t="inlineStr">
        <is>
          <t>RÄTTVIK</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28013-2022</t>
        </is>
      </c>
      <c r="B696" t="inlineStr">
        <is>
          <t>avverkningsanmälan</t>
        </is>
      </c>
      <c r="C696" t="inlineStr">
        <is>
          <t>Föryngringsavverkning</t>
        </is>
      </c>
      <c r="D696" s="1" t="n">
        <v>44746</v>
      </c>
      <c r="E696" s="1" t="n">
        <v>46289</v>
      </c>
      <c r="F696" t="inlineStr">
        <is>
          <t>DALARNAS LÄN</t>
        </is>
      </c>
      <c r="G696" t="inlineStr">
        <is>
          <t>RÄTTVIK</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16649-2026</t>
        </is>
      </c>
      <c r="B697" t="inlineStr">
        <is>
          <t>avverkningsanmälan</t>
        </is>
      </c>
      <c r="C697" t="inlineStr">
        <is>
          <t>Föryngringsavverkning</t>
        </is>
      </c>
      <c r="D697" s="1" t="n">
        <v>46112</v>
      </c>
      <c r="E697" s="1" t="n">
        <v>46289</v>
      </c>
      <c r="F697" t="inlineStr">
        <is>
          <t>DALARNAS LÄN</t>
        </is>
      </c>
      <c r="G697" t="inlineStr">
        <is>
          <t>RÄTTVIK</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15661-2023</t>
        </is>
      </c>
      <c r="B698" t="inlineStr">
        <is>
          <t>avverkningsanmälan</t>
        </is>
      </c>
      <c r="C698" t="inlineStr">
        <is>
          <t>Föryngringsavverkning</t>
        </is>
      </c>
      <c r="D698" s="1" t="n">
        <v>45019</v>
      </c>
      <c r="E698" s="1" t="n">
        <v>46289</v>
      </c>
      <c r="F698" t="inlineStr">
        <is>
          <t>DALARNAS LÄN</t>
        </is>
      </c>
      <c r="G698" t="inlineStr">
        <is>
          <t>RÄTTVIK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15668-2023</t>
        </is>
      </c>
      <c r="B699" t="inlineStr">
        <is>
          <t>avverkningsanmälan</t>
        </is>
      </c>
      <c r="C699" t="inlineStr">
        <is>
          <t>Föryngringsavverkning</t>
        </is>
      </c>
      <c r="D699" s="1" t="n">
        <v>45019</v>
      </c>
      <c r="E699" s="1" t="n">
        <v>46289</v>
      </c>
      <c r="F699" t="inlineStr">
        <is>
          <t>DALARNAS LÄN</t>
        </is>
      </c>
      <c r="G699" t="inlineStr">
        <is>
          <t>RÄTTVIK</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46707-2023</t>
        </is>
      </c>
      <c r="B700" t="inlineStr">
        <is>
          <t>avverkningsanmälan</t>
        </is>
      </c>
      <c r="C700" t="inlineStr">
        <is>
          <t>Föryngringsavverkning</t>
        </is>
      </c>
      <c r="D700" s="1" t="n">
        <v>45194</v>
      </c>
      <c r="E700" s="1" t="n">
        <v>46289</v>
      </c>
      <c r="F700" t="inlineStr">
        <is>
          <t>DALARNAS LÄN</t>
        </is>
      </c>
      <c r="G700" t="inlineStr">
        <is>
          <t>RÄTTVIK</t>
        </is>
      </c>
      <c r="H700" t="inlineStr">
        <is>
          <t>Allmännings- och besparingsskogar</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1070-2025</t>
        </is>
      </c>
      <c r="B701" t="inlineStr">
        <is>
          <t>avverkningsanmälan</t>
        </is>
      </c>
      <c r="C701" t="inlineStr">
        <is>
          <t>Föryngringsavverkning</t>
        </is>
      </c>
      <c r="D701" s="1" t="n">
        <v>45666</v>
      </c>
      <c r="E701" s="1" t="n">
        <v>46289</v>
      </c>
      <c r="F701" t="inlineStr">
        <is>
          <t>DALARNAS LÄN</t>
        </is>
      </c>
      <c r="G701" t="inlineStr">
        <is>
          <t>RÄTTVIK</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492-2023</t>
        </is>
      </c>
      <c r="B702" t="inlineStr">
        <is>
          <t>avverkningsanmälan</t>
        </is>
      </c>
      <c r="C702" t="inlineStr">
        <is>
          <t>Föryngringsavverkning</t>
        </is>
      </c>
      <c r="D702" s="1" t="n">
        <v>44930</v>
      </c>
      <c r="E702" s="1" t="n">
        <v>46289</v>
      </c>
      <c r="F702" t="inlineStr">
        <is>
          <t>DALARNAS LÄN</t>
        </is>
      </c>
      <c r="G702" t="inlineStr">
        <is>
          <t>RÄTTVIK</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493-2023</t>
        </is>
      </c>
      <c r="B703" t="inlineStr">
        <is>
          <t>avverkningsanmälan</t>
        </is>
      </c>
      <c r="C703" t="inlineStr">
        <is>
          <t>Föryngringsavverkning</t>
        </is>
      </c>
      <c r="D703" s="1" t="n">
        <v>44930</v>
      </c>
      <c r="E703" s="1" t="n">
        <v>46289</v>
      </c>
      <c r="F703" t="inlineStr">
        <is>
          <t>DALARNAS LÄN</t>
        </is>
      </c>
      <c r="G703" t="inlineStr">
        <is>
          <t>RÄTTVIK</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36897-2025</t>
        </is>
      </c>
      <c r="B704" t="inlineStr">
        <is>
          <t>avverkningsanmälan</t>
        </is>
      </c>
      <c r="C704" t="inlineStr">
        <is>
          <t>Föryngringsavverkning</t>
        </is>
      </c>
      <c r="D704" s="1" t="n">
        <v>45874</v>
      </c>
      <c r="E704" s="1" t="n">
        <v>46289</v>
      </c>
      <c r="F704" t="inlineStr">
        <is>
          <t>DALARNAS LÄN</t>
        </is>
      </c>
      <c r="G704" t="inlineStr">
        <is>
          <t>RÄTTVIK</t>
        </is>
      </c>
      <c r="H704" t="inlineStr">
        <is>
          <t>Bergvik skog väst AB</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43671-2022</t>
        </is>
      </c>
      <c r="B705" t="inlineStr">
        <is>
          <t>avverkningsanmälan</t>
        </is>
      </c>
      <c r="C705" t="inlineStr">
        <is>
          <t>Föryngringsavverkning</t>
        </is>
      </c>
      <c r="D705" s="1" t="n">
        <v>44834</v>
      </c>
      <c r="E705" s="1" t="n">
        <v>46289</v>
      </c>
      <c r="F705" t="inlineStr">
        <is>
          <t>DALARNAS LÄN</t>
        </is>
      </c>
      <c r="G705" t="inlineStr">
        <is>
          <t>RÄTTVIK</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61970-2023</t>
        </is>
      </c>
      <c r="B706" t="inlineStr">
        <is>
          <t>avverkningsanmälan</t>
        </is>
      </c>
      <c r="C706" t="inlineStr">
        <is>
          <t>Föryngringsavverkning</t>
        </is>
      </c>
      <c r="D706" s="1" t="n">
        <v>45266</v>
      </c>
      <c r="E706" s="1" t="n">
        <v>46289</v>
      </c>
      <c r="F706" t="inlineStr">
        <is>
          <t>DALARNAS LÄN</t>
        </is>
      </c>
      <c r="G706" t="inlineStr">
        <is>
          <t>RÄTTVIK</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7146-2024</t>
        </is>
      </c>
      <c r="B707" t="inlineStr">
        <is>
          <t>avverkningsanmälan</t>
        </is>
      </c>
      <c r="C707" t="inlineStr">
        <is>
          <t>Föryngringsavverkning</t>
        </is>
      </c>
      <c r="D707" s="1" t="n">
        <v>45344</v>
      </c>
      <c r="E707" s="1" t="n">
        <v>46289</v>
      </c>
      <c r="F707" t="inlineStr">
        <is>
          <t>DALARNAS LÄN</t>
        </is>
      </c>
      <c r="G707" t="inlineStr">
        <is>
          <t>RÄTTVIK</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18001-2026</t>
        </is>
      </c>
      <c r="B708" t="inlineStr">
        <is>
          <t>avverkningsanmälan</t>
        </is>
      </c>
      <c r="C708" t="inlineStr">
        <is>
          <t>Föryngringsavverkning</t>
        </is>
      </c>
      <c r="D708" s="1" t="n">
        <v>46125</v>
      </c>
      <c r="E708" s="1" t="n">
        <v>46289</v>
      </c>
      <c r="F708" t="inlineStr">
        <is>
          <t>DALARNAS LÄN</t>
        </is>
      </c>
      <c r="G708" t="inlineStr">
        <is>
          <t>RÄTTVIK</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57094-2023</t>
        </is>
      </c>
      <c r="B709" t="inlineStr">
        <is>
          <t>avverkningsanmälan</t>
        </is>
      </c>
      <c r="C709" t="inlineStr">
        <is>
          <t>Föryngringsavverkning</t>
        </is>
      </c>
      <c r="D709" s="1" t="n">
        <v>45245</v>
      </c>
      <c r="E709" s="1" t="n">
        <v>46289</v>
      </c>
      <c r="F709" t="inlineStr">
        <is>
          <t>DALARNAS LÄN</t>
        </is>
      </c>
      <c r="G709" t="inlineStr">
        <is>
          <t>RÄTTVIK</t>
        </is>
      </c>
      <c r="H709" t="inlineStr">
        <is>
          <t>Kyrkan</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17735-2026</t>
        </is>
      </c>
      <c r="B710" t="inlineStr">
        <is>
          <t>avverkningsanmälan</t>
        </is>
      </c>
      <c r="C710" t="inlineStr">
        <is>
          <t>Föryngringsavverkning</t>
        </is>
      </c>
      <c r="D710" s="1" t="n">
        <v>46122</v>
      </c>
      <c r="E710" s="1" t="n">
        <v>46289</v>
      </c>
      <c r="F710" t="inlineStr">
        <is>
          <t>DALARNAS LÄN</t>
        </is>
      </c>
      <c r="G710" t="inlineStr">
        <is>
          <t>RÄTTVIK</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17776-2026</t>
        </is>
      </c>
      <c r="B711" t="inlineStr">
        <is>
          <t>avverkningsanmälan</t>
        </is>
      </c>
      <c r="C711" t="inlineStr">
        <is>
          <t>Föryngringsavverkning</t>
        </is>
      </c>
      <c r="D711" s="1" t="n">
        <v>46122</v>
      </c>
      <c r="E711" s="1" t="n">
        <v>46289</v>
      </c>
      <c r="F711" t="inlineStr">
        <is>
          <t>DALARNAS LÄN</t>
        </is>
      </c>
      <c r="G711" t="inlineStr">
        <is>
          <t>RÄTTVIK</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18558-2026</t>
        </is>
      </c>
      <c r="B712" t="inlineStr">
        <is>
          <t>avverkningsanmälan</t>
        </is>
      </c>
      <c r="C712" t="inlineStr">
        <is>
          <t>Föryngringsavverkning</t>
        </is>
      </c>
      <c r="D712" s="1" t="n">
        <v>46127</v>
      </c>
      <c r="E712" s="1" t="n">
        <v>46289</v>
      </c>
      <c r="F712" t="inlineStr">
        <is>
          <t>DALARNAS LÄN</t>
        </is>
      </c>
      <c r="G712" t="inlineStr">
        <is>
          <t>RÄTTVIK</t>
        </is>
      </c>
      <c r="H712" t="inlineStr">
        <is>
          <t>Bergvik skog väst AB</t>
        </is>
      </c>
      <c r="I712" t="n">
        <v>8.199999999999999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36879-2025</t>
        </is>
      </c>
      <c r="B713" t="inlineStr">
        <is>
          <t>avverkningsanmälan</t>
        </is>
      </c>
      <c r="C713" t="inlineStr">
        <is>
          <t>Föryngringsavverkning</t>
        </is>
      </c>
      <c r="D713" s="1" t="n">
        <v>45874</v>
      </c>
      <c r="E713" s="1" t="n">
        <v>46289</v>
      </c>
      <c r="F713" t="inlineStr">
        <is>
          <t>DALARNAS LÄN</t>
        </is>
      </c>
      <c r="G713" t="inlineStr">
        <is>
          <t>RÄTTVIK</t>
        </is>
      </c>
      <c r="H713" t="inlineStr">
        <is>
          <t>Bergvik skog väst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18245-2026</t>
        </is>
      </c>
      <c r="B714" t="inlineStr">
        <is>
          <t>avverkningsanmälan</t>
        </is>
      </c>
      <c r="C714" t="inlineStr">
        <is>
          <t>Föryngringsavverkning</t>
        </is>
      </c>
      <c r="D714" s="1" t="n">
        <v>46126</v>
      </c>
      <c r="E714" s="1" t="n">
        <v>46289</v>
      </c>
      <c r="F714" t="inlineStr">
        <is>
          <t>DALARNAS LÄN</t>
        </is>
      </c>
      <c r="G714" t="inlineStr">
        <is>
          <t>RÄTTVIK</t>
        </is>
      </c>
      <c r="H714" t="inlineStr">
        <is>
          <t>Bergvik skog öst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18389-2026</t>
        </is>
      </c>
      <c r="B715" t="inlineStr">
        <is>
          <t>avverkningsanmälan</t>
        </is>
      </c>
      <c r="C715" t="inlineStr">
        <is>
          <t>Föryngringsavverkning</t>
        </is>
      </c>
      <c r="D715" s="1" t="n">
        <v>46126</v>
      </c>
      <c r="E715" s="1" t="n">
        <v>46289</v>
      </c>
      <c r="F715" t="inlineStr">
        <is>
          <t>DALARNAS LÄN</t>
        </is>
      </c>
      <c r="G715" t="inlineStr">
        <is>
          <t>RÄTTVIK</t>
        </is>
      </c>
      <c r="H715" t="inlineStr">
        <is>
          <t>Bergvik skog öst AB</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48230-2024</t>
        </is>
      </c>
      <c r="B716" t="inlineStr">
        <is>
          <t>avverkningsanmälan</t>
        </is>
      </c>
      <c r="C716" t="inlineStr">
        <is>
          <t>Föryngringsavverkning</t>
        </is>
      </c>
      <c r="D716" s="1" t="n">
        <v>45590</v>
      </c>
      <c r="E716" s="1" t="n">
        <v>46289</v>
      </c>
      <c r="F716" t="inlineStr">
        <is>
          <t>DALARNAS LÄN</t>
        </is>
      </c>
      <c r="G716" t="inlineStr">
        <is>
          <t>RÄTTVIK</t>
        </is>
      </c>
      <c r="H716" t="inlineStr">
        <is>
          <t>Bergvik skog väst AB</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18578-2026</t>
        </is>
      </c>
      <c r="B717" t="inlineStr">
        <is>
          <t>avverkningsanmälan</t>
        </is>
      </c>
      <c r="C717" t="inlineStr">
        <is>
          <t>Föryngringsavverkning</t>
        </is>
      </c>
      <c r="D717" s="1" t="n">
        <v>46127</v>
      </c>
      <c r="E717" s="1" t="n">
        <v>46289</v>
      </c>
      <c r="F717" t="inlineStr">
        <is>
          <t>DALARNAS LÄN</t>
        </is>
      </c>
      <c r="G717" t="inlineStr">
        <is>
          <t>RÄTTVIK</t>
        </is>
      </c>
      <c r="H717" t="inlineStr">
        <is>
          <t>Bergvik skog väst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55022-2024</t>
        </is>
      </c>
      <c r="B718" t="inlineStr">
        <is>
          <t>avverkningsanmälan</t>
        </is>
      </c>
      <c r="C718" t="inlineStr">
        <is>
          <t>Föryngringsavverkning</t>
        </is>
      </c>
      <c r="D718" s="1" t="n">
        <v>45618</v>
      </c>
      <c r="E718" s="1" t="n">
        <v>46289</v>
      </c>
      <c r="F718" t="inlineStr">
        <is>
          <t>DALARNAS LÄN</t>
        </is>
      </c>
      <c r="G718" t="inlineStr">
        <is>
          <t>RÄTTVIK</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37328-2023</t>
        </is>
      </c>
      <c r="B719" t="inlineStr">
        <is>
          <t>avverkningsanmälan</t>
        </is>
      </c>
      <c r="C719" t="inlineStr">
        <is>
          <t>Föryngringsavverkning</t>
        </is>
      </c>
      <c r="D719" s="1" t="n">
        <v>45155</v>
      </c>
      <c r="E719" s="1" t="n">
        <v>46289</v>
      </c>
      <c r="F719" t="inlineStr">
        <is>
          <t>DALARNAS LÄN</t>
        </is>
      </c>
      <c r="G719" t="inlineStr">
        <is>
          <t>RÄTTVIK</t>
        </is>
      </c>
      <c r="I719" t="n">
        <v>10.4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14178-2024</t>
        </is>
      </c>
      <c r="B720" t="inlineStr">
        <is>
          <t>avverkningsanmälan</t>
        </is>
      </c>
      <c r="C720" t="inlineStr">
        <is>
          <t>Avverkning för annat ändamål</t>
        </is>
      </c>
      <c r="D720" s="1" t="n">
        <v>45393</v>
      </c>
      <c r="E720" s="1" t="n">
        <v>46289</v>
      </c>
      <c r="F720" t="inlineStr">
        <is>
          <t>DALARNAS LÄN</t>
        </is>
      </c>
      <c r="G720" t="inlineStr">
        <is>
          <t>RÄTTVIK</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59958-2024</t>
        </is>
      </c>
      <c r="B721" t="inlineStr">
        <is>
          <t>avverkningsanmälan</t>
        </is>
      </c>
      <c r="C721" t="inlineStr">
        <is>
          <t>Föryngringsavverkning</t>
        </is>
      </c>
      <c r="D721" s="1" t="n">
        <v>45642</v>
      </c>
      <c r="E721" s="1" t="n">
        <v>46289</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44015-2023</t>
        </is>
      </c>
      <c r="B722" t="inlineStr">
        <is>
          <t>avverkningsanmälan</t>
        </is>
      </c>
      <c r="C722" t="inlineStr">
        <is>
          <t>Föryngringsavverkning</t>
        </is>
      </c>
      <c r="D722" s="1" t="n">
        <v>45182</v>
      </c>
      <c r="E722" s="1" t="n">
        <v>46289</v>
      </c>
      <c r="F722" t="inlineStr">
        <is>
          <t>DALARNAS LÄN</t>
        </is>
      </c>
      <c r="G722" t="inlineStr">
        <is>
          <t>RÄTTVIK</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7752-2024</t>
        </is>
      </c>
      <c r="B723" t="inlineStr">
        <is>
          <t>avverkningsanmälan</t>
        </is>
      </c>
      <c r="C723" t="inlineStr">
        <is>
          <t>Avverkning för annat ändamål</t>
        </is>
      </c>
      <c r="D723" s="1" t="n">
        <v>45349</v>
      </c>
      <c r="E723" s="1" t="n">
        <v>46289</v>
      </c>
      <c r="F723" t="inlineStr">
        <is>
          <t>DALARNAS LÄN</t>
        </is>
      </c>
      <c r="G723" t="inlineStr">
        <is>
          <t>RÄTTVIK</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18955-2026</t>
        </is>
      </c>
      <c r="B724" t="inlineStr">
        <is>
          <t>avverkningsanmälan</t>
        </is>
      </c>
      <c r="C724" t="inlineStr">
        <is>
          <t>Föryngringsavverkning</t>
        </is>
      </c>
      <c r="D724" s="1" t="n">
        <v>46129</v>
      </c>
      <c r="E724" s="1" t="n">
        <v>46289</v>
      </c>
      <c r="F724" t="inlineStr">
        <is>
          <t>DALARNAS LÄN</t>
        </is>
      </c>
      <c r="G724" t="inlineStr">
        <is>
          <t>RÄTTVIK</t>
        </is>
      </c>
      <c r="H724" t="inlineStr">
        <is>
          <t>Bergvik skog väst AB</t>
        </is>
      </c>
      <c r="I724" t="n">
        <v>11.5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37659-2023</t>
        </is>
      </c>
      <c r="B725" t="inlineStr">
        <is>
          <t>avverkningsanmälan</t>
        </is>
      </c>
      <c r="C725" t="inlineStr">
        <is>
          <t>Avverkning för annat ändamål</t>
        </is>
      </c>
      <c r="D725" s="1" t="n">
        <v>45159</v>
      </c>
      <c r="E725" s="1" t="n">
        <v>46289</v>
      </c>
      <c r="F725" t="inlineStr">
        <is>
          <t>DALARNAS LÄN</t>
        </is>
      </c>
      <c r="G725" t="inlineStr">
        <is>
          <t>RÄTTVIK</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19378-2026</t>
        </is>
      </c>
      <c r="B726" t="inlineStr">
        <is>
          <t>avverkningsanmälan</t>
        </is>
      </c>
      <c r="C726" t="inlineStr">
        <is>
          <t>Föryngringsavverkning</t>
        </is>
      </c>
      <c r="D726" s="1" t="n">
        <v>46133</v>
      </c>
      <c r="E726" s="1" t="n">
        <v>46289</v>
      </c>
      <c r="F726" t="inlineStr">
        <is>
          <t>DALARNAS LÄN</t>
        </is>
      </c>
      <c r="G726" t="inlineStr">
        <is>
          <t>RÄTTVIK</t>
        </is>
      </c>
      <c r="H726" t="inlineStr">
        <is>
          <t>Bergvik skog väst AB</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44499-2022</t>
        </is>
      </c>
      <c r="B727" t="inlineStr">
        <is>
          <t>avverkningsanmälan</t>
        </is>
      </c>
      <c r="C727" t="inlineStr">
        <is>
          <t>Föryngringsavverkning</t>
        </is>
      </c>
      <c r="D727" s="1" t="n">
        <v>44840</v>
      </c>
      <c r="E727" s="1" t="n">
        <v>46289</v>
      </c>
      <c r="F727" t="inlineStr">
        <is>
          <t>DALARNAS LÄN</t>
        </is>
      </c>
      <c r="G727" t="inlineStr">
        <is>
          <t>RÄTTVIK</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3722-2024</t>
        </is>
      </c>
      <c r="B728" t="inlineStr">
        <is>
          <t>avverkningsanmälan</t>
        </is>
      </c>
      <c r="C728" t="inlineStr">
        <is>
          <t>Föryngringsavverkning</t>
        </is>
      </c>
      <c r="D728" s="1" t="n">
        <v>45321</v>
      </c>
      <c r="E728" s="1" t="n">
        <v>46289</v>
      </c>
      <c r="F728" t="inlineStr">
        <is>
          <t>DALARNAS LÄN</t>
        </is>
      </c>
      <c r="G728" t="inlineStr">
        <is>
          <t>RÄTTVIK</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25783-2023</t>
        </is>
      </c>
      <c r="B729" t="inlineStr">
        <is>
          <t>avverkningsanmälan</t>
        </is>
      </c>
      <c r="C729" t="inlineStr">
        <is>
          <t>Föryngringsavverkning</t>
        </is>
      </c>
      <c r="D729" s="1" t="n">
        <v>45090</v>
      </c>
      <c r="E729" s="1" t="n">
        <v>46289</v>
      </c>
      <c r="F729" t="inlineStr">
        <is>
          <t>DALARNAS LÄN</t>
        </is>
      </c>
      <c r="G729" t="inlineStr">
        <is>
          <t>RÄTTVIK</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19514-2026</t>
        </is>
      </c>
      <c r="B730" t="inlineStr">
        <is>
          <t>avverkningsanmälan</t>
        </is>
      </c>
      <c r="C730" t="inlineStr">
        <is>
          <t>Föryngringsavverkning</t>
        </is>
      </c>
      <c r="D730" s="1" t="n">
        <v>46134</v>
      </c>
      <c r="E730" s="1" t="n">
        <v>46289</v>
      </c>
      <c r="F730" t="inlineStr">
        <is>
          <t>DALARNAS LÄN</t>
        </is>
      </c>
      <c r="G730" t="inlineStr">
        <is>
          <t>RÄTTVIK</t>
        </is>
      </c>
      <c r="H730" t="inlineStr">
        <is>
          <t>Bergvik skog väst AB</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46246-2025</t>
        </is>
      </c>
      <c r="B731" t="inlineStr">
        <is>
          <t>avverkningsanmälan</t>
        </is>
      </c>
      <c r="C731" t="inlineStr">
        <is>
          <t>Föryngringsavverkning</t>
        </is>
      </c>
      <c r="D731" s="1" t="n">
        <v>45925</v>
      </c>
      <c r="E731" s="1" t="n">
        <v>46289</v>
      </c>
      <c r="F731" t="inlineStr">
        <is>
          <t>DALARNAS LÄN</t>
        </is>
      </c>
      <c r="G731" t="inlineStr">
        <is>
          <t>RÄTTVIK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25907-2025</t>
        </is>
      </c>
      <c r="B732" t="inlineStr">
        <is>
          <t>avverkningsanmälan</t>
        </is>
      </c>
      <c r="C732" t="inlineStr">
        <is>
          <t>Föryngringsavverkning</t>
        </is>
      </c>
      <c r="D732" s="1" t="n">
        <v>45803</v>
      </c>
      <c r="E732" s="1" t="n">
        <v>46289</v>
      </c>
      <c r="F732" t="inlineStr">
        <is>
          <t>DALARNAS LÄN</t>
        </is>
      </c>
      <c r="G732" t="inlineStr">
        <is>
          <t>RÄTTVIK</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47146-2024</t>
        </is>
      </c>
      <c r="B733" t="inlineStr">
        <is>
          <t>avverkningsanmälan</t>
        </is>
      </c>
      <c r="C733" t="inlineStr">
        <is>
          <t>Avverkning för annat ändamål</t>
        </is>
      </c>
      <c r="D733" s="1" t="n">
        <v>45586</v>
      </c>
      <c r="E733" s="1" t="n">
        <v>46289</v>
      </c>
      <c r="F733" t="inlineStr">
        <is>
          <t>DALARNAS LÄN</t>
        </is>
      </c>
      <c r="G733" t="inlineStr">
        <is>
          <t>RÄTTVIK</t>
        </is>
      </c>
      <c r="H733" t="inlineStr">
        <is>
          <t>Bergvik skog väst AB</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36519-2024</t>
        </is>
      </c>
      <c r="B734" t="inlineStr">
        <is>
          <t>avverkningsanmälan</t>
        </is>
      </c>
      <c r="C734" t="inlineStr">
        <is>
          <t>Föryngringsavverkning</t>
        </is>
      </c>
      <c r="D734" s="1" t="n">
        <v>45537</v>
      </c>
      <c r="E734" s="1" t="n">
        <v>46289</v>
      </c>
      <c r="F734" t="inlineStr">
        <is>
          <t>DALARNAS LÄN</t>
        </is>
      </c>
      <c r="G734" t="inlineStr">
        <is>
          <t>RÄTTVIK</t>
        </is>
      </c>
      <c r="H734" t="inlineStr">
        <is>
          <t>Sveaskog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38004-2024</t>
        </is>
      </c>
      <c r="B735" t="inlineStr">
        <is>
          <t>avverkningsanmälan</t>
        </is>
      </c>
      <c r="C735" t="inlineStr">
        <is>
          <t>Avverkning för annat ändamål</t>
        </is>
      </c>
      <c r="D735" s="1" t="n">
        <v>45544</v>
      </c>
      <c r="E735" s="1" t="n">
        <v>46289</v>
      </c>
      <c r="F735" t="inlineStr">
        <is>
          <t>DALARNAS LÄN</t>
        </is>
      </c>
      <c r="G735" t="inlineStr">
        <is>
          <t>RÄTTVIK</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37446-2025</t>
        </is>
      </c>
      <c r="B736" t="inlineStr">
        <is>
          <t>avverkningsanmälan</t>
        </is>
      </c>
      <c r="C736" t="inlineStr">
        <is>
          <t>Föryngringsavverkning</t>
        </is>
      </c>
      <c r="D736" s="1" t="n">
        <v>45877</v>
      </c>
      <c r="E736" s="1" t="n">
        <v>46289</v>
      </c>
      <c r="F736" t="inlineStr">
        <is>
          <t>DALARNAS LÄN</t>
        </is>
      </c>
      <c r="G736" t="inlineStr">
        <is>
          <t>RÄTTVIK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37447-2025</t>
        </is>
      </c>
      <c r="B737" t="inlineStr">
        <is>
          <t>avverkningsanmälan</t>
        </is>
      </c>
      <c r="C737" t="inlineStr">
        <is>
          <t>Föryngringsavverkning</t>
        </is>
      </c>
      <c r="D737" s="1" t="n">
        <v>45877</v>
      </c>
      <c r="E737" s="1" t="n">
        <v>46289</v>
      </c>
      <c r="F737" t="inlineStr">
        <is>
          <t>DALARNAS LÄN</t>
        </is>
      </c>
      <c r="G737" t="inlineStr">
        <is>
          <t>RÄTTVIK</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889-2025</t>
        </is>
      </c>
      <c r="B738" t="inlineStr">
        <is>
          <t>avverkningsanmälan</t>
        </is>
      </c>
      <c r="C738" t="inlineStr">
        <is>
          <t>Föryngringsavverkning</t>
        </is>
      </c>
      <c r="D738" s="1" t="n">
        <v>45665</v>
      </c>
      <c r="E738" s="1" t="n">
        <v>46289</v>
      </c>
      <c r="F738" t="inlineStr">
        <is>
          <t>DALARNAS LÄN</t>
        </is>
      </c>
      <c r="G738" t="inlineStr">
        <is>
          <t>RÄTTVIK</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17138-2024</t>
        </is>
      </c>
      <c r="B739" t="inlineStr">
        <is>
          <t>avverkningsanmälan</t>
        </is>
      </c>
      <c r="C739" t="inlineStr">
        <is>
          <t>Avverkning för annat ändamål</t>
        </is>
      </c>
      <c r="D739" s="1" t="n">
        <v>45412</v>
      </c>
      <c r="E739" s="1" t="n">
        <v>46289</v>
      </c>
      <c r="F739" t="inlineStr">
        <is>
          <t>DALARNAS LÄN</t>
        </is>
      </c>
      <c r="G739" t="inlineStr">
        <is>
          <t>RÄTTVIK</t>
        </is>
      </c>
      <c r="H739" t="inlineStr">
        <is>
          <t>Sveaskog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329-2023</t>
        </is>
      </c>
      <c r="B740" t="inlineStr">
        <is>
          <t>avverkningsanmälan</t>
        </is>
      </c>
      <c r="C740" t="inlineStr">
        <is>
          <t>Föryngringsavverkning</t>
        </is>
      </c>
      <c r="D740" s="1" t="n">
        <v>44929</v>
      </c>
      <c r="E740" s="1" t="n">
        <v>46289</v>
      </c>
      <c r="F740" t="inlineStr">
        <is>
          <t>DALARNAS LÄN</t>
        </is>
      </c>
      <c r="G740" t="inlineStr">
        <is>
          <t>RÄTTVIK</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47825-2023</t>
        </is>
      </c>
      <c r="B741" t="inlineStr">
        <is>
          <t>avverkningsanmälan</t>
        </is>
      </c>
      <c r="C741" t="inlineStr">
        <is>
          <t>Föryngringsavverkning</t>
        </is>
      </c>
      <c r="D741" s="1" t="n">
        <v>45204</v>
      </c>
      <c r="E741" s="1" t="n">
        <v>46289</v>
      </c>
      <c r="F741" t="inlineStr">
        <is>
          <t>DALARNAS LÄN</t>
        </is>
      </c>
      <c r="G741" t="inlineStr">
        <is>
          <t>RÄTTVIK</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37850-2025</t>
        </is>
      </c>
      <c r="B742" t="inlineStr">
        <is>
          <t>avverkningsanmälan</t>
        </is>
      </c>
      <c r="C742" t="inlineStr">
        <is>
          <t>Föryngringsavverkning</t>
        </is>
      </c>
      <c r="D742" s="1" t="n">
        <v>45881</v>
      </c>
      <c r="E742" s="1" t="n">
        <v>46289</v>
      </c>
      <c r="F742" t="inlineStr">
        <is>
          <t>DALARNAS LÄN</t>
        </is>
      </c>
      <c r="G742" t="inlineStr">
        <is>
          <t>RÄTTVIK</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37852-2025</t>
        </is>
      </c>
      <c r="B743" t="inlineStr">
        <is>
          <t>avverkningsanmälan</t>
        </is>
      </c>
      <c r="C743" t="inlineStr">
        <is>
          <t>Föryngringsavverkning</t>
        </is>
      </c>
      <c r="D743" s="1" t="n">
        <v>45881</v>
      </c>
      <c r="E743" s="1" t="n">
        <v>46289</v>
      </c>
      <c r="F743" t="inlineStr">
        <is>
          <t>DALARNAS LÄN</t>
        </is>
      </c>
      <c r="G743" t="inlineStr">
        <is>
          <t>RÄTTVIK</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13770-2025</t>
        </is>
      </c>
      <c r="B744" t="inlineStr">
        <is>
          <t>avverkningsanmälan</t>
        </is>
      </c>
      <c r="C744" t="inlineStr">
        <is>
          <t>Föryngringsavverkning</t>
        </is>
      </c>
      <c r="D744" s="1" t="n">
        <v>45737</v>
      </c>
      <c r="E744" s="1" t="n">
        <v>46289</v>
      </c>
      <c r="F744" t="inlineStr">
        <is>
          <t>DALARNAS LÄN</t>
        </is>
      </c>
      <c r="G744" t="inlineStr">
        <is>
          <t>RÄTTVIK</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21850-2025</t>
        </is>
      </c>
      <c r="B745" t="inlineStr">
        <is>
          <t>avverkningsanmälan</t>
        </is>
      </c>
      <c r="C745" t="inlineStr">
        <is>
          <t>Föryngringsavverkning</t>
        </is>
      </c>
      <c r="D745" s="1" t="n">
        <v>45784</v>
      </c>
      <c r="E745" s="1" t="n">
        <v>46289</v>
      </c>
      <c r="F745" t="inlineStr">
        <is>
          <t>DALARNAS LÄN</t>
        </is>
      </c>
      <c r="G745" t="inlineStr">
        <is>
          <t>RÄTTVIK</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56544-2023</t>
        </is>
      </c>
      <c r="B746" t="inlineStr">
        <is>
          <t>avverkningsanmälan</t>
        </is>
      </c>
      <c r="C746" t="inlineStr">
        <is>
          <t>Föryngringsavverkning</t>
        </is>
      </c>
      <c r="D746" s="1" t="n">
        <v>45243</v>
      </c>
      <c r="E746" s="1" t="n">
        <v>46289</v>
      </c>
      <c r="F746" t="inlineStr">
        <is>
          <t>DALARNAS LÄN</t>
        </is>
      </c>
      <c r="G746" t="inlineStr">
        <is>
          <t>RÄTTVIK</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20113-2026</t>
        </is>
      </c>
      <c r="B747" t="inlineStr">
        <is>
          <t>avverkningsanmälan</t>
        </is>
      </c>
      <c r="C747" t="inlineStr">
        <is>
          <t>Föryngringsavverkning</t>
        </is>
      </c>
      <c r="D747" s="1" t="n">
        <v>46136</v>
      </c>
      <c r="E747" s="1" t="n">
        <v>46289</v>
      </c>
      <c r="F747" t="inlineStr">
        <is>
          <t>DALARNAS LÄN</t>
        </is>
      </c>
      <c r="G747" t="inlineStr">
        <is>
          <t>RÄTTVIK</t>
        </is>
      </c>
      <c r="H747" t="inlineStr">
        <is>
          <t>Bergvik skog väst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15040-2026</t>
        </is>
      </c>
      <c r="B748" t="inlineStr">
        <is>
          <t>avverkningsanmälan</t>
        </is>
      </c>
      <c r="C748" t="inlineStr">
        <is>
          <t>Föryngringsavverkning</t>
        </is>
      </c>
      <c r="D748" s="1" t="n">
        <v>46104</v>
      </c>
      <c r="E748" s="1" t="n">
        <v>46289</v>
      </c>
      <c r="F748" t="inlineStr">
        <is>
          <t>DALARNAS LÄN</t>
        </is>
      </c>
      <c r="G748" t="inlineStr">
        <is>
          <t>RÄTTVIK</t>
        </is>
      </c>
      <c r="H748" t="inlineStr">
        <is>
          <t>Bergvik skog väst AB</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38129-2025</t>
        </is>
      </c>
      <c r="B749" t="inlineStr">
        <is>
          <t>avverkningsanmälan</t>
        </is>
      </c>
      <c r="C749" t="inlineStr">
        <is>
          <t>Föryngringsavverkning</t>
        </is>
      </c>
      <c r="D749" s="1" t="n">
        <v>45882</v>
      </c>
      <c r="E749" s="1" t="n">
        <v>46289</v>
      </c>
      <c r="F749" t="inlineStr">
        <is>
          <t>DALARNAS LÄN</t>
        </is>
      </c>
      <c r="G749" t="inlineStr">
        <is>
          <t>RÄTTVIK</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26427-2022</t>
        </is>
      </c>
      <c r="B750" t="inlineStr">
        <is>
          <t>avverkningsanmälan</t>
        </is>
      </c>
      <c r="C750" t="inlineStr">
        <is>
          <t>Avverkning för annat ändamål</t>
        </is>
      </c>
      <c r="D750" s="1" t="n">
        <v>44736</v>
      </c>
      <c r="E750" s="1" t="n">
        <v>46289</v>
      </c>
      <c r="F750" t="inlineStr">
        <is>
          <t>DALARNAS LÄN</t>
        </is>
      </c>
      <c r="G750" t="inlineStr">
        <is>
          <t>RÄTTVIK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12496-2024</t>
        </is>
      </c>
      <c r="B751" t="inlineStr">
        <is>
          <t>avverkningsanmälan</t>
        </is>
      </c>
      <c r="C751" t="inlineStr">
        <is>
          <t>Föryngringsavverkning</t>
        </is>
      </c>
      <c r="D751" s="1" t="n">
        <v>45379</v>
      </c>
      <c r="E751" s="1" t="n">
        <v>46289</v>
      </c>
      <c r="F751" t="inlineStr">
        <is>
          <t>DALARNAS LÄN</t>
        </is>
      </c>
      <c r="G751" t="inlineStr">
        <is>
          <t>RÄTTVIK</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38658-2025</t>
        </is>
      </c>
      <c r="B752" t="inlineStr">
        <is>
          <t>avverkningsanmälan</t>
        </is>
      </c>
      <c r="C752" t="inlineStr">
        <is>
          <t>Föryngringsavverkning</t>
        </is>
      </c>
      <c r="D752" s="1" t="n">
        <v>45884</v>
      </c>
      <c r="E752" s="1" t="n">
        <v>46289</v>
      </c>
      <c r="F752" t="inlineStr">
        <is>
          <t>DALARNAS LÄN</t>
        </is>
      </c>
      <c r="G752" t="inlineStr">
        <is>
          <t>RÄTTVIK</t>
        </is>
      </c>
      <c r="H752" t="inlineStr">
        <is>
          <t>Sveaskog</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3686-2024</t>
        </is>
      </c>
      <c r="B753" t="inlineStr">
        <is>
          <t>avverkningsanmälan</t>
        </is>
      </c>
      <c r="C753" t="inlineStr">
        <is>
          <t>Föryngringsavverkning</t>
        </is>
      </c>
      <c r="D753" s="1" t="n">
        <v>45321</v>
      </c>
      <c r="E753" s="1" t="n">
        <v>46289</v>
      </c>
      <c r="F753" t="inlineStr">
        <is>
          <t>DALARNAS LÄN</t>
        </is>
      </c>
      <c r="G753" t="inlineStr">
        <is>
          <t>RÄTTVIK</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2692-2026</t>
        </is>
      </c>
      <c r="B754" t="inlineStr">
        <is>
          <t>avverkningsanmälan</t>
        </is>
      </c>
      <c r="C754" t="inlineStr">
        <is>
          <t>Föryngringsavverkning</t>
        </is>
      </c>
      <c r="D754" s="1" t="n">
        <v>46037</v>
      </c>
      <c r="E754" s="1" t="n">
        <v>46289</v>
      </c>
      <c r="F754" t="inlineStr">
        <is>
          <t>DALARNAS LÄN</t>
        </is>
      </c>
      <c r="G754" t="inlineStr">
        <is>
          <t>RÄTTVIK</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46721-2023</t>
        </is>
      </c>
      <c r="B755" t="inlineStr">
        <is>
          <t>avverkningsanmälan</t>
        </is>
      </c>
      <c r="C755" t="inlineStr">
        <is>
          <t>Föryngringsavverkning</t>
        </is>
      </c>
      <c r="D755" s="1" t="n">
        <v>45198</v>
      </c>
      <c r="E755" s="1" t="n">
        <v>46289</v>
      </c>
      <c r="F755" t="inlineStr">
        <is>
          <t>DALARNAS LÄN</t>
        </is>
      </c>
      <c r="G755" t="inlineStr">
        <is>
          <t>RÄTTVIK</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55416-2024</t>
        </is>
      </c>
      <c r="B756" t="inlineStr">
        <is>
          <t>avverkningsanmälan</t>
        </is>
      </c>
      <c r="C756" t="inlineStr">
        <is>
          <t>Föryngringsavverkning</t>
        </is>
      </c>
      <c r="D756" s="1" t="n">
        <v>45621</v>
      </c>
      <c r="E756" s="1" t="n">
        <v>46289</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43756-2024</t>
        </is>
      </c>
      <c r="B757" t="inlineStr">
        <is>
          <t>avverkningsanmälan</t>
        </is>
      </c>
      <c r="C757" t="inlineStr">
        <is>
          <t>Föryngringsavverkning</t>
        </is>
      </c>
      <c r="D757" s="1" t="n">
        <v>45569</v>
      </c>
      <c r="E757" s="1" t="n">
        <v>46289</v>
      </c>
      <c r="F757" t="inlineStr">
        <is>
          <t>DALARNAS LÄN</t>
        </is>
      </c>
      <c r="G757" t="inlineStr">
        <is>
          <t>RÄTTVIK</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5304-2026</t>
        </is>
      </c>
      <c r="B758" t="inlineStr">
        <is>
          <t>avverkningsanmälan</t>
        </is>
      </c>
      <c r="C758" t="inlineStr">
        <is>
          <t>Föryngringsavverkning</t>
        </is>
      </c>
      <c r="D758" s="1" t="n">
        <v>46050</v>
      </c>
      <c r="E758" s="1" t="n">
        <v>46289</v>
      </c>
      <c r="F758" t="inlineStr">
        <is>
          <t>DALARNAS LÄN</t>
        </is>
      </c>
      <c r="G758" t="inlineStr">
        <is>
          <t>RÄTTVIK</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14028-2026</t>
        </is>
      </c>
      <c r="B759" t="inlineStr">
        <is>
          <t>avverkningsanmälan</t>
        </is>
      </c>
      <c r="C759" t="inlineStr">
        <is>
          <t>Föryngringsavverkning</t>
        </is>
      </c>
      <c r="D759" s="1" t="n">
        <v>46098</v>
      </c>
      <c r="E759" s="1" t="n">
        <v>46289</v>
      </c>
      <c r="F759" t="inlineStr">
        <is>
          <t>DALARNAS LÄN</t>
        </is>
      </c>
      <c r="G759" t="inlineStr">
        <is>
          <t>RÄTTVIK</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13090-2023</t>
        </is>
      </c>
      <c r="B760" t="inlineStr">
        <is>
          <t>avverkningsanmälan</t>
        </is>
      </c>
      <c r="C760" t="inlineStr">
        <is>
          <t>Föryngringsavverkning</t>
        </is>
      </c>
      <c r="D760" s="1" t="n">
        <v>45002</v>
      </c>
      <c r="E760" s="1" t="n">
        <v>46289</v>
      </c>
      <c r="F760" t="inlineStr">
        <is>
          <t>DALARNAS LÄN</t>
        </is>
      </c>
      <c r="G760" t="inlineStr">
        <is>
          <t>RÄTTVIK</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8073-2026</t>
        </is>
      </c>
      <c r="B761" t="inlineStr">
        <is>
          <t>avverkningsanmälan</t>
        </is>
      </c>
      <c r="C761" t="inlineStr">
        <is>
          <t>Föryngringsavverkning</t>
        </is>
      </c>
      <c r="D761" s="1" t="n">
        <v>46063</v>
      </c>
      <c r="E761" s="1" t="n">
        <v>46289</v>
      </c>
      <c r="F761" t="inlineStr">
        <is>
          <t>DALARNAS LÄN</t>
        </is>
      </c>
      <c r="G761" t="inlineStr">
        <is>
          <t>RÄTTVIK</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28938-2024</t>
        </is>
      </c>
      <c r="B762" t="inlineStr">
        <is>
          <t>avverkningsanmälan</t>
        </is>
      </c>
      <c r="C762" t="inlineStr">
        <is>
          <t>Föryngringsavverkning</t>
        </is>
      </c>
      <c r="D762" s="1" t="n">
        <v>45481</v>
      </c>
      <c r="E762" s="1" t="n">
        <v>46289</v>
      </c>
      <c r="F762" t="inlineStr">
        <is>
          <t>DALARNAS LÄN</t>
        </is>
      </c>
      <c r="G762" t="inlineStr">
        <is>
          <t>RÄTTVIK</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3261-2025</t>
        </is>
      </c>
      <c r="B763" t="inlineStr">
        <is>
          <t>avverkningsanmälan</t>
        </is>
      </c>
      <c r="C763" t="inlineStr">
        <is>
          <t>Föryngringsavverkning</t>
        </is>
      </c>
      <c r="D763" s="1" t="n">
        <v>45679</v>
      </c>
      <c r="E763" s="1" t="n">
        <v>46289</v>
      </c>
      <c r="F763" t="inlineStr">
        <is>
          <t>DALARNAS LÄN</t>
        </is>
      </c>
      <c r="G763" t="inlineStr">
        <is>
          <t>RÄTTVIK</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73511-2021</t>
        </is>
      </c>
      <c r="B764" t="inlineStr">
        <is>
          <t>avverkningsanmälan</t>
        </is>
      </c>
      <c r="C764" t="inlineStr">
        <is>
          <t>Föryngringsavverkning</t>
        </is>
      </c>
      <c r="D764" s="1" t="n">
        <v>44551</v>
      </c>
      <c r="E764" s="1" t="n">
        <v>46289</v>
      </c>
      <c r="F764" t="inlineStr">
        <is>
          <t>DALARNAS LÄN</t>
        </is>
      </c>
      <c r="G764" t="inlineStr">
        <is>
          <t>RÄTTVIK</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6880-2026</t>
        </is>
      </c>
      <c r="B765" t="inlineStr">
        <is>
          <t>avverkningsanmälan</t>
        </is>
      </c>
      <c r="C765" t="inlineStr">
        <is>
          <t>Föryngringsavverkning</t>
        </is>
      </c>
      <c r="D765" s="1" t="n">
        <v>46057</v>
      </c>
      <c r="E765" s="1" t="n">
        <v>46289</v>
      </c>
      <c r="F765" t="inlineStr">
        <is>
          <t>DALARNAS LÄN</t>
        </is>
      </c>
      <c r="G765" t="inlineStr">
        <is>
          <t>RÄTTVIK</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49722-2025</t>
        </is>
      </c>
      <c r="B766" t="inlineStr">
        <is>
          <t>avverkningsanmälan</t>
        </is>
      </c>
      <c r="C766" t="inlineStr">
        <is>
          <t>Föryngringsavverkning</t>
        </is>
      </c>
      <c r="D766" s="1" t="n">
        <v>45939</v>
      </c>
      <c r="E766" s="1" t="n">
        <v>46289</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39027-2025</t>
        </is>
      </c>
      <c r="B767" t="inlineStr">
        <is>
          <t>avverkningsanmälan</t>
        </is>
      </c>
      <c r="C767" t="inlineStr">
        <is>
          <t>Avverkning för annat ändamål</t>
        </is>
      </c>
      <c r="D767" s="1" t="n">
        <v>45888</v>
      </c>
      <c r="E767" s="1" t="n">
        <v>46289</v>
      </c>
      <c r="F767" t="inlineStr">
        <is>
          <t>DALARNAS LÄN</t>
        </is>
      </c>
      <c r="G767" t="inlineStr">
        <is>
          <t>RÄTTVIK</t>
        </is>
      </c>
      <c r="H767" t="inlineStr">
        <is>
          <t>Bergvik skog väst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44458-2025</t>
        </is>
      </c>
      <c r="B768" t="inlineStr">
        <is>
          <t>avverkningsanmälan</t>
        </is>
      </c>
      <c r="C768" t="inlineStr">
        <is>
          <t>Föryngringsavverkning</t>
        </is>
      </c>
      <c r="D768" s="1" t="n">
        <v>45916</v>
      </c>
      <c r="E768" s="1" t="n">
        <v>46289</v>
      </c>
      <c r="F768" t="inlineStr">
        <is>
          <t>DALARNAS LÄN</t>
        </is>
      </c>
      <c r="G768" t="inlineStr">
        <is>
          <t>RÄTTVIK</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29010-2022</t>
        </is>
      </c>
      <c r="B769" t="inlineStr">
        <is>
          <t>avverkningsanmälan</t>
        </is>
      </c>
      <c r="C769" t="inlineStr">
        <is>
          <t>Föryngringsavverkning</t>
        </is>
      </c>
      <c r="D769" s="1" t="n">
        <v>44747</v>
      </c>
      <c r="E769" s="1" t="n">
        <v>46289</v>
      </c>
      <c r="F769" t="inlineStr">
        <is>
          <t>DALARNAS LÄN</t>
        </is>
      </c>
      <c r="G769" t="inlineStr">
        <is>
          <t>RÄTTVIK</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60298-2023</t>
        </is>
      </c>
      <c r="B770" t="inlineStr">
        <is>
          <t>avverkningsanmälan</t>
        </is>
      </c>
      <c r="C770" t="inlineStr">
        <is>
          <t>Föryngringsavverkning</t>
        </is>
      </c>
      <c r="D770" s="1" t="n">
        <v>45257</v>
      </c>
      <c r="E770" s="1" t="n">
        <v>46289</v>
      </c>
      <c r="F770" t="inlineStr">
        <is>
          <t>DALARNAS LÄN</t>
        </is>
      </c>
      <c r="G770" t="inlineStr">
        <is>
          <t>RÄTTVIK</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29707-2023</t>
        </is>
      </c>
      <c r="B771" t="inlineStr">
        <is>
          <t>avverkningsanmälan</t>
        </is>
      </c>
      <c r="C771" t="inlineStr">
        <is>
          <t>Föryngringsavverkning</t>
        </is>
      </c>
      <c r="D771" s="1" t="n">
        <v>45107</v>
      </c>
      <c r="E771" s="1" t="n">
        <v>46289</v>
      </c>
      <c r="F771" t="inlineStr">
        <is>
          <t>DALARNAS LÄN</t>
        </is>
      </c>
      <c r="G771" t="inlineStr">
        <is>
          <t>RÄTTVIK</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11849-2026</t>
        </is>
      </c>
      <c r="B772" t="inlineStr">
        <is>
          <t>avverkningsanmälan</t>
        </is>
      </c>
      <c r="C772" t="inlineStr">
        <is>
          <t>Föryngringsavverkning</t>
        </is>
      </c>
      <c r="D772" s="1" t="n">
        <v>46085</v>
      </c>
      <c r="E772" s="1" t="n">
        <v>46289</v>
      </c>
      <c r="F772" t="inlineStr">
        <is>
          <t>DALARNAS LÄN</t>
        </is>
      </c>
      <c r="G772" t="inlineStr">
        <is>
          <t>RÄTTVIK</t>
        </is>
      </c>
      <c r="H772" t="inlineStr">
        <is>
          <t>Bergvik skog väst AB</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40177-2022</t>
        </is>
      </c>
      <c r="B773" t="inlineStr">
        <is>
          <t>avverkningsanmälan</t>
        </is>
      </c>
      <c r="C773" t="inlineStr">
        <is>
          <t>Avverkning för annat ändamål</t>
        </is>
      </c>
      <c r="D773" s="1" t="n">
        <v>44818</v>
      </c>
      <c r="E773" s="1" t="n">
        <v>46289</v>
      </c>
      <c r="F773" t="inlineStr">
        <is>
          <t>DALARNAS LÄN</t>
        </is>
      </c>
      <c r="G773" t="inlineStr">
        <is>
          <t>RÄTTVIK</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33118-2025</t>
        </is>
      </c>
      <c r="B774" t="inlineStr">
        <is>
          <t>avverkningsanmälan</t>
        </is>
      </c>
      <c r="C774" t="inlineStr">
        <is>
          <t>Föryngringsavverkning</t>
        </is>
      </c>
      <c r="D774" s="1" t="n">
        <v>45840</v>
      </c>
      <c r="E774" s="1" t="n">
        <v>46289</v>
      </c>
      <c r="F774" t="inlineStr">
        <is>
          <t>DALARNAS LÄN</t>
        </is>
      </c>
      <c r="G774" t="inlineStr">
        <is>
          <t>RÄTTVIK</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61316-2024</t>
        </is>
      </c>
      <c r="B775" t="inlineStr">
        <is>
          <t>avverkningsanmälan</t>
        </is>
      </c>
      <c r="C775" t="inlineStr">
        <is>
          <t>Föryngringsavverkning</t>
        </is>
      </c>
      <c r="D775" s="1" t="n">
        <v>45646</v>
      </c>
      <c r="E775" s="1" t="n">
        <v>46289</v>
      </c>
      <c r="F775" t="inlineStr">
        <is>
          <t>DALARNAS LÄN</t>
        </is>
      </c>
      <c r="G775" t="inlineStr">
        <is>
          <t>RÄTTVIK</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20114-2026</t>
        </is>
      </c>
      <c r="B776" t="inlineStr">
        <is>
          <t>avverkningsanmälan</t>
        </is>
      </c>
      <c r="C776" t="inlineStr">
        <is>
          <t>Föryngringsavverkning</t>
        </is>
      </c>
      <c r="D776" s="1" t="n">
        <v>46136</v>
      </c>
      <c r="E776" s="1" t="n">
        <v>46289</v>
      </c>
      <c r="F776" t="inlineStr">
        <is>
          <t>DALARNAS LÄN</t>
        </is>
      </c>
      <c r="G776" t="inlineStr">
        <is>
          <t>RÄTTVIK</t>
        </is>
      </c>
      <c r="H776" t="inlineStr">
        <is>
          <t>Bergvik skog väst AB</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20284-2026</t>
        </is>
      </c>
      <c r="B777" t="inlineStr">
        <is>
          <t>avverkningsanmälan</t>
        </is>
      </c>
      <c r="C777" t="inlineStr">
        <is>
          <t>Föryngringsavverkning</t>
        </is>
      </c>
      <c r="D777" s="1" t="n">
        <v>46139</v>
      </c>
      <c r="E777" s="1" t="n">
        <v>46289</v>
      </c>
      <c r="F777" t="inlineStr">
        <is>
          <t>DALARNAS LÄN</t>
        </is>
      </c>
      <c r="G777" t="inlineStr">
        <is>
          <t>RÄTTVIK</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21174-2024</t>
        </is>
      </c>
      <c r="B778" t="inlineStr">
        <is>
          <t>avverkningsanmälan</t>
        </is>
      </c>
      <c r="C778" t="inlineStr">
        <is>
          <t>Föryngringsavverkning</t>
        </is>
      </c>
      <c r="D778" s="1" t="n">
        <v>45440</v>
      </c>
      <c r="E778" s="1" t="n">
        <v>46289</v>
      </c>
      <c r="F778" t="inlineStr">
        <is>
          <t>DALARNAS LÄN</t>
        </is>
      </c>
      <c r="G778" t="inlineStr">
        <is>
          <t>RÄTTVIK</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45493-2023</t>
        </is>
      </c>
      <c r="B779" t="inlineStr">
        <is>
          <t>avverkningsanmälan</t>
        </is>
      </c>
      <c r="C779" t="inlineStr">
        <is>
          <t>Föryngringsavverkning</t>
        </is>
      </c>
      <c r="D779" s="1" t="n">
        <v>45194</v>
      </c>
      <c r="E779" s="1" t="n">
        <v>46289</v>
      </c>
      <c r="F779" t="inlineStr">
        <is>
          <t>DALARNAS LÄN</t>
        </is>
      </c>
      <c r="G779" t="inlineStr">
        <is>
          <t>RÄTTVIK</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54212-2023</t>
        </is>
      </c>
      <c r="B780" t="inlineStr">
        <is>
          <t>avverkningsanmälan</t>
        </is>
      </c>
      <c r="C780" t="inlineStr">
        <is>
          <t>Föryngringsavverkning</t>
        </is>
      </c>
      <c r="D780" s="1" t="n">
        <v>45225</v>
      </c>
      <c r="E780" s="1" t="n">
        <v>46289</v>
      </c>
      <c r="F780" t="inlineStr">
        <is>
          <t>DALARNAS LÄN</t>
        </is>
      </c>
      <c r="G780" t="inlineStr">
        <is>
          <t>RÄTTVIK</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42933-2024</t>
        </is>
      </c>
      <c r="B781" t="inlineStr">
        <is>
          <t>avverkningsanmälan</t>
        </is>
      </c>
      <c r="C781" t="inlineStr">
        <is>
          <t>Föryngringsavverkning</t>
        </is>
      </c>
      <c r="D781" s="1" t="n">
        <v>45567</v>
      </c>
      <c r="E781" s="1" t="n">
        <v>46289</v>
      </c>
      <c r="F781" t="inlineStr">
        <is>
          <t>DALARNAS LÄN</t>
        </is>
      </c>
      <c r="G781" t="inlineStr">
        <is>
          <t>RÄTTVIK</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48947-2023</t>
        </is>
      </c>
      <c r="B782" t="inlineStr">
        <is>
          <t>avverkningsanmälan</t>
        </is>
      </c>
      <c r="C782" t="inlineStr">
        <is>
          <t>Avverkning för annat ändamål</t>
        </is>
      </c>
      <c r="D782" s="1" t="n">
        <v>45209</v>
      </c>
      <c r="E782" s="1" t="n">
        <v>46289</v>
      </c>
      <c r="F782" t="inlineStr">
        <is>
          <t>DALARNAS LÄN</t>
        </is>
      </c>
      <c r="G782" t="inlineStr">
        <is>
          <t>RÄTTVIK</t>
        </is>
      </c>
      <c r="H782" t="inlineStr">
        <is>
          <t>Sveaskog</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3421-2026</t>
        </is>
      </c>
      <c r="B783" t="inlineStr">
        <is>
          <t>avverkningsanmälan</t>
        </is>
      </c>
      <c r="C783" t="inlineStr">
        <is>
          <t>Föryngringsavverkning</t>
        </is>
      </c>
      <c r="D783" s="1" t="n">
        <v>46042</v>
      </c>
      <c r="E783" s="1" t="n">
        <v>46289</v>
      </c>
      <c r="F783" t="inlineStr">
        <is>
          <t>DALARNAS LÄN</t>
        </is>
      </c>
      <c r="G783" t="inlineStr">
        <is>
          <t>RÄTTVIK</t>
        </is>
      </c>
      <c r="I783" t="n">
        <v>10.3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49176-2024</t>
        </is>
      </c>
      <c r="B784" t="inlineStr">
        <is>
          <t>avverkningsanmälan</t>
        </is>
      </c>
      <c r="C784" t="inlineStr">
        <is>
          <t>Avverkning för annat ändamål</t>
        </is>
      </c>
      <c r="D784" s="1" t="n">
        <v>45595</v>
      </c>
      <c r="E784" s="1" t="n">
        <v>46289</v>
      </c>
      <c r="F784" t="inlineStr">
        <is>
          <t>DALARNAS LÄN</t>
        </is>
      </c>
      <c r="G784" t="inlineStr">
        <is>
          <t>RÄTTVIK</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59413-2025</t>
        </is>
      </c>
      <c r="B785" t="inlineStr">
        <is>
          <t>avverkningsanmälan</t>
        </is>
      </c>
      <c r="C785" t="inlineStr">
        <is>
          <t>Föryngringsavverkning</t>
        </is>
      </c>
      <c r="D785" s="1" t="n">
        <v>45989</v>
      </c>
      <c r="E785" s="1" t="n">
        <v>46289</v>
      </c>
      <c r="F785" t="inlineStr">
        <is>
          <t>DALARNAS LÄN</t>
        </is>
      </c>
      <c r="G785" t="inlineStr">
        <is>
          <t>RÄTTVIK</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41295-2023</t>
        </is>
      </c>
      <c r="B786" t="inlineStr">
        <is>
          <t>avverkningsanmälan</t>
        </is>
      </c>
      <c r="C786" t="inlineStr">
        <is>
          <t>Föryngringsavverkning</t>
        </is>
      </c>
      <c r="D786" s="1" t="n">
        <v>45174</v>
      </c>
      <c r="E786" s="1" t="n">
        <v>46289</v>
      </c>
      <c r="F786" t="inlineStr">
        <is>
          <t>DALARNAS LÄN</t>
        </is>
      </c>
      <c r="G786" t="inlineStr">
        <is>
          <t>RÄTTVIK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53968-2025</t>
        </is>
      </c>
      <c r="B787" t="inlineStr">
        <is>
          <t>avverkningsanmälan</t>
        </is>
      </c>
      <c r="C787" t="inlineStr">
        <is>
          <t>Föryngringsavverkning</t>
        </is>
      </c>
      <c r="D787" s="1" t="n">
        <v>45961</v>
      </c>
      <c r="E787" s="1" t="n">
        <v>46289</v>
      </c>
      <c r="F787" t="inlineStr">
        <is>
          <t>DALARNAS LÄN</t>
        </is>
      </c>
      <c r="G787" t="inlineStr">
        <is>
          <t>RÄTTVIK</t>
        </is>
      </c>
      <c r="H787" t="inlineStr">
        <is>
          <t>Övriga statliga verk och myndigheter</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348-2026</t>
        </is>
      </c>
      <c r="B788" t="inlineStr">
        <is>
          <t>avverkningsanmälan</t>
        </is>
      </c>
      <c r="C788" t="inlineStr">
        <is>
          <t>Föryngringsavverkning</t>
        </is>
      </c>
      <c r="D788" s="1" t="n">
        <v>46027</v>
      </c>
      <c r="E788" s="1" t="n">
        <v>46289</v>
      </c>
      <c r="F788" t="inlineStr">
        <is>
          <t>DALARNAS LÄN</t>
        </is>
      </c>
      <c r="G788" t="inlineStr">
        <is>
          <t>RÄTTVIK</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46672-2023</t>
        </is>
      </c>
      <c r="B789" t="inlineStr">
        <is>
          <t>avverkningsanmälan</t>
        </is>
      </c>
      <c r="C789" t="inlineStr">
        <is>
          <t>Föryngringsavverkning</t>
        </is>
      </c>
      <c r="D789" s="1" t="n">
        <v>45194</v>
      </c>
      <c r="E789" s="1" t="n">
        <v>46289</v>
      </c>
      <c r="F789" t="inlineStr">
        <is>
          <t>DALARNAS LÄN</t>
        </is>
      </c>
      <c r="G789" t="inlineStr">
        <is>
          <t>RÄTTVIK</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55696-2023</t>
        </is>
      </c>
      <c r="B790" t="inlineStr">
        <is>
          <t>avverkningsanmälan</t>
        </is>
      </c>
      <c r="C790" t="inlineStr">
        <is>
          <t>Föryngringsavverkning</t>
        </is>
      </c>
      <c r="D790" s="1" t="n">
        <v>45232</v>
      </c>
      <c r="E790" s="1" t="n">
        <v>46289</v>
      </c>
      <c r="F790" t="inlineStr">
        <is>
          <t>DALARNAS LÄN</t>
        </is>
      </c>
      <c r="G790" t="inlineStr">
        <is>
          <t>RÄTTVIK</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50186-2025</t>
        </is>
      </c>
      <c r="B791" t="inlineStr">
        <is>
          <t>avverkningsanmälan</t>
        </is>
      </c>
      <c r="C791" t="inlineStr">
        <is>
          <t>Föryngringsavverkning</t>
        </is>
      </c>
      <c r="D791" s="1" t="n">
        <v>45943</v>
      </c>
      <c r="E791" s="1" t="n">
        <v>46289</v>
      </c>
      <c r="F791" t="inlineStr">
        <is>
          <t>DALARNAS LÄN</t>
        </is>
      </c>
      <c r="G791" t="inlineStr">
        <is>
          <t>RÄTTVIK</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509-2026</t>
        </is>
      </c>
      <c r="B792" t="inlineStr">
        <is>
          <t>avverkningsanmälan</t>
        </is>
      </c>
      <c r="C792" t="inlineStr">
        <is>
          <t>Föryngringsavverkning</t>
        </is>
      </c>
      <c r="D792" s="1" t="n">
        <v>46029</v>
      </c>
      <c r="E792" s="1" t="n">
        <v>46289</v>
      </c>
      <c r="F792" t="inlineStr">
        <is>
          <t>DALARNAS LÄN</t>
        </is>
      </c>
      <c r="G792" t="inlineStr">
        <is>
          <t>RÄTTVIK</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34630-2023</t>
        </is>
      </c>
      <c r="B793" t="inlineStr">
        <is>
          <t>avverkningsanmälan</t>
        </is>
      </c>
      <c r="C793" t="inlineStr">
        <is>
          <t>Avverkning för att bevara och utveckla /försöksver</t>
        </is>
      </c>
      <c r="D793" s="1" t="n">
        <v>45139</v>
      </c>
      <c r="E793" s="1" t="n">
        <v>46289</v>
      </c>
      <c r="F793" t="inlineStr">
        <is>
          <t>DALARNAS LÄN</t>
        </is>
      </c>
      <c r="G793" t="inlineStr">
        <is>
          <t>RÄTTVIK</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52939-2022</t>
        </is>
      </c>
      <c r="B794" t="inlineStr">
        <is>
          <t>avverkningsanmälan</t>
        </is>
      </c>
      <c r="C794" t="inlineStr">
        <is>
          <t>Föryngringsavverkning</t>
        </is>
      </c>
      <c r="D794" s="1" t="n">
        <v>44875</v>
      </c>
      <c r="E794" s="1" t="n">
        <v>46289</v>
      </c>
      <c r="F794" t="inlineStr">
        <is>
          <t>DALARNAS LÄN</t>
        </is>
      </c>
      <c r="G794" t="inlineStr">
        <is>
          <t>RÄTTVIK</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54821-2024</t>
        </is>
      </c>
      <c r="B795" t="inlineStr">
        <is>
          <t>avverkningsanmälan</t>
        </is>
      </c>
      <c r="C795" t="inlineStr">
        <is>
          <t>Föryngringsavverkning</t>
        </is>
      </c>
      <c r="D795" s="1" t="n">
        <v>45618</v>
      </c>
      <c r="E795" s="1" t="n">
        <v>46289</v>
      </c>
      <c r="F795" t="inlineStr">
        <is>
          <t>DALARNAS LÄN</t>
        </is>
      </c>
      <c r="G795" t="inlineStr">
        <is>
          <t>RÄTTVIK</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41451-2024</t>
        </is>
      </c>
      <c r="B796" t="inlineStr">
        <is>
          <t>avverkningsanmälan</t>
        </is>
      </c>
      <c r="C796" t="inlineStr">
        <is>
          <t>Föryngringsavverkning</t>
        </is>
      </c>
      <c r="D796" s="1" t="n">
        <v>45560</v>
      </c>
      <c r="E796" s="1" t="n">
        <v>46289</v>
      </c>
      <c r="F796" t="inlineStr">
        <is>
          <t>DALARNAS LÄN</t>
        </is>
      </c>
      <c r="G796" t="inlineStr">
        <is>
          <t>RÄTTVIK</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20234-2026</t>
        </is>
      </c>
      <c r="B797" t="inlineStr">
        <is>
          <t>avverkningsanmälan</t>
        </is>
      </c>
      <c r="C797" t="inlineStr">
        <is>
          <t>Föryngringsavverkning</t>
        </is>
      </c>
      <c r="D797" s="1" t="n">
        <v>46139</v>
      </c>
      <c r="E797" s="1" t="n">
        <v>46289</v>
      </c>
      <c r="F797" t="inlineStr">
        <is>
          <t>DALARNAS LÄN</t>
        </is>
      </c>
      <c r="G797" t="inlineStr">
        <is>
          <t>RÄTTVIK</t>
        </is>
      </c>
      <c r="I797" t="n">
        <v>8.699999999999999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55708-2024</t>
        </is>
      </c>
      <c r="B798" t="inlineStr">
        <is>
          <t>avverkningsanmälan</t>
        </is>
      </c>
      <c r="C798" t="inlineStr">
        <is>
          <t>Föryngringsavverkning</t>
        </is>
      </c>
      <c r="D798" s="1" t="n">
        <v>45622</v>
      </c>
      <c r="E798" s="1" t="n">
        <v>46289</v>
      </c>
      <c r="F798" t="inlineStr">
        <is>
          <t>DALARNAS LÄN</t>
        </is>
      </c>
      <c r="G798" t="inlineStr">
        <is>
          <t>RÄTTVIK</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1858-2026</t>
        </is>
      </c>
      <c r="B799" t="inlineStr">
        <is>
          <t>avverkningsanmälan</t>
        </is>
      </c>
      <c r="C799" t="inlineStr">
        <is>
          <t>Föryngringsavverkning</t>
        </is>
      </c>
      <c r="D799" s="1" t="n">
        <v>46035</v>
      </c>
      <c r="E799" s="1" t="n">
        <v>46289</v>
      </c>
      <c r="F799" t="inlineStr">
        <is>
          <t>DALARNAS LÄN</t>
        </is>
      </c>
      <c r="G799" t="inlineStr">
        <is>
          <t>RÄTTVIK</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1466-2026</t>
        </is>
      </c>
      <c r="B800" t="inlineStr">
        <is>
          <t>avverkningsanmälan</t>
        </is>
      </c>
      <c r="C800" t="inlineStr">
        <is>
          <t>Föryngringsavverkning</t>
        </is>
      </c>
      <c r="D800" s="1" t="n">
        <v>46033</v>
      </c>
      <c r="E800" s="1" t="n">
        <v>46289</v>
      </c>
      <c r="F800" t="inlineStr">
        <is>
          <t>DALARNAS LÄN</t>
        </is>
      </c>
      <c r="G800" t="inlineStr">
        <is>
          <t>RÄTTVIK</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29697-2025</t>
        </is>
      </c>
      <c r="B801" t="inlineStr">
        <is>
          <t>avverkningsanmälan</t>
        </is>
      </c>
      <c r="C801" t="inlineStr">
        <is>
          <t>Föryngringsavverkning</t>
        </is>
      </c>
      <c r="D801" s="1" t="n">
        <v>45825</v>
      </c>
      <c r="E801" s="1" t="n">
        <v>46289</v>
      </c>
      <c r="F801" t="inlineStr">
        <is>
          <t>DALARNAS LÄN</t>
        </is>
      </c>
      <c r="G801" t="inlineStr">
        <is>
          <t>RÄTTVIK</t>
        </is>
      </c>
      <c r="I801" t="n">
        <v>7.4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32561-2024</t>
        </is>
      </c>
      <c r="B802" t="inlineStr">
        <is>
          <t>avverkningsanmälan</t>
        </is>
      </c>
      <c r="C802" t="inlineStr">
        <is>
          <t>Föryngringsavverkning</t>
        </is>
      </c>
      <c r="D802" s="1" t="n">
        <v>45513</v>
      </c>
      <c r="E802" s="1" t="n">
        <v>46289</v>
      </c>
      <c r="F802" t="inlineStr">
        <is>
          <t>DALARNAS LÄN</t>
        </is>
      </c>
      <c r="G802" t="inlineStr">
        <is>
          <t>RÄTTVIK</t>
        </is>
      </c>
      <c r="H802" t="inlineStr">
        <is>
          <t>Sveaskog</t>
        </is>
      </c>
      <c r="I802" t="n">
        <v>5.9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1046-2025</t>
        </is>
      </c>
      <c r="B803" t="inlineStr">
        <is>
          <t>avverkningsanmälan</t>
        </is>
      </c>
      <c r="C803" t="inlineStr">
        <is>
          <t>Föryngringsavverkning</t>
        </is>
      </c>
      <c r="D803" s="1" t="n">
        <v>45666</v>
      </c>
      <c r="E803" s="1" t="n">
        <v>46289</v>
      </c>
      <c r="F803" t="inlineStr">
        <is>
          <t>DALARNAS LÄN</t>
        </is>
      </c>
      <c r="G803" t="inlineStr">
        <is>
          <t>RÄTTVIK</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5272-2026</t>
        </is>
      </c>
      <c r="B804" t="inlineStr">
        <is>
          <t>avverkningsanmälan</t>
        </is>
      </c>
      <c r="C804" t="inlineStr">
        <is>
          <t>Föryngringsavverkning</t>
        </is>
      </c>
      <c r="D804" s="1" t="n">
        <v>46050</v>
      </c>
      <c r="E804" s="1" t="n">
        <v>46289</v>
      </c>
      <c r="F804" t="inlineStr">
        <is>
          <t>DALARNAS LÄN</t>
        </is>
      </c>
      <c r="G804" t="inlineStr">
        <is>
          <t>RÄTTVIK</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5518-2024</t>
        </is>
      </c>
      <c r="B805" t="inlineStr">
        <is>
          <t>avverkningsanmälan</t>
        </is>
      </c>
      <c r="C805" t="inlineStr">
        <is>
          <t>Föryngringsavverkning</t>
        </is>
      </c>
      <c r="D805" s="1" t="n">
        <v>45334</v>
      </c>
      <c r="E805" s="1" t="n">
        <v>46289</v>
      </c>
      <c r="F805" t="inlineStr">
        <is>
          <t>DALARNAS LÄN</t>
        </is>
      </c>
      <c r="G805" t="inlineStr">
        <is>
          <t>RÄTTVIK</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4827-2026</t>
        </is>
      </c>
      <c r="B806" t="inlineStr">
        <is>
          <t>avverkningsanmälan</t>
        </is>
      </c>
      <c r="C806" t="inlineStr">
        <is>
          <t>Föryngringsavverkning</t>
        </is>
      </c>
      <c r="D806" s="1" t="n">
        <v>46048</v>
      </c>
      <c r="E806" s="1" t="n">
        <v>46289</v>
      </c>
      <c r="F806" t="inlineStr">
        <is>
          <t>DALARNAS LÄN</t>
        </is>
      </c>
      <c r="G806" t="inlineStr">
        <is>
          <t>RÄTTVIK</t>
        </is>
      </c>
      <c r="I806" t="n">
        <v>5.4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20276-2026</t>
        </is>
      </c>
      <c r="B807" t="inlineStr">
        <is>
          <t>avverkningsanmälan</t>
        </is>
      </c>
      <c r="C807" t="inlineStr">
        <is>
          <t>Föryngringsavverkning</t>
        </is>
      </c>
      <c r="D807" s="1" t="n">
        <v>46139</v>
      </c>
      <c r="E807" s="1" t="n">
        <v>46289</v>
      </c>
      <c r="F807" t="inlineStr">
        <is>
          <t>DALARNAS LÄN</t>
        </is>
      </c>
      <c r="G807" t="inlineStr">
        <is>
          <t>RÄTTVIK</t>
        </is>
      </c>
      <c r="I807" t="n">
        <v>9.699999999999999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7671-2026</t>
        </is>
      </c>
      <c r="B808" t="inlineStr">
        <is>
          <t>avverkningsanmälan</t>
        </is>
      </c>
      <c r="C808" t="inlineStr">
        <is>
          <t>Föryngringsavverkning</t>
        </is>
      </c>
      <c r="D808" s="1" t="n">
        <v>46062</v>
      </c>
      <c r="E808" s="1" t="n">
        <v>46289</v>
      </c>
      <c r="F808" t="inlineStr">
        <is>
          <t>DALARNAS LÄN</t>
        </is>
      </c>
      <c r="G808" t="inlineStr">
        <is>
          <t>RÄTTVIK</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1945-2023</t>
        </is>
      </c>
      <c r="B809" t="inlineStr">
        <is>
          <t>avverkningsanmälan</t>
        </is>
      </c>
      <c r="C809" t="inlineStr">
        <is>
          <t>Föryngringsavverkning</t>
        </is>
      </c>
      <c r="D809" s="1" t="n">
        <v>44939</v>
      </c>
      <c r="E809" s="1" t="n">
        <v>46289</v>
      </c>
      <c r="F809" t="inlineStr">
        <is>
          <t>DALARNAS LÄN</t>
        </is>
      </c>
      <c r="G809" t="inlineStr">
        <is>
          <t>RÄTTVIK</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4162-2026</t>
        </is>
      </c>
      <c r="B810" t="inlineStr">
        <is>
          <t>avverkningsanmälan</t>
        </is>
      </c>
      <c r="C810" t="inlineStr">
        <is>
          <t>Föryngringsavverkning</t>
        </is>
      </c>
      <c r="D810" s="1" t="n">
        <v>46044</v>
      </c>
      <c r="E810" s="1" t="n">
        <v>46289</v>
      </c>
      <c r="F810" t="inlineStr">
        <is>
          <t>DALARNAS LÄN</t>
        </is>
      </c>
      <c r="G810" t="inlineStr">
        <is>
          <t>RÄTTVIK</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4677-2026</t>
        </is>
      </c>
      <c r="B811" t="inlineStr">
        <is>
          <t>avverkningsanmälan</t>
        </is>
      </c>
      <c r="C811" t="inlineStr">
        <is>
          <t>Föryngringsavverkning</t>
        </is>
      </c>
      <c r="D811" s="1" t="n">
        <v>46048</v>
      </c>
      <c r="E811" s="1" t="n">
        <v>46289</v>
      </c>
      <c r="F811" t="inlineStr">
        <is>
          <t>DALARNAS LÄN</t>
        </is>
      </c>
      <c r="G811" t="inlineStr">
        <is>
          <t>RÄTTVIK</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20615-2025</t>
        </is>
      </c>
      <c r="B812" t="inlineStr">
        <is>
          <t>avverkningsanmälan</t>
        </is>
      </c>
      <c r="C812" t="inlineStr">
        <is>
          <t>Föryngringsavverkning</t>
        </is>
      </c>
      <c r="D812" s="1" t="n">
        <v>45776</v>
      </c>
      <c r="E812" s="1" t="n">
        <v>46289</v>
      </c>
      <c r="F812" t="inlineStr">
        <is>
          <t>DALARNAS LÄN</t>
        </is>
      </c>
      <c r="G812" t="inlineStr">
        <is>
          <t>RÄTTVIK</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60984-2023</t>
        </is>
      </c>
      <c r="B813" t="inlineStr">
        <is>
          <t>avverkningsanmälan</t>
        </is>
      </c>
      <c r="C813" t="inlineStr">
        <is>
          <t>Föryngringsavverkning</t>
        </is>
      </c>
      <c r="D813" s="1" t="n">
        <v>45259</v>
      </c>
      <c r="E813" s="1" t="n">
        <v>46289</v>
      </c>
      <c r="F813" t="inlineStr">
        <is>
          <t>DALARNAS LÄN</t>
        </is>
      </c>
      <c r="G813" t="inlineStr">
        <is>
          <t>RÄTTVIK</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20298-2026</t>
        </is>
      </c>
      <c r="B814" t="inlineStr">
        <is>
          <t>avverkningsanmälan</t>
        </is>
      </c>
      <c r="C814" t="inlineStr">
        <is>
          <t>Föryngringsavverkning</t>
        </is>
      </c>
      <c r="D814" s="1" t="n">
        <v>46139</v>
      </c>
      <c r="E814" s="1" t="n">
        <v>46289</v>
      </c>
      <c r="F814" t="inlineStr">
        <is>
          <t>DALARNAS LÄN</t>
        </is>
      </c>
      <c r="G814" t="inlineStr">
        <is>
          <t>RÄTTVIK</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26814-2025</t>
        </is>
      </c>
      <c r="B815" t="inlineStr">
        <is>
          <t>avverkningsanmälan</t>
        </is>
      </c>
      <c r="C815" t="inlineStr">
        <is>
          <t>Föryngringsavverkning</t>
        </is>
      </c>
      <c r="D815" s="1" t="n">
        <v>45810</v>
      </c>
      <c r="E815" s="1" t="n">
        <v>46289</v>
      </c>
      <c r="F815" t="inlineStr">
        <is>
          <t>DALARNAS LÄN</t>
        </is>
      </c>
      <c r="G815" t="inlineStr">
        <is>
          <t>RÄTTVIK</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14588-2025</t>
        </is>
      </c>
      <c r="B816" t="inlineStr">
        <is>
          <t>avverkningsanmälan</t>
        </is>
      </c>
      <c r="C816" t="inlineStr">
        <is>
          <t>Föryngringsavverkning</t>
        </is>
      </c>
      <c r="D816" s="1" t="n">
        <v>45742</v>
      </c>
      <c r="E816" s="1" t="n">
        <v>46289</v>
      </c>
      <c r="F816" t="inlineStr">
        <is>
          <t>DALARNAS LÄN</t>
        </is>
      </c>
      <c r="G816" t="inlineStr">
        <is>
          <t>RÄTTVIK</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13171-2022</t>
        </is>
      </c>
      <c r="B817" t="inlineStr">
        <is>
          <t>avverkningsanmälan</t>
        </is>
      </c>
      <c r="C817" t="inlineStr">
        <is>
          <t>Föryngringsavverkning</t>
        </is>
      </c>
      <c r="D817" s="1" t="n">
        <v>44644</v>
      </c>
      <c r="E817" s="1" t="n">
        <v>46289</v>
      </c>
      <c r="F817" t="inlineStr">
        <is>
          <t>DALARNAS LÄN</t>
        </is>
      </c>
      <c r="G817" t="inlineStr">
        <is>
          <t>RÄTTVIK</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33385-2025</t>
        </is>
      </c>
      <c r="B818" t="inlineStr">
        <is>
          <t>avverkningsanmälan</t>
        </is>
      </c>
      <c r="C818" t="inlineStr">
        <is>
          <t>Avverkning för annat ändamål</t>
        </is>
      </c>
      <c r="D818" s="1" t="n">
        <v>45841</v>
      </c>
      <c r="E818" s="1" t="n">
        <v>46289</v>
      </c>
      <c r="F818" t="inlineStr">
        <is>
          <t>DALARNAS LÄN</t>
        </is>
      </c>
      <c r="G818" t="inlineStr">
        <is>
          <t>RÄTTVIK</t>
        </is>
      </c>
      <c r="H818" t="inlineStr">
        <is>
          <t>Sveaskog</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463-2024</t>
        </is>
      </c>
      <c r="B819" t="inlineStr">
        <is>
          <t>avverkningsanmälan</t>
        </is>
      </c>
      <c r="C819" t="inlineStr">
        <is>
          <t>Föryngringsavverkning</t>
        </is>
      </c>
      <c r="D819" s="1" t="n">
        <v>45297</v>
      </c>
      <c r="E819" s="1" t="n">
        <v>46289</v>
      </c>
      <c r="F819" t="inlineStr">
        <is>
          <t>DALARNAS LÄN</t>
        </is>
      </c>
      <c r="G819" t="inlineStr">
        <is>
          <t>RÄTTVIK</t>
        </is>
      </c>
      <c r="H819" t="inlineStr">
        <is>
          <t>Övriga statliga verk och myndigheter</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8381-2024</t>
        </is>
      </c>
      <c r="B820" t="inlineStr">
        <is>
          <t>avverkningsanmälan</t>
        </is>
      </c>
      <c r="C820" t="inlineStr">
        <is>
          <t>Föryngringsavverkning</t>
        </is>
      </c>
      <c r="D820" s="1" t="n">
        <v>45352</v>
      </c>
      <c r="E820" s="1" t="n">
        <v>46289</v>
      </c>
      <c r="F820" t="inlineStr">
        <is>
          <t>DALARNAS LÄN</t>
        </is>
      </c>
      <c r="G820" t="inlineStr">
        <is>
          <t>RÄTTVIK</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4817-2026</t>
        </is>
      </c>
      <c r="B821" t="inlineStr">
        <is>
          <t>avverkningsanmälan</t>
        </is>
      </c>
      <c r="C821" t="inlineStr">
        <is>
          <t>Föryngringsavverkning</t>
        </is>
      </c>
      <c r="D821" s="1" t="n">
        <v>46048</v>
      </c>
      <c r="E821" s="1" t="n">
        <v>46289</v>
      </c>
      <c r="F821" t="inlineStr">
        <is>
          <t>DALARNAS LÄN</t>
        </is>
      </c>
      <c r="G821" t="inlineStr">
        <is>
          <t>RÄTTVIK</t>
        </is>
      </c>
      <c r="I821" t="n">
        <v>8.5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600-2026</t>
        </is>
      </c>
      <c r="B822" t="inlineStr">
        <is>
          <t>avverkningsanmälan</t>
        </is>
      </c>
      <c r="C822" t="inlineStr">
        <is>
          <t>Föryngringsavverkning</t>
        </is>
      </c>
      <c r="D822" s="1" t="n">
        <v>46029</v>
      </c>
      <c r="E822" s="1" t="n">
        <v>46289</v>
      </c>
      <c r="F822" t="inlineStr">
        <is>
          <t>DALARNAS LÄN</t>
        </is>
      </c>
      <c r="G822" t="inlineStr">
        <is>
          <t>RÄTTVIK</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24203-2025</t>
        </is>
      </c>
      <c r="B823" t="inlineStr">
        <is>
          <t>avverkningsanmälan</t>
        </is>
      </c>
      <c r="C823" t="inlineStr">
        <is>
          <t>Föryngringsavverkning</t>
        </is>
      </c>
      <c r="D823" s="1" t="n">
        <v>45797</v>
      </c>
      <c r="E823" s="1" t="n">
        <v>46289</v>
      </c>
      <c r="F823" t="inlineStr">
        <is>
          <t>DALARNAS LÄN</t>
        </is>
      </c>
      <c r="G823" t="inlineStr">
        <is>
          <t>RÄTTVIK</t>
        </is>
      </c>
      <c r="I823" t="n">
        <v>7.6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11537-2026</t>
        </is>
      </c>
      <c r="B824" t="inlineStr">
        <is>
          <t>avverkningsanmälan</t>
        </is>
      </c>
      <c r="C824" t="inlineStr">
        <is>
          <t>Föryngringsavverkning</t>
        </is>
      </c>
      <c r="D824" s="1" t="n">
        <v>46083</v>
      </c>
      <c r="E824" s="1" t="n">
        <v>46289</v>
      </c>
      <c r="F824" t="inlineStr">
        <is>
          <t>DALARNAS LÄN</t>
        </is>
      </c>
      <c r="G824" t="inlineStr">
        <is>
          <t>RÄTTVIK</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169-2026</t>
        </is>
      </c>
      <c r="B825" t="inlineStr">
        <is>
          <t>avverkningsanmälan</t>
        </is>
      </c>
      <c r="C825" t="inlineStr">
        <is>
          <t>Föryngringsavverkning</t>
        </is>
      </c>
      <c r="D825" s="1" t="n">
        <v>46025</v>
      </c>
      <c r="E825" s="1" t="n">
        <v>46289</v>
      </c>
      <c r="F825" t="inlineStr">
        <is>
          <t>DALARNAS LÄN</t>
        </is>
      </c>
      <c r="G825" t="inlineStr">
        <is>
          <t>RÄTTVIK</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170-2026</t>
        </is>
      </c>
      <c r="B826" t="inlineStr">
        <is>
          <t>avverkningsanmälan</t>
        </is>
      </c>
      <c r="C826" t="inlineStr">
        <is>
          <t>Föryngringsavverkning</t>
        </is>
      </c>
      <c r="D826" s="1" t="n">
        <v>46025</v>
      </c>
      <c r="E826" s="1" t="n">
        <v>46289</v>
      </c>
      <c r="F826" t="inlineStr">
        <is>
          <t>DALARNAS LÄN</t>
        </is>
      </c>
      <c r="G826" t="inlineStr">
        <is>
          <t>RÄTTVIK</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47031-2024</t>
        </is>
      </c>
      <c r="B827" t="inlineStr">
        <is>
          <t>avverkningsanmälan</t>
        </is>
      </c>
      <c r="C827" t="inlineStr">
        <is>
          <t>Föryngringsavverkning</t>
        </is>
      </c>
      <c r="D827" s="1" t="n">
        <v>45586</v>
      </c>
      <c r="E827" s="1" t="n">
        <v>46289</v>
      </c>
      <c r="F827" t="inlineStr">
        <is>
          <t>DALARNAS LÄN</t>
        </is>
      </c>
      <c r="G827" t="inlineStr">
        <is>
          <t>RÄTTVIK</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5051-2026</t>
        </is>
      </c>
      <c r="B828" t="inlineStr">
        <is>
          <t>avverkningsanmälan</t>
        </is>
      </c>
      <c r="C828" t="inlineStr">
        <is>
          <t>Föryngringsavverkning</t>
        </is>
      </c>
      <c r="D828" s="1" t="n">
        <v>46049</v>
      </c>
      <c r="E828" s="1" t="n">
        <v>46289</v>
      </c>
      <c r="F828" t="inlineStr">
        <is>
          <t>DALARNAS LÄN</t>
        </is>
      </c>
      <c r="G828" t="inlineStr">
        <is>
          <t>RÄTTVIK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63788-2025</t>
        </is>
      </c>
      <c r="B829" t="inlineStr">
        <is>
          <t>avverkningsanmälan</t>
        </is>
      </c>
      <c r="C829" t="inlineStr">
        <is>
          <t>Föryngringsavverkning</t>
        </is>
      </c>
      <c r="D829" s="1" t="n">
        <v>46019</v>
      </c>
      <c r="E829" s="1" t="n">
        <v>46289</v>
      </c>
      <c r="F829" t="inlineStr">
        <is>
          <t>DALARNAS LÄN</t>
        </is>
      </c>
      <c r="G829" t="inlineStr">
        <is>
          <t>RÄTTVIK</t>
        </is>
      </c>
      <c r="I829" t="n">
        <v>9.300000000000001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3655-2024</t>
        </is>
      </c>
      <c r="B830" t="inlineStr">
        <is>
          <t>avverkningsanmälan</t>
        </is>
      </c>
      <c r="C830" t="inlineStr">
        <is>
          <t>Föryngringsavverkning</t>
        </is>
      </c>
      <c r="D830" s="1" t="n">
        <v>45321</v>
      </c>
      <c r="E830" s="1" t="n">
        <v>46289</v>
      </c>
      <c r="F830" t="inlineStr">
        <is>
          <t>DALARNAS LÄN</t>
        </is>
      </c>
      <c r="G830" t="inlineStr">
        <is>
          <t>RÄTTVIK</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20403-2025</t>
        </is>
      </c>
      <c r="B831" t="inlineStr">
        <is>
          <t>avverkningsanmälan</t>
        </is>
      </c>
      <c r="C831" t="inlineStr">
        <is>
          <t>Föryngringsavverkning</t>
        </is>
      </c>
      <c r="D831" s="1" t="n">
        <v>45775</v>
      </c>
      <c r="E831" s="1" t="n">
        <v>46289</v>
      </c>
      <c r="F831" t="inlineStr">
        <is>
          <t>DALARNAS LÄN</t>
        </is>
      </c>
      <c r="G831" t="inlineStr">
        <is>
          <t>RÄTTVIK</t>
        </is>
      </c>
      <c r="H831" t="inlineStr">
        <is>
          <t>Övriga statliga verk och myndigheter</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20817-2026</t>
        </is>
      </c>
      <c r="B832" t="inlineStr">
        <is>
          <t>avverkningsanmälan</t>
        </is>
      </c>
      <c r="C832" t="inlineStr">
        <is>
          <t>Föryngringsavverkning</t>
        </is>
      </c>
      <c r="D832" s="1" t="n">
        <v>46141</v>
      </c>
      <c r="E832" s="1" t="n">
        <v>46289</v>
      </c>
      <c r="F832" t="inlineStr">
        <is>
          <t>DALARNAS LÄN</t>
        </is>
      </c>
      <c r="G832" t="inlineStr">
        <is>
          <t>RÄTTVIK</t>
        </is>
      </c>
      <c r="I832" t="n">
        <v>9.1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20818-2026</t>
        </is>
      </c>
      <c r="B833" t="inlineStr">
        <is>
          <t>avverkningsanmälan</t>
        </is>
      </c>
      <c r="C833" t="inlineStr">
        <is>
          <t>Föryngringsavverkning</t>
        </is>
      </c>
      <c r="D833" s="1" t="n">
        <v>46141</v>
      </c>
      <c r="E833" s="1" t="n">
        <v>46289</v>
      </c>
      <c r="F833" t="inlineStr">
        <is>
          <t>DALARNAS LÄN</t>
        </is>
      </c>
      <c r="G833" t="inlineStr">
        <is>
          <t>RÄTTVIK</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11468-2026</t>
        </is>
      </c>
      <c r="B834" t="inlineStr">
        <is>
          <t>avverkningsanmälan</t>
        </is>
      </c>
      <c r="C834" t="inlineStr">
        <is>
          <t>Föryngringsavverkning</t>
        </is>
      </c>
      <c r="D834" s="1" t="n">
        <v>46083</v>
      </c>
      <c r="E834" s="1" t="n">
        <v>46289</v>
      </c>
      <c r="F834" t="inlineStr">
        <is>
          <t>DALARNAS LÄN</t>
        </is>
      </c>
      <c r="G834" t="inlineStr">
        <is>
          <t>RÄTTVIK</t>
        </is>
      </c>
      <c r="I834" t="n">
        <v>9.6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53080-2024</t>
        </is>
      </c>
      <c r="B835" t="inlineStr">
        <is>
          <t>avverkningsanmälan</t>
        </is>
      </c>
      <c r="C835" t="inlineStr">
        <is>
          <t>Avverkning för att bevara och utveckla /försöksver</t>
        </is>
      </c>
      <c r="D835" s="1" t="n">
        <v>45611</v>
      </c>
      <c r="E835" s="1" t="n">
        <v>46289</v>
      </c>
      <c r="F835" t="inlineStr">
        <is>
          <t>DALARNAS LÄN</t>
        </is>
      </c>
      <c r="G835" t="inlineStr">
        <is>
          <t>RÄTTVIK</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24903-2025</t>
        </is>
      </c>
      <c r="B836" t="inlineStr">
        <is>
          <t>avverkningsanmälan</t>
        </is>
      </c>
      <c r="C836" t="inlineStr">
        <is>
          <t>Föryngringsavverkning</t>
        </is>
      </c>
      <c r="D836" s="1" t="n">
        <v>45799</v>
      </c>
      <c r="E836" s="1" t="n">
        <v>46289</v>
      </c>
      <c r="F836" t="inlineStr">
        <is>
          <t>DALARNAS LÄN</t>
        </is>
      </c>
      <c r="G836" t="inlineStr">
        <is>
          <t>RÄTTVIK</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7851-2026</t>
        </is>
      </c>
      <c r="B837" t="inlineStr">
        <is>
          <t>avverkningsanmälan</t>
        </is>
      </c>
      <c r="C837" t="inlineStr">
        <is>
          <t>Föryngringsavverkning</t>
        </is>
      </c>
      <c r="D837" s="1" t="n">
        <v>46062</v>
      </c>
      <c r="E837" s="1" t="n">
        <v>46289</v>
      </c>
      <c r="F837" t="inlineStr">
        <is>
          <t>DALARNAS LÄN</t>
        </is>
      </c>
      <c r="G837" t="inlineStr">
        <is>
          <t>RÄTTVIK</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15087-2026</t>
        </is>
      </c>
      <c r="B838" t="inlineStr">
        <is>
          <t>avverkningsanmälan</t>
        </is>
      </c>
      <c r="C838" t="inlineStr">
        <is>
          <t>Föryngringsavverkning</t>
        </is>
      </c>
      <c r="D838" s="1" t="n">
        <v>46105</v>
      </c>
      <c r="E838" s="1" t="n">
        <v>46289</v>
      </c>
      <c r="F838" t="inlineStr">
        <is>
          <t>DALARNAS LÄN</t>
        </is>
      </c>
      <c r="G838" t="inlineStr">
        <is>
          <t>RÄTTVIK</t>
        </is>
      </c>
      <c r="H838" t="inlineStr">
        <is>
          <t>Allmännings- och besparingsskogar</t>
        </is>
      </c>
      <c r="I838" t="n">
        <v>42.9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47201-2025</t>
        </is>
      </c>
      <c r="B839" t="inlineStr">
        <is>
          <t>avverkningsanmälan</t>
        </is>
      </c>
      <c r="C839" t="inlineStr">
        <is>
          <t>Föryngringsavverkning</t>
        </is>
      </c>
      <c r="D839" s="1" t="n">
        <v>45930</v>
      </c>
      <c r="E839" s="1" t="n">
        <v>46289</v>
      </c>
      <c r="F839" t="inlineStr">
        <is>
          <t>DALARNAS LÄN</t>
        </is>
      </c>
      <c r="G839" t="inlineStr">
        <is>
          <t>RÄTTVIK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59307-2023</t>
        </is>
      </c>
      <c r="B840" t="inlineStr">
        <is>
          <t>avverkningsanmälan</t>
        </is>
      </c>
      <c r="C840" t="inlineStr">
        <is>
          <t>Föryngringsavverkning</t>
        </is>
      </c>
      <c r="D840" s="1" t="n">
        <v>45253</v>
      </c>
      <c r="E840" s="1" t="n">
        <v>46289</v>
      </c>
      <c r="F840" t="inlineStr">
        <is>
          <t>DALARNAS LÄN</t>
        </is>
      </c>
      <c r="G840" t="inlineStr">
        <is>
          <t>RÄTTVIK</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20702-2026</t>
        </is>
      </c>
      <c r="B841" t="inlineStr">
        <is>
          <t>avverkningsanmälan</t>
        </is>
      </c>
      <c r="C841" t="inlineStr">
        <is>
          <t>Föryngringsavverkning</t>
        </is>
      </c>
      <c r="D841" s="1" t="n">
        <v>46141</v>
      </c>
      <c r="E841" s="1" t="n">
        <v>46289</v>
      </c>
      <c r="F841" t="inlineStr">
        <is>
          <t>DALARNAS LÄN</t>
        </is>
      </c>
      <c r="G841" t="inlineStr">
        <is>
          <t>RÄTTVIK</t>
        </is>
      </c>
      <c r="H841" t="inlineStr">
        <is>
          <t>Bergvik skog väst AB</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47616-2024</t>
        </is>
      </c>
      <c r="B842" t="inlineStr">
        <is>
          <t>avverkningsanmälan</t>
        </is>
      </c>
      <c r="C842" t="inlineStr">
        <is>
          <t>Föryngringsavverkning</t>
        </is>
      </c>
      <c r="D842" s="1" t="n">
        <v>45588</v>
      </c>
      <c r="E842" s="1" t="n">
        <v>46289</v>
      </c>
      <c r="F842" t="inlineStr">
        <is>
          <t>DALARNAS LÄN</t>
        </is>
      </c>
      <c r="G842" t="inlineStr">
        <is>
          <t>RÄTTVIK</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32862-2023</t>
        </is>
      </c>
      <c r="B843" t="inlineStr">
        <is>
          <t>avverkningsanmälan</t>
        </is>
      </c>
      <c r="C843" t="inlineStr">
        <is>
          <t>Föryngringsavverkning</t>
        </is>
      </c>
      <c r="D843" s="1" t="n">
        <v>45112</v>
      </c>
      <c r="E843" s="1" t="n">
        <v>46289</v>
      </c>
      <c r="F843" t="inlineStr">
        <is>
          <t>DALARNAS LÄN</t>
        </is>
      </c>
      <c r="G843" t="inlineStr">
        <is>
          <t>RÄTTVIK</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20691-2026</t>
        </is>
      </c>
      <c r="B844" t="inlineStr">
        <is>
          <t>avverkningsanmälan</t>
        </is>
      </c>
      <c r="C844" t="inlineStr">
        <is>
          <t>Föryngringsavverkning</t>
        </is>
      </c>
      <c r="D844" s="1" t="n">
        <v>46141</v>
      </c>
      <c r="E844" s="1" t="n">
        <v>46289</v>
      </c>
      <c r="F844" t="inlineStr">
        <is>
          <t>DALARNAS LÄN</t>
        </is>
      </c>
      <c r="G844" t="inlineStr">
        <is>
          <t>RÄTTVIK</t>
        </is>
      </c>
      <c r="H844" t="inlineStr">
        <is>
          <t>Bergvik skog väst AB</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20692-2026</t>
        </is>
      </c>
      <c r="B845" t="inlineStr">
        <is>
          <t>avverkningsanmälan</t>
        </is>
      </c>
      <c r="C845" t="inlineStr">
        <is>
          <t>Föryngringsavverkning</t>
        </is>
      </c>
      <c r="D845" s="1" t="n">
        <v>46141</v>
      </c>
      <c r="E845" s="1" t="n">
        <v>46289</v>
      </c>
      <c r="F845" t="inlineStr">
        <is>
          <t>DALARNAS LÄN</t>
        </is>
      </c>
      <c r="G845" t="inlineStr">
        <is>
          <t>RÄTTVIK</t>
        </is>
      </c>
      <c r="H845" t="inlineStr">
        <is>
          <t>Bergvik skog väst AB</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37591-2024</t>
        </is>
      </c>
      <c r="B846" t="inlineStr">
        <is>
          <t>avverkningsanmälan</t>
        </is>
      </c>
      <c r="C846" t="inlineStr">
        <is>
          <t>Föryngringsavverkning</t>
        </is>
      </c>
      <c r="D846" s="1" t="n">
        <v>45541</v>
      </c>
      <c r="E846" s="1" t="n">
        <v>46289</v>
      </c>
      <c r="F846" t="inlineStr">
        <is>
          <t>DALARNAS LÄN</t>
        </is>
      </c>
      <c r="G846" t="inlineStr">
        <is>
          <t>RÄTTVIK</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56383-2024</t>
        </is>
      </c>
      <c r="B847" t="inlineStr">
        <is>
          <t>avverkningsanmälan</t>
        </is>
      </c>
      <c r="C847" t="inlineStr">
        <is>
          <t>Föryngringsavverkning</t>
        </is>
      </c>
      <c r="D847" s="1" t="n">
        <v>45625</v>
      </c>
      <c r="E847" s="1" t="n">
        <v>46289</v>
      </c>
      <c r="F847" t="inlineStr">
        <is>
          <t>DALARNAS LÄN</t>
        </is>
      </c>
      <c r="G847" t="inlineStr">
        <is>
          <t>RÄTTVIK</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20939-2026</t>
        </is>
      </c>
      <c r="B848" t="inlineStr">
        <is>
          <t>avverkningsanmälan</t>
        </is>
      </c>
      <c r="C848" t="inlineStr">
        <is>
          <t>Föryngringsavverkning</t>
        </is>
      </c>
      <c r="D848" s="1" t="n">
        <v>46142</v>
      </c>
      <c r="E848" s="1" t="n">
        <v>46289</v>
      </c>
      <c r="F848" t="inlineStr">
        <is>
          <t>DALARNAS LÄN</t>
        </is>
      </c>
      <c r="G848" t="inlineStr">
        <is>
          <t>RÄTTVIK</t>
        </is>
      </c>
      <c r="H848" t="inlineStr">
        <is>
          <t>Sveaskog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5570-2026</t>
        </is>
      </c>
      <c r="B849" t="inlineStr">
        <is>
          <t>avverkningsanmälan</t>
        </is>
      </c>
      <c r="C849" t="inlineStr">
        <is>
          <t>Föryngringsavverkning</t>
        </is>
      </c>
      <c r="D849" s="1" t="n">
        <v>46050</v>
      </c>
      <c r="E849" s="1" t="n">
        <v>46289</v>
      </c>
      <c r="F849" t="inlineStr">
        <is>
          <t>DALARNAS LÄN</t>
        </is>
      </c>
      <c r="G849" t="inlineStr">
        <is>
          <t>RÄTTVIK</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19230-2026</t>
        </is>
      </c>
      <c r="B850" t="inlineStr">
        <is>
          <t>avverkningsanmälan</t>
        </is>
      </c>
      <c r="C850" t="inlineStr">
        <is>
          <t>Föryngringsavverkning</t>
        </is>
      </c>
      <c r="D850" s="1" t="n">
        <v>46132</v>
      </c>
      <c r="E850" s="1" t="n">
        <v>46289</v>
      </c>
      <c r="F850" t="inlineStr">
        <is>
          <t>DALARNAS LÄN</t>
        </is>
      </c>
      <c r="G850" t="inlineStr">
        <is>
          <t>RÄTTVIK</t>
        </is>
      </c>
      <c r="H850" t="inlineStr">
        <is>
          <t>Bergvik skog väst AB</t>
        </is>
      </c>
      <c r="I850" t="n">
        <v>46.6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40659-2025</t>
        </is>
      </c>
      <c r="B851" t="inlineStr">
        <is>
          <t>avverkningsanmälan</t>
        </is>
      </c>
      <c r="C851" t="inlineStr">
        <is>
          <t>Föryngringsavverkning</t>
        </is>
      </c>
      <c r="D851" s="1" t="n">
        <v>45896</v>
      </c>
      <c r="E851" s="1" t="n">
        <v>46289</v>
      </c>
      <c r="F851" t="inlineStr">
        <is>
          <t>DALARNAS LÄN</t>
        </is>
      </c>
      <c r="G851" t="inlineStr">
        <is>
          <t>RÄTTVIK</t>
        </is>
      </c>
      <c r="I851" t="n">
        <v>16.3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6007-2026</t>
        </is>
      </c>
      <c r="B852" t="inlineStr">
        <is>
          <t>avverkningsanmälan</t>
        </is>
      </c>
      <c r="C852" t="inlineStr">
        <is>
          <t>Föryngringsavverkning</t>
        </is>
      </c>
      <c r="D852" s="1" t="n">
        <v>46052</v>
      </c>
      <c r="E852" s="1" t="n">
        <v>46289</v>
      </c>
      <c r="F852" t="inlineStr">
        <is>
          <t>DALARNAS LÄN</t>
        </is>
      </c>
      <c r="G852" t="inlineStr">
        <is>
          <t>RÄTTVIK</t>
        </is>
      </c>
      <c r="H852" t="inlineStr">
        <is>
          <t>Kyrkan</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15573-2026</t>
        </is>
      </c>
      <c r="B853" t="inlineStr">
        <is>
          <t>avverkningsanmälan</t>
        </is>
      </c>
      <c r="C853" t="inlineStr">
        <is>
          <t>Föryngringsavverkning</t>
        </is>
      </c>
      <c r="D853" s="1" t="n">
        <v>46106</v>
      </c>
      <c r="E853" s="1" t="n">
        <v>46289</v>
      </c>
      <c r="F853" t="inlineStr">
        <is>
          <t>DALARNAS LÄN</t>
        </is>
      </c>
      <c r="G853" t="inlineStr">
        <is>
          <t>RÄTTVIK</t>
        </is>
      </c>
      <c r="H853" t="inlineStr">
        <is>
          <t>Bergvik skog väst AB</t>
        </is>
      </c>
      <c r="I853" t="n">
        <v>20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53932-2024</t>
        </is>
      </c>
      <c r="B854" t="inlineStr">
        <is>
          <t>avverkningsanmälan</t>
        </is>
      </c>
      <c r="C854" t="inlineStr">
        <is>
          <t>Föryngringsavverkning</t>
        </is>
      </c>
      <c r="D854" s="1" t="n">
        <v>45615</v>
      </c>
      <c r="E854" s="1" t="n">
        <v>46289</v>
      </c>
      <c r="F854" t="inlineStr">
        <is>
          <t>DALARNAS LÄN</t>
        </is>
      </c>
      <c r="G854" t="inlineStr">
        <is>
          <t>RÄTTVIK</t>
        </is>
      </c>
      <c r="I854" t="n">
        <v>12.7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53127-2025</t>
        </is>
      </c>
      <c r="B855" t="inlineStr">
        <is>
          <t>avverkningsanmälan</t>
        </is>
      </c>
      <c r="C855" t="inlineStr">
        <is>
          <t>Föryngringsavverkning</t>
        </is>
      </c>
      <c r="D855" s="1" t="n">
        <v>45957</v>
      </c>
      <c r="E855" s="1" t="n">
        <v>46289</v>
      </c>
      <c r="F855" t="inlineStr">
        <is>
          <t>DALARNAS LÄN</t>
        </is>
      </c>
      <c r="G855" t="inlineStr">
        <is>
          <t>RÄTTVIK</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2078-2026</t>
        </is>
      </c>
      <c r="B856" t="inlineStr">
        <is>
          <t>avverkningsanmälan</t>
        </is>
      </c>
      <c r="C856" t="inlineStr">
        <is>
          <t>Föryngringsavverkning</t>
        </is>
      </c>
      <c r="D856" s="1" t="n">
        <v>46036</v>
      </c>
      <c r="E856" s="1" t="n">
        <v>46289</v>
      </c>
      <c r="F856" t="inlineStr">
        <is>
          <t>DALARNAS LÄN</t>
        </is>
      </c>
      <c r="G856" t="inlineStr">
        <is>
          <t>RÄTTVIK</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9371-2026</t>
        </is>
      </c>
      <c r="B857" t="inlineStr">
        <is>
          <t>avverkningsanmälan</t>
        </is>
      </c>
      <c r="C857" t="inlineStr">
        <is>
          <t>Föryngringsavverkning</t>
        </is>
      </c>
      <c r="D857" s="1" t="n">
        <v>46070</v>
      </c>
      <c r="E857" s="1" t="n">
        <v>46289</v>
      </c>
      <c r="F857" t="inlineStr">
        <is>
          <t>DALARNAS LÄN</t>
        </is>
      </c>
      <c r="G857" t="inlineStr">
        <is>
          <t>RÄTTVIK</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4355-2025</t>
        </is>
      </c>
      <c r="B858" t="inlineStr">
        <is>
          <t>avverkningsanmälan</t>
        </is>
      </c>
      <c r="C858" t="inlineStr">
        <is>
          <t>Föryngringsavverkning</t>
        </is>
      </c>
      <c r="D858" s="1" t="n">
        <v>45686</v>
      </c>
      <c r="E858" s="1" t="n">
        <v>46289</v>
      </c>
      <c r="F858" t="inlineStr">
        <is>
          <t>DALARNAS LÄN</t>
        </is>
      </c>
      <c r="G858" t="inlineStr">
        <is>
          <t>RÄTTVIK</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11749-2026</t>
        </is>
      </c>
      <c r="B859" t="inlineStr">
        <is>
          <t>avverkningsanmälan</t>
        </is>
      </c>
      <c r="C859" t="inlineStr">
        <is>
          <t>Föryngringsavverkning</t>
        </is>
      </c>
      <c r="D859" s="1" t="n">
        <v>46084</v>
      </c>
      <c r="E859" s="1" t="n">
        <v>46289</v>
      </c>
      <c r="F859" t="inlineStr">
        <is>
          <t>DALARNAS LÄN</t>
        </is>
      </c>
      <c r="G859" t="inlineStr">
        <is>
          <t>RÄTTVIK</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55920-2024</t>
        </is>
      </c>
      <c r="B860" t="inlineStr">
        <is>
          <t>avverkningsanmälan</t>
        </is>
      </c>
      <c r="C860" t="inlineStr">
        <is>
          <t>Föryngringsavverkning</t>
        </is>
      </c>
      <c r="D860" s="1" t="n">
        <v>45623</v>
      </c>
      <c r="E860" s="1" t="n">
        <v>46289</v>
      </c>
      <c r="F860" t="inlineStr">
        <is>
          <t>DALARNAS LÄN</t>
        </is>
      </c>
      <c r="G860" t="inlineStr">
        <is>
          <t>RÄTTVIK</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21156-2026</t>
        </is>
      </c>
      <c r="B861" t="inlineStr">
        <is>
          <t>avverkningsanmälan</t>
        </is>
      </c>
      <c r="C861" t="inlineStr">
        <is>
          <t>Föryngringsavverkning</t>
        </is>
      </c>
      <c r="D861" s="1" t="n">
        <v>46146</v>
      </c>
      <c r="E861" s="1" t="n">
        <v>46289</v>
      </c>
      <c r="F861" t="inlineStr">
        <is>
          <t>DALARNAS LÄN</t>
        </is>
      </c>
      <c r="G861" t="inlineStr">
        <is>
          <t>RÄTTVIK</t>
        </is>
      </c>
      <c r="H861" t="inlineStr">
        <is>
          <t>Sveaskog</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19619-2024</t>
        </is>
      </c>
      <c r="B862" t="inlineStr">
        <is>
          <t>avverkningsanmälan</t>
        </is>
      </c>
      <c r="C862" t="inlineStr">
        <is>
          <t>Föryngringsavverkning</t>
        </is>
      </c>
      <c r="D862" s="1" t="n">
        <v>45432</v>
      </c>
      <c r="E862" s="1" t="n">
        <v>46289</v>
      </c>
      <c r="F862" t="inlineStr">
        <is>
          <t>DALARNAS LÄN</t>
        </is>
      </c>
      <c r="G862" t="inlineStr">
        <is>
          <t>RÄTTVIK</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59718-2024</t>
        </is>
      </c>
      <c r="B863" t="inlineStr">
        <is>
          <t>avverkningsanmälan</t>
        </is>
      </c>
      <c r="C863" t="inlineStr">
        <is>
          <t>Föryngringsavverkning</t>
        </is>
      </c>
      <c r="D863" s="1" t="n">
        <v>45639</v>
      </c>
      <c r="E863" s="1" t="n">
        <v>46289</v>
      </c>
      <c r="F863" t="inlineStr">
        <is>
          <t>DALARNAS LÄN</t>
        </is>
      </c>
      <c r="G863" t="inlineStr">
        <is>
          <t>RÄTTVIK</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10807-2025</t>
        </is>
      </c>
      <c r="B864" t="inlineStr">
        <is>
          <t>avverkningsanmälan</t>
        </is>
      </c>
      <c r="C864" t="inlineStr">
        <is>
          <t>Föryngringsavverkning</t>
        </is>
      </c>
      <c r="D864" s="1" t="n">
        <v>45722</v>
      </c>
      <c r="E864" s="1" t="n">
        <v>46289</v>
      </c>
      <c r="F864" t="inlineStr">
        <is>
          <t>DALARNAS LÄN</t>
        </is>
      </c>
      <c r="G864" t="inlineStr">
        <is>
          <t>RÄTTVIK</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55624-2025</t>
        </is>
      </c>
      <c r="B865" t="inlineStr">
        <is>
          <t>avverkningsanmälan</t>
        </is>
      </c>
      <c r="C865" t="inlineStr">
        <is>
          <t>Föryngringsavverkning</t>
        </is>
      </c>
      <c r="D865" s="1" t="n">
        <v>45972</v>
      </c>
      <c r="E865" s="1" t="n">
        <v>46289</v>
      </c>
      <c r="F865" t="inlineStr">
        <is>
          <t>DALARNAS LÄN</t>
        </is>
      </c>
      <c r="G865" t="inlineStr">
        <is>
          <t>RÄTTVIK</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55172-2025</t>
        </is>
      </c>
      <c r="B866" t="inlineStr">
        <is>
          <t>avverkningsanmälan</t>
        </is>
      </c>
      <c r="C866" t="inlineStr">
        <is>
          <t>Föryngringsavverkning</t>
        </is>
      </c>
      <c r="D866" s="1" t="n">
        <v>45968</v>
      </c>
      <c r="E866" s="1" t="n">
        <v>46289</v>
      </c>
      <c r="F866" t="inlineStr">
        <is>
          <t>DALARNAS LÄN</t>
        </is>
      </c>
      <c r="G866" t="inlineStr">
        <is>
          <t>RÄTTVIK</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2043-2025</t>
        </is>
      </c>
      <c r="B867" t="inlineStr">
        <is>
          <t>avverkningsanmälan</t>
        </is>
      </c>
      <c r="C867" t="inlineStr">
        <is>
          <t>Föryngringsavverkning</t>
        </is>
      </c>
      <c r="D867" s="1" t="n">
        <v>45671</v>
      </c>
      <c r="E867" s="1" t="n">
        <v>46289</v>
      </c>
      <c r="F867" t="inlineStr">
        <is>
          <t>DALARNAS LÄN</t>
        </is>
      </c>
      <c r="G867" t="inlineStr">
        <is>
          <t>RÄTTVIK</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11003-2026</t>
        </is>
      </c>
      <c r="B868" t="inlineStr">
        <is>
          <t>avverkningsanmälan</t>
        </is>
      </c>
      <c r="C868" t="inlineStr">
        <is>
          <t>Föryngringsavverkning</t>
        </is>
      </c>
      <c r="D868" s="1" t="n">
        <v>46079</v>
      </c>
      <c r="E868" s="1" t="n">
        <v>46289</v>
      </c>
      <c r="F868" t="inlineStr">
        <is>
          <t>DALARNAS LÄN</t>
        </is>
      </c>
      <c r="G868" t="inlineStr">
        <is>
          <t>RÄTTVIK</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21185-2026</t>
        </is>
      </c>
      <c r="B869" t="inlineStr">
        <is>
          <t>avverkningsanmälan</t>
        </is>
      </c>
      <c r="C869" t="inlineStr">
        <is>
          <t>Föryngringsavverkning</t>
        </is>
      </c>
      <c r="D869" s="1" t="n">
        <v>46146</v>
      </c>
      <c r="E869" s="1" t="n">
        <v>46289</v>
      </c>
      <c r="F869" t="inlineStr">
        <is>
          <t>DALARNAS LÄN</t>
        </is>
      </c>
      <c r="G869" t="inlineStr">
        <is>
          <t>RÄTTVIK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21497-2026</t>
        </is>
      </c>
      <c r="B870" t="inlineStr">
        <is>
          <t>avverkningsanmälan</t>
        </is>
      </c>
      <c r="C870" t="inlineStr">
        <is>
          <t>Föryngringsavverkning</t>
        </is>
      </c>
      <c r="D870" s="1" t="n">
        <v>46148</v>
      </c>
      <c r="E870" s="1" t="n">
        <v>46289</v>
      </c>
      <c r="F870" t="inlineStr">
        <is>
          <t>DALARNAS LÄN</t>
        </is>
      </c>
      <c r="G870" t="inlineStr">
        <is>
          <t>RÄTTVIK</t>
        </is>
      </c>
      <c r="H870" t="inlineStr">
        <is>
          <t>Bergvik skog väst AB</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21493-2026</t>
        </is>
      </c>
      <c r="B871" t="inlineStr">
        <is>
          <t>avverkningsanmälan</t>
        </is>
      </c>
      <c r="C871" t="inlineStr">
        <is>
          <t>Föryngringsavverkning</t>
        </is>
      </c>
      <c r="D871" s="1" t="n">
        <v>46148</v>
      </c>
      <c r="E871" s="1" t="n">
        <v>46289</v>
      </c>
      <c r="F871" t="inlineStr">
        <is>
          <t>DALARNAS LÄN</t>
        </is>
      </c>
      <c r="G871" t="inlineStr">
        <is>
          <t>RÄTTVIK</t>
        </is>
      </c>
      <c r="H871" t="inlineStr">
        <is>
          <t>Bergvik skog väst AB</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21492-2026</t>
        </is>
      </c>
      <c r="B872" t="inlineStr">
        <is>
          <t>avverkningsanmälan</t>
        </is>
      </c>
      <c r="C872" t="inlineStr">
        <is>
          <t>Föryngringsavverkning</t>
        </is>
      </c>
      <c r="D872" s="1" t="n">
        <v>46148</v>
      </c>
      <c r="E872" s="1" t="n">
        <v>46289</v>
      </c>
      <c r="F872" t="inlineStr">
        <is>
          <t>DALARNAS LÄN</t>
        </is>
      </c>
      <c r="G872" t="inlineStr">
        <is>
          <t>RÄTTVIK</t>
        </is>
      </c>
      <c r="H872" t="inlineStr">
        <is>
          <t>Bergvik skog väst AB</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21496-2026</t>
        </is>
      </c>
      <c r="B873" t="inlineStr">
        <is>
          <t>avverkningsanmälan</t>
        </is>
      </c>
      <c r="C873" t="inlineStr">
        <is>
          <t>Föryngringsavverkning</t>
        </is>
      </c>
      <c r="D873" s="1" t="n">
        <v>46148</v>
      </c>
      <c r="E873" s="1" t="n">
        <v>46289</v>
      </c>
      <c r="F873" t="inlineStr">
        <is>
          <t>DALARNAS LÄN</t>
        </is>
      </c>
      <c r="G873" t="inlineStr">
        <is>
          <t>RÄTTVIK</t>
        </is>
      </c>
      <c r="H873" t="inlineStr">
        <is>
          <t>Bergvik skog väst AB</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20652-2025</t>
        </is>
      </c>
      <c r="B874" t="inlineStr">
        <is>
          <t>avverkningsanmälan</t>
        </is>
      </c>
      <c r="C874" t="inlineStr">
        <is>
          <t>Föryngringsavverkning</t>
        </is>
      </c>
      <c r="D874" s="1" t="n">
        <v>45776</v>
      </c>
      <c r="E874" s="1" t="n">
        <v>46289</v>
      </c>
      <c r="F874" t="inlineStr">
        <is>
          <t>DALARNAS LÄN</t>
        </is>
      </c>
      <c r="G874" t="inlineStr">
        <is>
          <t>RÄTTVIK</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21470-2026</t>
        </is>
      </c>
      <c r="B875" t="inlineStr">
        <is>
          <t>avverkningsanmälan</t>
        </is>
      </c>
      <c r="C875" t="inlineStr">
        <is>
          <t>Föryngringsavverkning</t>
        </is>
      </c>
      <c r="D875" s="1" t="n">
        <v>46148</v>
      </c>
      <c r="E875" s="1" t="n">
        <v>46289</v>
      </c>
      <c r="F875" t="inlineStr">
        <is>
          <t>DALARNAS LÄN</t>
        </is>
      </c>
      <c r="G875" t="inlineStr">
        <is>
          <t>RÄTTVIK</t>
        </is>
      </c>
      <c r="H875" t="inlineStr">
        <is>
          <t>Bergvik skog väst AB</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20616-2025</t>
        </is>
      </c>
      <c r="B876" t="inlineStr">
        <is>
          <t>avverkningsanmälan</t>
        </is>
      </c>
      <c r="C876" t="inlineStr">
        <is>
          <t>Föryngringsavverkning</t>
        </is>
      </c>
      <c r="D876" s="1" t="n">
        <v>45776</v>
      </c>
      <c r="E876" s="1" t="n">
        <v>46289</v>
      </c>
      <c r="F876" t="inlineStr">
        <is>
          <t>DALARNAS LÄN</t>
        </is>
      </c>
      <c r="G876" t="inlineStr">
        <is>
          <t>RÄTTVIK</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21723-2026</t>
        </is>
      </c>
      <c r="B877" t="inlineStr">
        <is>
          <t>avverkningsanmälan</t>
        </is>
      </c>
      <c r="C877" t="inlineStr">
        <is>
          <t>Föryngringsavverkning</t>
        </is>
      </c>
      <c r="D877" s="1" t="n">
        <v>46149</v>
      </c>
      <c r="E877" s="1" t="n">
        <v>46289</v>
      </c>
      <c r="F877" t="inlineStr">
        <is>
          <t>DALARNAS LÄN</t>
        </is>
      </c>
      <c r="G877" t="inlineStr">
        <is>
          <t>RÄTTVIK</t>
        </is>
      </c>
      <c r="H877" t="inlineStr">
        <is>
          <t>Bergvik skog väst AB</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21238-2025</t>
        </is>
      </c>
      <c r="B878" t="inlineStr">
        <is>
          <t>avverkningsanmälan</t>
        </is>
      </c>
      <c r="C878" t="inlineStr">
        <is>
          <t>Föryngringsavverkning</t>
        </is>
      </c>
      <c r="D878" s="1" t="n">
        <v>45779</v>
      </c>
      <c r="E878" s="1" t="n">
        <v>46289</v>
      </c>
      <c r="F878" t="inlineStr">
        <is>
          <t>DALARNAS LÄN</t>
        </is>
      </c>
      <c r="G878" t="inlineStr">
        <is>
          <t>RÄTTVIK</t>
        </is>
      </c>
      <c r="H878" t="inlineStr">
        <is>
          <t>Sveaskog</t>
        </is>
      </c>
      <c r="I878" t="n">
        <v>13.1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21363-2025</t>
        </is>
      </c>
      <c r="B879" t="inlineStr">
        <is>
          <t>avverkningsanmälan</t>
        </is>
      </c>
      <c r="C879" t="inlineStr">
        <is>
          <t>Föryngringsavverkning</t>
        </is>
      </c>
      <c r="D879" s="1" t="n">
        <v>45782</v>
      </c>
      <c r="E879" s="1" t="n">
        <v>46289</v>
      </c>
      <c r="F879" t="inlineStr">
        <is>
          <t>DALARNAS LÄN</t>
        </is>
      </c>
      <c r="G879" t="inlineStr">
        <is>
          <t>RÄTTVIK</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62505-2023</t>
        </is>
      </c>
      <c r="B880" t="inlineStr">
        <is>
          <t>avverkningsanmälan</t>
        </is>
      </c>
      <c r="C880" t="inlineStr">
        <is>
          <t>Föryngringsavverkning</t>
        </is>
      </c>
      <c r="D880" s="1" t="n">
        <v>45267</v>
      </c>
      <c r="E880" s="1" t="n">
        <v>46289</v>
      </c>
      <c r="F880" t="inlineStr">
        <is>
          <t>DALARNAS LÄN</t>
        </is>
      </c>
      <c r="G880" t="inlineStr">
        <is>
          <t>RÄTTVIK</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21460-2025</t>
        </is>
      </c>
      <c r="B881" t="inlineStr">
        <is>
          <t>avverkningsanmälan</t>
        </is>
      </c>
      <c r="C881" t="inlineStr">
        <is>
          <t>Föryngringsavverkning</t>
        </is>
      </c>
      <c r="D881" s="1" t="n">
        <v>45782</v>
      </c>
      <c r="E881" s="1" t="n">
        <v>46289</v>
      </c>
      <c r="F881" t="inlineStr">
        <is>
          <t>DALARNAS LÄN</t>
        </is>
      </c>
      <c r="G881" t="inlineStr">
        <is>
          <t>RÄTTVIK</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45052-2024</t>
        </is>
      </c>
      <c r="B882" t="inlineStr">
        <is>
          <t>avverkningsanmälan</t>
        </is>
      </c>
      <c r="C882" t="inlineStr">
        <is>
          <t>Avverkning för annat ändamål</t>
        </is>
      </c>
      <c r="D882" s="1" t="n">
        <v>45575</v>
      </c>
      <c r="E882" s="1" t="n">
        <v>46289</v>
      </c>
      <c r="F882" t="inlineStr">
        <is>
          <t>DALARNAS LÄN</t>
        </is>
      </c>
      <c r="G882" t="inlineStr">
        <is>
          <t>RÄTTVIK</t>
        </is>
      </c>
      <c r="H882" t="inlineStr">
        <is>
          <t>Bergvik skog väst AB</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11788-2026</t>
        </is>
      </c>
      <c r="B883" t="inlineStr">
        <is>
          <t>avverkningsanmälan</t>
        </is>
      </c>
      <c r="C883" t="inlineStr">
        <is>
          <t>Föryngringsavverkning</t>
        </is>
      </c>
      <c r="D883" s="1" t="n">
        <v>46085</v>
      </c>
      <c r="E883" s="1" t="n">
        <v>46289</v>
      </c>
      <c r="F883" t="inlineStr">
        <is>
          <t>DALARNAS LÄN</t>
        </is>
      </c>
      <c r="G883" t="inlineStr">
        <is>
          <t>RÄTTVIK</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64094-2023</t>
        </is>
      </c>
      <c r="B884" t="inlineStr">
        <is>
          <t>avverkningsanmälan</t>
        </is>
      </c>
      <c r="C884" t="inlineStr">
        <is>
          <t>Föryngringsavverkning</t>
        </is>
      </c>
      <c r="D884" s="1" t="n">
        <v>45279</v>
      </c>
      <c r="E884" s="1" t="n">
        <v>46289</v>
      </c>
      <c r="F884" t="inlineStr">
        <is>
          <t>DALARNAS LÄN</t>
        </is>
      </c>
      <c r="G884" t="inlineStr">
        <is>
          <t>RÄTTVIK</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8173-2026</t>
        </is>
      </c>
      <c r="B885" t="inlineStr">
        <is>
          <t>avverkningsanmälan</t>
        </is>
      </c>
      <c r="C885" t="inlineStr">
        <is>
          <t>Föryngringsavverkning</t>
        </is>
      </c>
      <c r="D885" s="1" t="n">
        <v>46064</v>
      </c>
      <c r="E885" s="1" t="n">
        <v>46289</v>
      </c>
      <c r="F885" t="inlineStr">
        <is>
          <t>DALARNAS LÄN</t>
        </is>
      </c>
      <c r="G885" t="inlineStr">
        <is>
          <t>RÄTTVIK</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15588-2026</t>
        </is>
      </c>
      <c r="B886" t="inlineStr">
        <is>
          <t>avverkningsanmälan</t>
        </is>
      </c>
      <c r="C886" t="inlineStr">
        <is>
          <t>Föryngringsavverkning</t>
        </is>
      </c>
      <c r="D886" s="1" t="n">
        <v>46106</v>
      </c>
      <c r="E886" s="1" t="n">
        <v>46289</v>
      </c>
      <c r="F886" t="inlineStr">
        <is>
          <t>DALARNAS LÄN</t>
        </is>
      </c>
      <c r="G886" t="inlineStr">
        <is>
          <t>RÄTTVIK</t>
        </is>
      </c>
      <c r="H886" t="inlineStr">
        <is>
          <t>Bergvik skog väst AB</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4707-2026</t>
        </is>
      </c>
      <c r="B887" t="inlineStr">
        <is>
          <t>avverkningsanmälan</t>
        </is>
      </c>
      <c r="C887" t="inlineStr">
        <is>
          <t>Föryngringsavverkning</t>
        </is>
      </c>
      <c r="D887" s="1" t="n">
        <v>46048</v>
      </c>
      <c r="E887" s="1" t="n">
        <v>46289</v>
      </c>
      <c r="F887" t="inlineStr">
        <is>
          <t>DALARNAS LÄN</t>
        </is>
      </c>
      <c r="G887" t="inlineStr">
        <is>
          <t>RÄTTVIK</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31390-2024</t>
        </is>
      </c>
      <c r="B888" t="inlineStr">
        <is>
          <t>avverkningsanmälan</t>
        </is>
      </c>
      <c r="C888" t="inlineStr">
        <is>
          <t>Föryngringsavverkning</t>
        </is>
      </c>
      <c r="D888" s="1" t="n">
        <v>45505</v>
      </c>
      <c r="E888" s="1" t="n">
        <v>46289</v>
      </c>
      <c r="F888" t="inlineStr">
        <is>
          <t>DALARNAS LÄN</t>
        </is>
      </c>
      <c r="G888" t="inlineStr">
        <is>
          <t>RÄTTVIK</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16715-2026</t>
        </is>
      </c>
      <c r="B889" t="inlineStr">
        <is>
          <t>avverkningsanmälan</t>
        </is>
      </c>
      <c r="C889" t="inlineStr">
        <is>
          <t>Föryngringsavverkning</t>
        </is>
      </c>
      <c r="D889" s="1" t="n">
        <v>46113</v>
      </c>
      <c r="E889" s="1" t="n">
        <v>46289</v>
      </c>
      <c r="F889" t="inlineStr">
        <is>
          <t>DALARNAS LÄN</t>
        </is>
      </c>
      <c r="G889" t="inlineStr">
        <is>
          <t>RÄTTVIK</t>
        </is>
      </c>
      <c r="H889" t="inlineStr">
        <is>
          <t>Bergvik skog väst AB</t>
        </is>
      </c>
      <c r="I889" t="n">
        <v>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54115-2024</t>
        </is>
      </c>
      <c r="B890" t="inlineStr">
        <is>
          <t>avverkningsanmälan</t>
        </is>
      </c>
      <c r="C890" t="inlineStr">
        <is>
          <t>Föryngringsavverkning</t>
        </is>
      </c>
      <c r="D890" s="1" t="n">
        <v>45616</v>
      </c>
      <c r="E890" s="1" t="n">
        <v>46289</v>
      </c>
      <c r="F890" t="inlineStr">
        <is>
          <t>DALARNAS LÄN</t>
        </is>
      </c>
      <c r="G890" t="inlineStr">
        <is>
          <t>RÄTTVIK</t>
        </is>
      </c>
      <c r="I890" t="n">
        <v>9.300000000000001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51833-2025</t>
        </is>
      </c>
      <c r="B891" t="inlineStr">
        <is>
          <t>avverkningsanmälan</t>
        </is>
      </c>
      <c r="C891" t="inlineStr">
        <is>
          <t>Föryngringsavverkning</t>
        </is>
      </c>
      <c r="D891" s="1" t="n">
        <v>45952</v>
      </c>
      <c r="E891" s="1" t="n">
        <v>46289</v>
      </c>
      <c r="F891" t="inlineStr">
        <is>
          <t>DALARNAS LÄN</t>
        </is>
      </c>
      <c r="G891" t="inlineStr">
        <is>
          <t>RÄTTVIK</t>
        </is>
      </c>
      <c r="H891" t="inlineStr">
        <is>
          <t>Bergvik skog väst AB</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6291-2026</t>
        </is>
      </c>
      <c r="B892" t="inlineStr">
        <is>
          <t>avverkningsanmälan</t>
        </is>
      </c>
      <c r="C892" t="inlineStr">
        <is>
          <t>Föryngringsavverkning</t>
        </is>
      </c>
      <c r="D892" s="1" t="n">
        <v>46055</v>
      </c>
      <c r="E892" s="1" t="n">
        <v>46289</v>
      </c>
      <c r="F892" t="inlineStr">
        <is>
          <t>DALARNAS LÄN</t>
        </is>
      </c>
      <c r="G892" t="inlineStr">
        <is>
          <t>RÄTTVIK</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7128-2025</t>
        </is>
      </c>
      <c r="B893" t="inlineStr">
        <is>
          <t>avverkningsanmälan</t>
        </is>
      </c>
      <c r="C893" t="inlineStr">
        <is>
          <t>Avverkning för annat ändamål</t>
        </is>
      </c>
      <c r="D893" s="1" t="n">
        <v>45702</v>
      </c>
      <c r="E893" s="1" t="n">
        <v>46289</v>
      </c>
      <c r="F893" t="inlineStr">
        <is>
          <t>DALARNAS LÄN</t>
        </is>
      </c>
      <c r="G893" t="inlineStr">
        <is>
          <t>RÄTTVIK</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32837-2024</t>
        </is>
      </c>
      <c r="B894" t="inlineStr">
        <is>
          <t>avverkningsanmälan</t>
        </is>
      </c>
      <c r="C894" t="inlineStr">
        <is>
          <t>Föryngringsavverkning</t>
        </is>
      </c>
      <c r="D894" s="1" t="n">
        <v>45516</v>
      </c>
      <c r="E894" s="1" t="n">
        <v>46289</v>
      </c>
      <c r="F894" t="inlineStr">
        <is>
          <t>DALARNAS LÄN</t>
        </is>
      </c>
      <c r="G894" t="inlineStr">
        <is>
          <t>RÄTTVIK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22027-2025</t>
        </is>
      </c>
      <c r="B895" t="inlineStr">
        <is>
          <t>avverkningsanmälan</t>
        </is>
      </c>
      <c r="C895" t="inlineStr">
        <is>
          <t>Föryngringsavverkning</t>
        </is>
      </c>
      <c r="D895" s="1" t="n">
        <v>45784</v>
      </c>
      <c r="E895" s="1" t="n">
        <v>46289</v>
      </c>
      <c r="F895" t="inlineStr">
        <is>
          <t>DALARNAS LÄN</t>
        </is>
      </c>
      <c r="G895" t="inlineStr">
        <is>
          <t>RÄTTVIK</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63239-2023</t>
        </is>
      </c>
      <c r="B896" t="inlineStr">
        <is>
          <t>avverkningsanmälan</t>
        </is>
      </c>
      <c r="C896" t="inlineStr">
        <is>
          <t>Föryngringsavverkning</t>
        </is>
      </c>
      <c r="D896" s="1" t="n">
        <v>45273</v>
      </c>
      <c r="E896" s="1" t="n">
        <v>46289</v>
      </c>
      <c r="F896" t="inlineStr">
        <is>
          <t>DALARNAS LÄN</t>
        </is>
      </c>
      <c r="G896" t="inlineStr">
        <is>
          <t>RÄTTVIK</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46387-2024</t>
        </is>
      </c>
      <c r="B897" t="inlineStr">
        <is>
          <t>avverkningsanmälan</t>
        </is>
      </c>
      <c r="C897" t="inlineStr">
        <is>
          <t>Föryngringsavverkning</t>
        </is>
      </c>
      <c r="D897" s="1" t="n">
        <v>45582</v>
      </c>
      <c r="E897" s="1" t="n">
        <v>46289</v>
      </c>
      <c r="F897" t="inlineStr">
        <is>
          <t>DALARNAS LÄN</t>
        </is>
      </c>
      <c r="G897" t="inlineStr">
        <is>
          <t>RÄTTVIK</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38266-2024</t>
        </is>
      </c>
      <c r="B898" t="inlineStr">
        <is>
          <t>avverkningsanmälan</t>
        </is>
      </c>
      <c r="C898" t="inlineStr">
        <is>
          <t>Föryngringsavverkning</t>
        </is>
      </c>
      <c r="D898" s="1" t="n">
        <v>45545</v>
      </c>
      <c r="E898" s="1" t="n">
        <v>46289</v>
      </c>
      <c r="F898" t="inlineStr">
        <is>
          <t>DALARNAS LÄN</t>
        </is>
      </c>
      <c r="G898" t="inlineStr">
        <is>
          <t>RÄTTVIK</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22638-2026</t>
        </is>
      </c>
      <c r="B899" t="inlineStr">
        <is>
          <t>avverkningsanmälan</t>
        </is>
      </c>
      <c r="C899" t="inlineStr">
        <is>
          <t>Föryngringsavverkning</t>
        </is>
      </c>
      <c r="D899" s="1" t="n">
        <v>46155</v>
      </c>
      <c r="E899" s="1" t="n">
        <v>46289</v>
      </c>
      <c r="F899" t="inlineStr">
        <is>
          <t>DALARNAS LÄN</t>
        </is>
      </c>
      <c r="G899" t="inlineStr">
        <is>
          <t>RÄTTVIK</t>
        </is>
      </c>
      <c r="H899" t="inlineStr">
        <is>
          <t>Bergvik skog väst AB</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14903-2026</t>
        </is>
      </c>
      <c r="B900" t="inlineStr">
        <is>
          <t>avverkningsanmälan</t>
        </is>
      </c>
      <c r="C900" t="inlineStr">
        <is>
          <t>Föryngringsavverkning</t>
        </is>
      </c>
      <c r="D900" s="1" t="n">
        <v>46104</v>
      </c>
      <c r="E900" s="1" t="n">
        <v>46289</v>
      </c>
      <c r="F900" t="inlineStr">
        <is>
          <t>DALARNAS LÄN</t>
        </is>
      </c>
      <c r="G900" t="inlineStr">
        <is>
          <t>RÄTTVIK</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15243-2026</t>
        </is>
      </c>
      <c r="B901" t="inlineStr">
        <is>
          <t>avverkningsanmälan</t>
        </is>
      </c>
      <c r="C901" t="inlineStr">
        <is>
          <t>Föryngringsavverkning</t>
        </is>
      </c>
      <c r="D901" s="1" t="n">
        <v>46105</v>
      </c>
      <c r="E901" s="1" t="n">
        <v>46289</v>
      </c>
      <c r="F901" t="inlineStr">
        <is>
          <t>DALARNAS LÄN</t>
        </is>
      </c>
      <c r="G901" t="inlineStr">
        <is>
          <t>RÄTTVIK</t>
        </is>
      </c>
      <c r="H901" t="inlineStr">
        <is>
          <t>Bergvik skog väst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22741-2026</t>
        </is>
      </c>
      <c r="B902" t="inlineStr">
        <is>
          <t>avverkningsanmälan</t>
        </is>
      </c>
      <c r="C902" t="inlineStr">
        <is>
          <t>Föryngringsavverkning</t>
        </is>
      </c>
      <c r="D902" s="1" t="n">
        <v>46157</v>
      </c>
      <c r="E902" s="1" t="n">
        <v>46289</v>
      </c>
      <c r="F902" t="inlineStr">
        <is>
          <t>DALARNAS LÄN</t>
        </is>
      </c>
      <c r="G902" t="inlineStr">
        <is>
          <t>RÄTTVIK</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22803-2026</t>
        </is>
      </c>
      <c r="B903" t="inlineStr">
        <is>
          <t>avverkningsanmälan</t>
        </is>
      </c>
      <c r="C903" t="inlineStr">
        <is>
          <t>Föryngringsavverkning</t>
        </is>
      </c>
      <c r="D903" s="1" t="n">
        <v>46159</v>
      </c>
      <c r="E903" s="1" t="n">
        <v>46289</v>
      </c>
      <c r="F903" t="inlineStr">
        <is>
          <t>DALARNAS LÄN</t>
        </is>
      </c>
      <c r="G903" t="inlineStr">
        <is>
          <t>RÄTTVIK</t>
        </is>
      </c>
      <c r="H903" t="inlineStr">
        <is>
          <t>Bergvik skog väst AB</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23275-2026</t>
        </is>
      </c>
      <c r="B904" t="inlineStr">
        <is>
          <t>avverkningsanmälan</t>
        </is>
      </c>
      <c r="C904" t="inlineStr">
        <is>
          <t>Föryngringsavverkning</t>
        </is>
      </c>
      <c r="D904" s="1" t="n">
        <v>46162</v>
      </c>
      <c r="E904" s="1" t="n">
        <v>46289</v>
      </c>
      <c r="F904" t="inlineStr">
        <is>
          <t>DALARNAS LÄN</t>
        </is>
      </c>
      <c r="G904" t="inlineStr">
        <is>
          <t>RÄTTVIK</t>
        </is>
      </c>
      <c r="I904" t="n">
        <v>6.3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61607-2024</t>
        </is>
      </c>
      <c r="B905" t="inlineStr">
        <is>
          <t>avverkningsanmälan</t>
        </is>
      </c>
      <c r="C905" t="inlineStr">
        <is>
          <t>Föryngringsavverkning</t>
        </is>
      </c>
      <c r="D905" s="1" t="n">
        <v>45646</v>
      </c>
      <c r="E905" s="1" t="n">
        <v>46289</v>
      </c>
      <c r="F905" t="inlineStr">
        <is>
          <t>DALARNAS LÄN</t>
        </is>
      </c>
      <c r="G905" t="inlineStr">
        <is>
          <t>RÄTTVIK</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20167-2026</t>
        </is>
      </c>
      <c r="B906" t="inlineStr">
        <is>
          <t>avverkningsanmälan</t>
        </is>
      </c>
      <c r="C906" t="inlineStr">
        <is>
          <t>Föryngringsavverkning</t>
        </is>
      </c>
      <c r="D906" s="1" t="n">
        <v>46139</v>
      </c>
      <c r="E906" s="1" t="n">
        <v>46289</v>
      </c>
      <c r="F906" t="inlineStr">
        <is>
          <t>DALARNAS LÄN</t>
        </is>
      </c>
      <c r="G906" t="inlineStr">
        <is>
          <t>RÄTTVIK</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15188-2026</t>
        </is>
      </c>
      <c r="B907" t="inlineStr">
        <is>
          <t>avverkningsanmälan</t>
        </is>
      </c>
      <c r="C907" t="inlineStr">
        <is>
          <t>Föryngringsavverkning</t>
        </is>
      </c>
      <c r="D907" s="1" t="n">
        <v>46105</v>
      </c>
      <c r="E907" s="1" t="n">
        <v>46289</v>
      </c>
      <c r="F907" t="inlineStr">
        <is>
          <t>DALARNAS LÄN</t>
        </is>
      </c>
      <c r="G907" t="inlineStr">
        <is>
          <t>RÄTTVIK</t>
        </is>
      </c>
      <c r="H907" t="inlineStr">
        <is>
          <t>Bergvik skog väst AB</t>
        </is>
      </c>
      <c r="I907" t="n">
        <v>9.300000000000001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5975-2026</t>
        </is>
      </c>
      <c r="B908" t="inlineStr">
        <is>
          <t>avverkningsanmälan</t>
        </is>
      </c>
      <c r="C908" t="inlineStr">
        <is>
          <t>Föryngringsavverkning</t>
        </is>
      </c>
      <c r="D908" s="1" t="n">
        <v>46052</v>
      </c>
      <c r="E908" s="1" t="n">
        <v>46289</v>
      </c>
      <c r="F908" t="inlineStr">
        <is>
          <t>DALARNAS LÄN</t>
        </is>
      </c>
      <c r="G908" t="inlineStr">
        <is>
          <t>RÄTTVIK</t>
        </is>
      </c>
      <c r="I908" t="n">
        <v>16.1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23946-2026</t>
        </is>
      </c>
      <c r="B909" t="inlineStr">
        <is>
          <t>avverkningsanmälan</t>
        </is>
      </c>
      <c r="C909" t="inlineStr">
        <is>
          <t>Föryngringsavverkning</t>
        </is>
      </c>
      <c r="D909" s="1" t="n">
        <v>46167</v>
      </c>
      <c r="E909" s="1" t="n">
        <v>46289</v>
      </c>
      <c r="F909" t="inlineStr">
        <is>
          <t>DALARNAS LÄN</t>
        </is>
      </c>
      <c r="G909" t="inlineStr">
        <is>
          <t>RÄTTVIK</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6489-2026</t>
        </is>
      </c>
      <c r="B910" t="inlineStr">
        <is>
          <t>avverkningsanmälan</t>
        </is>
      </c>
      <c r="C910" t="inlineStr">
        <is>
          <t>Föryngringsavverkning</t>
        </is>
      </c>
      <c r="D910" s="1" t="n">
        <v>46056</v>
      </c>
      <c r="E910" s="1" t="n">
        <v>46289</v>
      </c>
      <c r="F910" t="inlineStr">
        <is>
          <t>DALARNAS LÄN</t>
        </is>
      </c>
      <c r="G910" t="inlineStr">
        <is>
          <t>RÄTTVIK</t>
        </is>
      </c>
      <c r="I910" t="n">
        <v>9.6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15089-2026</t>
        </is>
      </c>
      <c r="B911" t="inlineStr">
        <is>
          <t>avverkningsanmälan</t>
        </is>
      </c>
      <c r="C911" t="inlineStr">
        <is>
          <t>Föryngringsavverkning</t>
        </is>
      </c>
      <c r="D911" s="1" t="n">
        <v>46105</v>
      </c>
      <c r="E911" s="1" t="n">
        <v>46289</v>
      </c>
      <c r="F911" t="inlineStr">
        <is>
          <t>DALARNAS LÄN</t>
        </is>
      </c>
      <c r="G911" t="inlineStr">
        <is>
          <t>RÄTTVIK</t>
        </is>
      </c>
      <c r="H911" t="inlineStr">
        <is>
          <t>Allmännings- och besparingsskogar</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25087-2026</t>
        </is>
      </c>
      <c r="B912" t="inlineStr">
        <is>
          <t>avverkningsanmälan</t>
        </is>
      </c>
      <c r="C912" t="inlineStr">
        <is>
          <t>Föryngringsavverkning</t>
        </is>
      </c>
      <c r="D912" s="1" t="n">
        <v>46175</v>
      </c>
      <c r="E912" s="1" t="n">
        <v>46289</v>
      </c>
      <c r="F912" t="inlineStr">
        <is>
          <t>DALARNAS LÄN</t>
        </is>
      </c>
      <c r="G912" t="inlineStr">
        <is>
          <t>RÄTTVIK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25088-2026</t>
        </is>
      </c>
      <c r="B913" t="inlineStr">
        <is>
          <t>avverkningsanmälan</t>
        </is>
      </c>
      <c r="C913" t="inlineStr">
        <is>
          <t>Föryngringsavverkning</t>
        </is>
      </c>
      <c r="D913" s="1" t="n">
        <v>46175</v>
      </c>
      <c r="E913" s="1" t="n">
        <v>46289</v>
      </c>
      <c r="F913" t="inlineStr">
        <is>
          <t>DALARNAS LÄN</t>
        </is>
      </c>
      <c r="G913" t="inlineStr">
        <is>
          <t>RÄTTVIK</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10759-2026</t>
        </is>
      </c>
      <c r="B914" t="inlineStr">
        <is>
          <t>avverkningsanmälan</t>
        </is>
      </c>
      <c r="C914" t="inlineStr">
        <is>
          <t>Föryngringsavverkning</t>
        </is>
      </c>
      <c r="D914" s="1" t="n">
        <v>46078</v>
      </c>
      <c r="E914" s="1" t="n">
        <v>46289</v>
      </c>
      <c r="F914" t="inlineStr">
        <is>
          <t>DALARNAS LÄN</t>
        </is>
      </c>
      <c r="G914" t="inlineStr">
        <is>
          <t>RÄTTVIK</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25723-2026</t>
        </is>
      </c>
      <c r="B915" t="inlineStr">
        <is>
          <t>avverkningsanmälan</t>
        </is>
      </c>
      <c r="C915" t="inlineStr">
        <is>
          <t>Föryngringsavverkning</t>
        </is>
      </c>
      <c r="D915" s="1" t="n">
        <v>46178</v>
      </c>
      <c r="E915" s="1" t="n">
        <v>46289</v>
      </c>
      <c r="F915" t="inlineStr">
        <is>
          <t>DALARNAS LÄN</t>
        </is>
      </c>
      <c r="G915" t="inlineStr">
        <is>
          <t>RÄTTVIK</t>
        </is>
      </c>
      <c r="H915" t="inlineStr">
        <is>
          <t>Bergvik skog väst AB</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25669-2026</t>
        </is>
      </c>
      <c r="B916" t="inlineStr">
        <is>
          <t>avverkningsanmälan</t>
        </is>
      </c>
      <c r="C916" t="inlineStr">
        <is>
          <t>Föryngringsavverkning</t>
        </is>
      </c>
      <c r="D916" s="1" t="n">
        <v>46178</v>
      </c>
      <c r="E916" s="1" t="n">
        <v>46289</v>
      </c>
      <c r="F916" t="inlineStr">
        <is>
          <t>DALARNAS LÄN</t>
        </is>
      </c>
      <c r="G916" t="inlineStr">
        <is>
          <t>RÄTTVIK</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18735-2026</t>
        </is>
      </c>
      <c r="B917" t="inlineStr">
        <is>
          <t>avverkningsanmälan</t>
        </is>
      </c>
      <c r="C917" t="inlineStr">
        <is>
          <t>Föryngringsavverkning</t>
        </is>
      </c>
      <c r="D917" s="1" t="n">
        <v>46128</v>
      </c>
      <c r="E917" s="1" t="n">
        <v>46289</v>
      </c>
      <c r="F917" t="inlineStr">
        <is>
          <t>DALARNAS LÄN</t>
        </is>
      </c>
      <c r="G917" t="inlineStr">
        <is>
          <t>RÄTTVIK</t>
        </is>
      </c>
      <c r="H917" t="inlineStr">
        <is>
          <t>Bergvik skog väst AB</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20717-2026</t>
        </is>
      </c>
      <c r="B918" t="inlineStr">
        <is>
          <t>avverkningsanmälan</t>
        </is>
      </c>
      <c r="C918" t="inlineStr">
        <is>
          <t>Avverkning för att bevara och utveckla /försöksver</t>
        </is>
      </c>
      <c r="D918" s="1" t="n">
        <v>46141</v>
      </c>
      <c r="E918" s="1" t="n">
        <v>46289</v>
      </c>
      <c r="F918" t="inlineStr">
        <is>
          <t>DALARNAS LÄN</t>
        </is>
      </c>
      <c r="G918" t="inlineStr">
        <is>
          <t>RÄTTVIK</t>
        </is>
      </c>
      <c r="H918" t="inlineStr">
        <is>
          <t>Sveaskog</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25666-2026</t>
        </is>
      </c>
      <c r="B919" t="inlineStr">
        <is>
          <t>avverkningsanmälan</t>
        </is>
      </c>
      <c r="C919" t="inlineStr">
        <is>
          <t>Föryngringsavverkning</t>
        </is>
      </c>
      <c r="D919" s="1" t="n">
        <v>46178</v>
      </c>
      <c r="E919" s="1" t="n">
        <v>46289</v>
      </c>
      <c r="F919" t="inlineStr">
        <is>
          <t>DALARNAS LÄN</t>
        </is>
      </c>
      <c r="G919" t="inlineStr">
        <is>
          <t>RÄTTVIK</t>
        </is>
      </c>
      <c r="H919" t="inlineStr">
        <is>
          <t>Övriga statliga verk och myndigheter</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20515-2026</t>
        </is>
      </c>
      <c r="B920" t="inlineStr">
        <is>
          <t>avverkningsanmälan</t>
        </is>
      </c>
      <c r="C920" t="inlineStr">
        <is>
          <t>Föryngringsavverkning</t>
        </is>
      </c>
      <c r="D920" s="1" t="n">
        <v>46140</v>
      </c>
      <c r="E920" s="1" t="n">
        <v>46289</v>
      </c>
      <c r="F920" t="inlineStr">
        <is>
          <t>DALARNAS LÄN</t>
        </is>
      </c>
      <c r="G920" t="inlineStr">
        <is>
          <t>RÄTTVIK</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17702-2026</t>
        </is>
      </c>
      <c r="B921" t="inlineStr">
        <is>
          <t>avverkningsanmälan</t>
        </is>
      </c>
      <c r="C921" t="inlineStr">
        <is>
          <t>Föryngringsavverkning</t>
        </is>
      </c>
      <c r="D921" s="1" t="n">
        <v>46121</v>
      </c>
      <c r="E921" s="1" t="n">
        <v>46289</v>
      </c>
      <c r="F921" t="inlineStr">
        <is>
          <t>DALARNAS LÄN</t>
        </is>
      </c>
      <c r="G921" t="inlineStr">
        <is>
          <t>RÄTTVIK</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55171-2025</t>
        </is>
      </c>
      <c r="B922" t="inlineStr">
        <is>
          <t>avverkningsanmälan</t>
        </is>
      </c>
      <c r="C922" t="inlineStr">
        <is>
          <t>Föryngringsavverkning</t>
        </is>
      </c>
      <c r="D922" s="1" t="n">
        <v>45968</v>
      </c>
      <c r="E922" s="1" t="n">
        <v>46289</v>
      </c>
      <c r="F922" t="inlineStr">
        <is>
          <t>DALARNAS LÄN</t>
        </is>
      </c>
      <c r="G922" t="inlineStr">
        <is>
          <t>RÄTTVIK</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26777-2026</t>
        </is>
      </c>
      <c r="B923" t="inlineStr">
        <is>
          <t>avverkningsanmälan</t>
        </is>
      </c>
      <c r="C923" t="inlineStr">
        <is>
          <t>Föryngringsavverkning</t>
        </is>
      </c>
      <c r="D923" s="1" t="n">
        <v>46184</v>
      </c>
      <c r="E923" s="1" t="n">
        <v>46289</v>
      </c>
      <c r="F923" t="inlineStr">
        <is>
          <t>DALARNAS LÄN</t>
        </is>
      </c>
      <c r="G923" t="inlineStr">
        <is>
          <t>RÄTTVIK</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26622-2026</t>
        </is>
      </c>
      <c r="B924" t="inlineStr">
        <is>
          <t>avverkningsanmälan</t>
        </is>
      </c>
      <c r="C924" t="inlineStr">
        <is>
          <t>Föryngringsavverkning</t>
        </is>
      </c>
      <c r="D924" s="1" t="n">
        <v>46184</v>
      </c>
      <c r="E924" s="1" t="n">
        <v>46289</v>
      </c>
      <c r="F924" t="inlineStr">
        <is>
          <t>DALARNAS LÄN</t>
        </is>
      </c>
      <c r="G924" t="inlineStr">
        <is>
          <t>RÄTTVIK</t>
        </is>
      </c>
      <c r="H924" t="inlineStr">
        <is>
          <t>Sveaskog</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27467-2026</t>
        </is>
      </c>
      <c r="B925" t="inlineStr">
        <is>
          <t>avverkningsanmälan</t>
        </is>
      </c>
      <c r="C925" t="inlineStr">
        <is>
          <t>Föryngringsavverkning</t>
        </is>
      </c>
      <c r="D925" s="1" t="n">
        <v>46189</v>
      </c>
      <c r="E925" s="1" t="n">
        <v>46289</v>
      </c>
      <c r="F925" t="inlineStr">
        <is>
          <t>DALARNAS LÄN</t>
        </is>
      </c>
      <c r="G925" t="inlineStr">
        <is>
          <t>RÄTTVIK</t>
        </is>
      </c>
      <c r="H925" t="inlineStr">
        <is>
          <t>Bergvik skog väst AB</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2007-2025</t>
        </is>
      </c>
      <c r="B926" t="inlineStr">
        <is>
          <t>avverkningsanmälan</t>
        </is>
      </c>
      <c r="C926" t="inlineStr">
        <is>
          <t>Föryngringsavverkning</t>
        </is>
      </c>
      <c r="D926" s="1" t="n">
        <v>45672</v>
      </c>
      <c r="E926" s="1" t="n">
        <v>46289</v>
      </c>
      <c r="F926" t="inlineStr">
        <is>
          <t>DALARNAS LÄN</t>
        </is>
      </c>
      <c r="G926" t="inlineStr">
        <is>
          <t>RÄTTVIK</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27741-2026</t>
        </is>
      </c>
      <c r="B927" t="inlineStr">
        <is>
          <t>avverkningsanmälan</t>
        </is>
      </c>
      <c r="C927" t="inlineStr">
        <is>
          <t>Föryngringsavverkning</t>
        </is>
      </c>
      <c r="D927" s="1" t="n">
        <v>46191</v>
      </c>
      <c r="E927" s="1" t="n">
        <v>46289</v>
      </c>
      <c r="F927" t="inlineStr">
        <is>
          <t>DALARNAS LÄN</t>
        </is>
      </c>
      <c r="G927" t="inlineStr">
        <is>
          <t>RÄTTVIK</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27641-2026</t>
        </is>
      </c>
      <c r="B928" t="inlineStr">
        <is>
          <t>avverkningsanmälan</t>
        </is>
      </c>
      <c r="C928" t="inlineStr">
        <is>
          <t>Föryngringsavverkning</t>
        </is>
      </c>
      <c r="D928" s="1" t="n">
        <v>46190</v>
      </c>
      <c r="E928" s="1" t="n">
        <v>46289</v>
      </c>
      <c r="F928" t="inlineStr">
        <is>
          <t>DALARNAS LÄN</t>
        </is>
      </c>
      <c r="G928" t="inlineStr">
        <is>
          <t>RÄTTVIK</t>
        </is>
      </c>
      <c r="H928" t="inlineStr">
        <is>
          <t>Bergvik skog väst AB</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27797-2026</t>
        </is>
      </c>
      <c r="B929" t="inlineStr">
        <is>
          <t>avverkningsanmälan</t>
        </is>
      </c>
      <c r="C929" t="inlineStr">
        <is>
          <t>Föryngringsavverkning</t>
        </is>
      </c>
      <c r="D929" s="1" t="n">
        <v>46191</v>
      </c>
      <c r="E929" s="1" t="n">
        <v>46289</v>
      </c>
      <c r="F929" t="inlineStr">
        <is>
          <t>DALARNAS LÄN</t>
        </is>
      </c>
      <c r="G929" t="inlineStr">
        <is>
          <t>RÄTTVIK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27740-2026</t>
        </is>
      </c>
      <c r="B930" t="inlineStr">
        <is>
          <t>avverkningsanmälan</t>
        </is>
      </c>
      <c r="C930" t="inlineStr">
        <is>
          <t>Föryngringsavverkning</t>
        </is>
      </c>
      <c r="D930" s="1" t="n">
        <v>46191</v>
      </c>
      <c r="E930" s="1" t="n">
        <v>46289</v>
      </c>
      <c r="F930" t="inlineStr">
        <is>
          <t>DALARNAS LÄN</t>
        </is>
      </c>
      <c r="G930" t="inlineStr">
        <is>
          <t>RÄTTVIK</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27556-2026</t>
        </is>
      </c>
      <c r="B931" t="inlineStr">
        <is>
          <t>avverkningsanmälan</t>
        </is>
      </c>
      <c r="C931" t="inlineStr">
        <is>
          <t>Föryngringsavverkning</t>
        </is>
      </c>
      <c r="D931" s="1" t="n">
        <v>46190</v>
      </c>
      <c r="E931" s="1" t="n">
        <v>46289</v>
      </c>
      <c r="F931" t="inlineStr">
        <is>
          <t>DALARNAS LÄN</t>
        </is>
      </c>
      <c r="G931" t="inlineStr">
        <is>
          <t>RÄTTVIK</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27795-2026</t>
        </is>
      </c>
      <c r="B932" t="inlineStr">
        <is>
          <t>avverkningsanmälan</t>
        </is>
      </c>
      <c r="C932" t="inlineStr">
        <is>
          <t>Föryngringsavverkning</t>
        </is>
      </c>
      <c r="D932" s="1" t="n">
        <v>46191</v>
      </c>
      <c r="E932" s="1" t="n">
        <v>46289</v>
      </c>
      <c r="F932" t="inlineStr">
        <is>
          <t>DALARNAS LÄN</t>
        </is>
      </c>
      <c r="G932" t="inlineStr">
        <is>
          <t>RÄTTVIK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28078-2026</t>
        </is>
      </c>
      <c r="B933" t="inlineStr">
        <is>
          <t>avverkningsanmälan</t>
        </is>
      </c>
      <c r="C933" t="inlineStr">
        <is>
          <t>Föryngringsavverkning</t>
        </is>
      </c>
      <c r="D933" s="1" t="n">
        <v>46195</v>
      </c>
      <c r="E933" s="1" t="n">
        <v>46289</v>
      </c>
      <c r="F933" t="inlineStr">
        <is>
          <t>DALARNAS LÄN</t>
        </is>
      </c>
      <c r="G933" t="inlineStr">
        <is>
          <t>RÄTTVIK</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28110-2026</t>
        </is>
      </c>
      <c r="B934" t="inlineStr">
        <is>
          <t>avverkningsanmälan</t>
        </is>
      </c>
      <c r="C934" t="inlineStr">
        <is>
          <t>Föryngringsavverkning</t>
        </is>
      </c>
      <c r="D934" s="1" t="n">
        <v>46195</v>
      </c>
      <c r="E934" s="1" t="n">
        <v>46289</v>
      </c>
      <c r="F934" t="inlineStr">
        <is>
          <t>DALARNAS LÄN</t>
        </is>
      </c>
      <c r="G934" t="inlineStr">
        <is>
          <t>RÄTTVIK</t>
        </is>
      </c>
      <c r="H934" t="inlineStr">
        <is>
          <t>Sveaskog</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28115-2026</t>
        </is>
      </c>
      <c r="B935" t="inlineStr">
        <is>
          <t>avverkningsanmälan</t>
        </is>
      </c>
      <c r="C935" t="inlineStr">
        <is>
          <t>Föryngringsavverkning</t>
        </is>
      </c>
      <c r="D935" s="1" t="n">
        <v>46195</v>
      </c>
      <c r="E935" s="1" t="n">
        <v>46289</v>
      </c>
      <c r="F935" t="inlineStr">
        <is>
          <t>DALARNAS LÄN</t>
        </is>
      </c>
      <c r="G935" t="inlineStr">
        <is>
          <t>RÄTTVIK</t>
        </is>
      </c>
      <c r="H935" t="inlineStr">
        <is>
          <t>Sveaskog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28122-2026</t>
        </is>
      </c>
      <c r="B936" t="inlineStr">
        <is>
          <t>avverkningsanmälan</t>
        </is>
      </c>
      <c r="C936" t="inlineStr">
        <is>
          <t>Föryngringsavverkning</t>
        </is>
      </c>
      <c r="D936" s="1" t="n">
        <v>46195</v>
      </c>
      <c r="E936" s="1" t="n">
        <v>46289</v>
      </c>
      <c r="F936" t="inlineStr">
        <is>
          <t>DALARNAS LÄN</t>
        </is>
      </c>
      <c r="G936" t="inlineStr">
        <is>
          <t>RÄTTVIK</t>
        </is>
      </c>
      <c r="H936" t="inlineStr">
        <is>
          <t>Sveaskog</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3797-2026</t>
        </is>
      </c>
      <c r="B937" t="inlineStr">
        <is>
          <t>avverkningsanmälan</t>
        </is>
      </c>
      <c r="C937" t="inlineStr">
        <is>
          <t>Föryngringsavverkning</t>
        </is>
      </c>
      <c r="D937" s="1" t="n">
        <v>46043</v>
      </c>
      <c r="E937" s="1" t="n">
        <v>46289</v>
      </c>
      <c r="F937" t="inlineStr">
        <is>
          <t>DALARNAS LÄN</t>
        </is>
      </c>
      <c r="G937" t="inlineStr">
        <is>
          <t>RÄTTVIK</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28576-2026</t>
        </is>
      </c>
      <c r="B938" t="inlineStr">
        <is>
          <t>avverkningsanmälan</t>
        </is>
      </c>
      <c r="C938" t="inlineStr">
        <is>
          <t>Föryngringsavverkning</t>
        </is>
      </c>
      <c r="D938" s="1" t="n">
        <v>46197</v>
      </c>
      <c r="E938" s="1" t="n">
        <v>46289</v>
      </c>
      <c r="F938" t="inlineStr">
        <is>
          <t>DALARNAS LÄN</t>
        </is>
      </c>
      <c r="G938" t="inlineStr">
        <is>
          <t>RÄTTVIK</t>
        </is>
      </c>
      <c r="I938" t="n">
        <v>9.4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28579-2026</t>
        </is>
      </c>
      <c r="B939" t="inlineStr">
        <is>
          <t>avverkningsanmälan</t>
        </is>
      </c>
      <c r="C939" t="inlineStr">
        <is>
          <t>Föryngringsavverkning</t>
        </is>
      </c>
      <c r="D939" s="1" t="n">
        <v>46197</v>
      </c>
      <c r="E939" s="1" t="n">
        <v>46289</v>
      </c>
      <c r="F939" t="inlineStr">
        <is>
          <t>DALARNAS LÄN</t>
        </is>
      </c>
      <c r="G939" t="inlineStr">
        <is>
          <t>RÄTTVIK</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20565-2026</t>
        </is>
      </c>
      <c r="B940" t="inlineStr">
        <is>
          <t>avverkningsanmälan</t>
        </is>
      </c>
      <c r="C940" t="inlineStr">
        <is>
          <t>Föryngringsavverkning</t>
        </is>
      </c>
      <c r="D940" s="1" t="n">
        <v>46140</v>
      </c>
      <c r="E940" s="1" t="n">
        <v>46289</v>
      </c>
      <c r="F940" t="inlineStr">
        <is>
          <t>DALARNAS LÄN</t>
        </is>
      </c>
      <c r="G940" t="inlineStr">
        <is>
          <t>RÄTTVIK</t>
        </is>
      </c>
      <c r="H940" t="inlineStr">
        <is>
          <t>Bergvik skog väst AB</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28550-2026</t>
        </is>
      </c>
      <c r="B941" t="inlineStr">
        <is>
          <t>avverkningsanmälan</t>
        </is>
      </c>
      <c r="C941" t="inlineStr">
        <is>
          <t>Föryngringsavverkning</t>
        </is>
      </c>
      <c r="D941" s="1" t="n">
        <v>46197</v>
      </c>
      <c r="E941" s="1" t="n">
        <v>46289</v>
      </c>
      <c r="F941" t="inlineStr">
        <is>
          <t>DALARNAS LÄN</t>
        </is>
      </c>
      <c r="G941" t="inlineStr">
        <is>
          <t>RÄTTVIK</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28397-2026</t>
        </is>
      </c>
      <c r="B942" t="inlineStr">
        <is>
          <t>avverkningsanmälan</t>
        </is>
      </c>
      <c r="C942" t="inlineStr">
        <is>
          <t>Föryngringsavverkning</t>
        </is>
      </c>
      <c r="D942" s="1" t="n">
        <v>46197</v>
      </c>
      <c r="E942" s="1" t="n">
        <v>46289</v>
      </c>
      <c r="F942" t="inlineStr">
        <is>
          <t>DALARNAS LÄN</t>
        </is>
      </c>
      <c r="G942" t="inlineStr">
        <is>
          <t>RÄTTVIK</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28313-2026</t>
        </is>
      </c>
      <c r="B943" t="inlineStr">
        <is>
          <t>avverkningsanmälan</t>
        </is>
      </c>
      <c r="C943" t="inlineStr">
        <is>
          <t>Föryngringsavverkning</t>
        </is>
      </c>
      <c r="D943" s="1" t="n">
        <v>46196</v>
      </c>
      <c r="E943" s="1" t="n">
        <v>46289</v>
      </c>
      <c r="F943" t="inlineStr">
        <is>
          <t>DALARNAS LÄN</t>
        </is>
      </c>
      <c r="G943" t="inlineStr">
        <is>
          <t>RÄTTVIK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28321-2026</t>
        </is>
      </c>
      <c r="B944" t="inlineStr">
        <is>
          <t>avverkningsanmälan</t>
        </is>
      </c>
      <c r="C944" t="inlineStr">
        <is>
          <t>Föryngringsavverkning</t>
        </is>
      </c>
      <c r="D944" s="1" t="n">
        <v>46196</v>
      </c>
      <c r="E944" s="1" t="n">
        <v>46289</v>
      </c>
      <c r="F944" t="inlineStr">
        <is>
          <t>DALARNAS LÄN</t>
        </is>
      </c>
      <c r="G944" t="inlineStr">
        <is>
          <t>RÄTTVIK</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28705-2026</t>
        </is>
      </c>
      <c r="B945" t="inlineStr">
        <is>
          <t>avverkningsanmälan</t>
        </is>
      </c>
      <c r="C945" t="inlineStr">
        <is>
          <t>Föryngringsavverkning</t>
        </is>
      </c>
      <c r="D945" s="1" t="n">
        <v>46198</v>
      </c>
      <c r="E945" s="1" t="n">
        <v>46289</v>
      </c>
      <c r="F945" t="inlineStr">
        <is>
          <t>DALARNAS LÄN</t>
        </is>
      </c>
      <c r="G945" t="inlineStr">
        <is>
          <t>RÄTTVIK</t>
        </is>
      </c>
      <c r="H945" t="inlineStr">
        <is>
          <t>Bergvik skog väst AB</t>
        </is>
      </c>
      <c r="I945" t="n">
        <v>7.1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28719-2026</t>
        </is>
      </c>
      <c r="B946" t="inlineStr">
        <is>
          <t>avverkningsanmälan</t>
        </is>
      </c>
      <c r="C946" t="inlineStr">
        <is>
          <t>Föryngringsavverkning</t>
        </is>
      </c>
      <c r="D946" s="1" t="n">
        <v>46198</v>
      </c>
      <c r="E946" s="1" t="n">
        <v>46289</v>
      </c>
      <c r="F946" t="inlineStr">
        <is>
          <t>DALARNAS LÄN</t>
        </is>
      </c>
      <c r="G946" t="inlineStr">
        <is>
          <t>RÄTTVIK</t>
        </is>
      </c>
      <c r="H946" t="inlineStr">
        <is>
          <t>Bergvik skog väst AB</t>
        </is>
      </c>
      <c r="I946" t="n">
        <v>5.4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28712-2026</t>
        </is>
      </c>
      <c r="B947" t="inlineStr">
        <is>
          <t>avverkningsanmälan</t>
        </is>
      </c>
      <c r="C947" t="inlineStr">
        <is>
          <t>Föryngringsavverkning</t>
        </is>
      </c>
      <c r="D947" s="1" t="n">
        <v>46198</v>
      </c>
      <c r="E947" s="1" t="n">
        <v>46289</v>
      </c>
      <c r="F947" t="inlineStr">
        <is>
          <t>DALARNAS LÄN</t>
        </is>
      </c>
      <c r="G947" t="inlineStr">
        <is>
          <t>RÄTTVIK</t>
        </is>
      </c>
      <c r="H947" t="inlineStr">
        <is>
          <t>Bergvik skog väst AB</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29538-2026</t>
        </is>
      </c>
      <c r="B948" t="inlineStr">
        <is>
          <t>avverkningsanmälan</t>
        </is>
      </c>
      <c r="C948" t="inlineStr">
        <is>
          <t>Föryngringsavverkning</t>
        </is>
      </c>
      <c r="D948" s="1" t="n">
        <v>46203</v>
      </c>
      <c r="E948" s="1" t="n">
        <v>46289</v>
      </c>
      <c r="F948" t="inlineStr">
        <is>
          <t>DALARNAS LÄN</t>
        </is>
      </c>
      <c r="G948" t="inlineStr">
        <is>
          <t>RÄTTVIK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29535-2026</t>
        </is>
      </c>
      <c r="B949" t="inlineStr">
        <is>
          <t>avverkningsanmälan</t>
        </is>
      </c>
      <c r="C949" t="inlineStr">
        <is>
          <t>Föryngringsavverkning</t>
        </is>
      </c>
      <c r="D949" s="1" t="n">
        <v>46203</v>
      </c>
      <c r="E949" s="1" t="n">
        <v>46289</v>
      </c>
      <c r="F949" t="inlineStr">
        <is>
          <t>DALARNAS LÄN</t>
        </is>
      </c>
      <c r="G949" t="inlineStr">
        <is>
          <t>RÄTTVIK</t>
        </is>
      </c>
      <c r="I949" t="n">
        <v>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29534-2026</t>
        </is>
      </c>
      <c r="B950" t="inlineStr">
        <is>
          <t>avverkningsanmälan</t>
        </is>
      </c>
      <c r="C950" t="inlineStr">
        <is>
          <t>Föryngringsavverkning</t>
        </is>
      </c>
      <c r="D950" s="1" t="n">
        <v>46203</v>
      </c>
      <c r="E950" s="1" t="n">
        <v>46289</v>
      </c>
      <c r="F950" t="inlineStr">
        <is>
          <t>DALARNAS LÄN</t>
        </is>
      </c>
      <c r="G950" t="inlineStr">
        <is>
          <t>RÄTTVIK</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29452-2026</t>
        </is>
      </c>
      <c r="B951" t="inlineStr">
        <is>
          <t>avverkningsanmälan</t>
        </is>
      </c>
      <c r="C951" t="inlineStr">
        <is>
          <t>Föryngringsavverkning</t>
        </is>
      </c>
      <c r="D951" s="1" t="n">
        <v>46203</v>
      </c>
      <c r="E951" s="1" t="n">
        <v>46289</v>
      </c>
      <c r="F951" t="inlineStr">
        <is>
          <t>DALARNAS LÄN</t>
        </is>
      </c>
      <c r="G951" t="inlineStr">
        <is>
          <t>RÄTTVIK</t>
        </is>
      </c>
      <c r="H951" t="inlineStr">
        <is>
          <t>Bergvik skog väst AB</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33620-2026</t>
        </is>
      </c>
      <c r="B952" t="inlineStr">
        <is>
          <t>avverkningsanmälan</t>
        </is>
      </c>
      <c r="C952" t="inlineStr">
        <is>
          <t>Föryngringsavverkning</t>
        </is>
      </c>
      <c r="D952" s="1" t="n">
        <v>46248</v>
      </c>
      <c r="E952" s="1" t="n">
        <v>46289</v>
      </c>
      <c r="F952" t="inlineStr">
        <is>
          <t>DALARNAS LÄN</t>
        </is>
      </c>
      <c r="G952" t="inlineStr">
        <is>
          <t>RÄTTVIK</t>
        </is>
      </c>
      <c r="H952" t="inlineStr">
        <is>
          <t>Sveaskog</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33612-2026</t>
        </is>
      </c>
      <c r="B953" t="inlineStr">
        <is>
          <t>avverkningsanmälan</t>
        </is>
      </c>
      <c r="C953" t="inlineStr">
        <is>
          <t>Föryngringsavverkning</t>
        </is>
      </c>
      <c r="D953" s="1" t="n">
        <v>46248</v>
      </c>
      <c r="E953" s="1" t="n">
        <v>46289</v>
      </c>
      <c r="F953" t="inlineStr">
        <is>
          <t>DALARNAS LÄN</t>
        </is>
      </c>
      <c r="G953" t="inlineStr">
        <is>
          <t>RÄTTVIK</t>
        </is>
      </c>
      <c r="H953" t="inlineStr">
        <is>
          <t>Sveaskog</t>
        </is>
      </c>
      <c r="I953" t="n">
        <v>9.800000000000001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29873-2026</t>
        </is>
      </c>
      <c r="B954" t="inlineStr">
        <is>
          <t>avverkningsanmälan</t>
        </is>
      </c>
      <c r="C954" t="inlineStr">
        <is>
          <t>Föryngringsavverkning</t>
        </is>
      </c>
      <c r="D954" s="1" t="n">
        <v>46205</v>
      </c>
      <c r="E954" s="1" t="n">
        <v>46289</v>
      </c>
      <c r="F954" t="inlineStr">
        <is>
          <t>DALARNAS LÄN</t>
        </is>
      </c>
      <c r="G954" t="inlineStr">
        <is>
          <t>RÄTTVIK</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30347-2026</t>
        </is>
      </c>
      <c r="B955" t="inlineStr">
        <is>
          <t>avverkningsanmälan</t>
        </is>
      </c>
      <c r="C955" t="inlineStr">
        <is>
          <t>Föryngringsavverkning</t>
        </is>
      </c>
      <c r="D955" s="1" t="n">
        <v>46209</v>
      </c>
      <c r="E955" s="1" t="n">
        <v>46289</v>
      </c>
      <c r="F955" t="inlineStr">
        <is>
          <t>DALARNAS LÄN</t>
        </is>
      </c>
      <c r="G955" t="inlineStr">
        <is>
          <t>RÄTTVIK</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30091-2026</t>
        </is>
      </c>
      <c r="B956" t="inlineStr">
        <is>
          <t>avverkningsanmälan</t>
        </is>
      </c>
      <c r="C956" t="inlineStr">
        <is>
          <t>Föryngringsavverkning</t>
        </is>
      </c>
      <c r="D956" s="1" t="n">
        <v>46206</v>
      </c>
      <c r="E956" s="1" t="n">
        <v>46289</v>
      </c>
      <c r="F956" t="inlineStr">
        <is>
          <t>DALARNAS LÄN</t>
        </is>
      </c>
      <c r="G956" t="inlineStr">
        <is>
          <t>RÄTTVIK</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30301-2026</t>
        </is>
      </c>
      <c r="B957" t="inlineStr">
        <is>
          <t>avverkningsanmälan</t>
        </is>
      </c>
      <c r="C957" t="inlineStr">
        <is>
          <t>Föryngringsavverkning</t>
        </is>
      </c>
      <c r="D957" s="1" t="n">
        <v>46206</v>
      </c>
      <c r="E957" s="1" t="n">
        <v>46289</v>
      </c>
      <c r="F957" t="inlineStr">
        <is>
          <t>DALARNAS LÄN</t>
        </is>
      </c>
      <c r="G957" t="inlineStr">
        <is>
          <t>RÄTTVIK</t>
        </is>
      </c>
      <c r="H957" t="inlineStr">
        <is>
          <t>Sveaskog</t>
        </is>
      </c>
      <c r="I957" t="n">
        <v>13.5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30335-2026</t>
        </is>
      </c>
      <c r="B958" t="inlineStr">
        <is>
          <t>avverkningsanmälan</t>
        </is>
      </c>
      <c r="C958" t="inlineStr">
        <is>
          <t>Föryngringsavverkning</t>
        </is>
      </c>
      <c r="D958" s="1" t="n">
        <v>46208</v>
      </c>
      <c r="E958" s="1" t="n">
        <v>46289</v>
      </c>
      <c r="F958" t="inlineStr">
        <is>
          <t>DALARNAS LÄN</t>
        </is>
      </c>
      <c r="G958" t="inlineStr">
        <is>
          <t>RÄTTVIK</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30122-2026</t>
        </is>
      </c>
      <c r="B959" t="inlineStr">
        <is>
          <t>avverkningsanmälan</t>
        </is>
      </c>
      <c r="C959" t="inlineStr">
        <is>
          <t>Föryngringsavverkning</t>
        </is>
      </c>
      <c r="D959" s="1" t="n">
        <v>46206</v>
      </c>
      <c r="E959" s="1" t="n">
        <v>46289</v>
      </c>
      <c r="F959" t="inlineStr">
        <is>
          <t>DALARNAS LÄN</t>
        </is>
      </c>
      <c r="G959" t="inlineStr">
        <is>
          <t>RÄTTVIK</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29938-2026</t>
        </is>
      </c>
      <c r="B960" t="inlineStr">
        <is>
          <t>avverkningsanmälan</t>
        </is>
      </c>
      <c r="C960" t="inlineStr">
        <is>
          <t>Föryngringsavverkning</t>
        </is>
      </c>
      <c r="D960" s="1" t="n">
        <v>46205</v>
      </c>
      <c r="E960" s="1" t="n">
        <v>46289</v>
      </c>
      <c r="F960" t="inlineStr">
        <is>
          <t>DALARNAS LÄN</t>
        </is>
      </c>
      <c r="G960" t="inlineStr">
        <is>
          <t>RÄTTVIK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30683-2026</t>
        </is>
      </c>
      <c r="B961" t="inlineStr">
        <is>
          <t>avverkningsanmälan</t>
        </is>
      </c>
      <c r="C961" t="inlineStr">
        <is>
          <t>Föryngringsavverkning</t>
        </is>
      </c>
      <c r="D961" s="1" t="n">
        <v>46211</v>
      </c>
      <c r="E961" s="1" t="n">
        <v>46289</v>
      </c>
      <c r="F961" t="inlineStr">
        <is>
          <t>DALARNAS LÄN</t>
        </is>
      </c>
      <c r="G961" t="inlineStr">
        <is>
          <t>RÄTTVIK</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34741-2026</t>
        </is>
      </c>
      <c r="B962" t="inlineStr">
        <is>
          <t>avverkningsanmälan</t>
        </is>
      </c>
      <c r="C962" t="inlineStr">
        <is>
          <t>Föryngringsavverkning</t>
        </is>
      </c>
      <c r="D962" s="1" t="n">
        <v>46258</v>
      </c>
      <c r="E962" s="1" t="n">
        <v>46289</v>
      </c>
      <c r="F962" t="inlineStr">
        <is>
          <t>DALARNAS LÄN</t>
        </is>
      </c>
      <c r="G962" t="inlineStr">
        <is>
          <t>RÄTTVIK</t>
        </is>
      </c>
      <c r="H962" t="inlineStr">
        <is>
          <t>Sveaskog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30769-2026</t>
        </is>
      </c>
      <c r="B963" t="inlineStr">
        <is>
          <t>avverkningsanmälan</t>
        </is>
      </c>
      <c r="C963" t="inlineStr">
        <is>
          <t>Föryngringsavverkning</t>
        </is>
      </c>
      <c r="D963" s="1" t="n">
        <v>46212</v>
      </c>
      <c r="E963" s="1" t="n">
        <v>46289</v>
      </c>
      <c r="F963" t="inlineStr">
        <is>
          <t>DALARNAS LÄN</t>
        </is>
      </c>
      <c r="G963" t="inlineStr">
        <is>
          <t>RÄTTVIK</t>
        </is>
      </c>
      <c r="H963" t="inlineStr">
        <is>
          <t>Sveaskog</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30770-2026</t>
        </is>
      </c>
      <c r="B964" t="inlineStr">
        <is>
          <t>avverkningsanmälan</t>
        </is>
      </c>
      <c r="C964" t="inlineStr">
        <is>
          <t>Föryngringsavverkning</t>
        </is>
      </c>
      <c r="D964" s="1" t="n">
        <v>46212</v>
      </c>
      <c r="E964" s="1" t="n">
        <v>46289</v>
      </c>
      <c r="F964" t="inlineStr">
        <is>
          <t>DALARNAS LÄN</t>
        </is>
      </c>
      <c r="G964" t="inlineStr">
        <is>
          <t>RÄTTVIK</t>
        </is>
      </c>
      <c r="H964" t="inlineStr">
        <is>
          <t>Sveaskog</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30771-2026</t>
        </is>
      </c>
      <c r="B965" t="inlineStr">
        <is>
          <t>avverkningsanmälan</t>
        </is>
      </c>
      <c r="C965" t="inlineStr">
        <is>
          <t>Föryngringsavverkning</t>
        </is>
      </c>
      <c r="D965" s="1" t="n">
        <v>46212</v>
      </c>
      <c r="E965" s="1" t="n">
        <v>46289</v>
      </c>
      <c r="F965" t="inlineStr">
        <is>
          <t>DALARNAS LÄN</t>
        </is>
      </c>
      <c r="G965" t="inlineStr">
        <is>
          <t>RÄTTVIK</t>
        </is>
      </c>
      <c r="H965" t="inlineStr">
        <is>
          <t>Sveaskog</t>
        </is>
      </c>
      <c r="I965" t="n">
        <v>5.1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34964-2026</t>
        </is>
      </c>
      <c r="B966" t="inlineStr">
        <is>
          <t>avverkningsanmälan</t>
        </is>
      </c>
      <c r="C966" t="inlineStr">
        <is>
          <t>Föryngringsavverkning</t>
        </is>
      </c>
      <c r="D966" s="1" t="n">
        <v>46259</v>
      </c>
      <c r="E966" s="1" t="n">
        <v>46289</v>
      </c>
      <c r="F966" t="inlineStr">
        <is>
          <t>DALARNAS LÄN</t>
        </is>
      </c>
      <c r="G966" t="inlineStr">
        <is>
          <t>RÄTTVIK</t>
        </is>
      </c>
      <c r="I966" t="n">
        <v>7.1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35294-2026</t>
        </is>
      </c>
      <c r="B967" t="inlineStr">
        <is>
          <t>avverkningsanmälan</t>
        </is>
      </c>
      <c r="C967" t="inlineStr">
        <is>
          <t>Föryngringsavverkning</t>
        </is>
      </c>
      <c r="D967" s="1" t="n">
        <v>46261</v>
      </c>
      <c r="E967" s="1" t="n">
        <v>46289</v>
      </c>
      <c r="F967" t="inlineStr">
        <is>
          <t>DALARNAS LÄN</t>
        </is>
      </c>
      <c r="G967" t="inlineStr">
        <is>
          <t>RÄTTVIK</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35286-2026</t>
        </is>
      </c>
      <c r="B968" t="inlineStr">
        <is>
          <t>avverkningsanmälan</t>
        </is>
      </c>
      <c r="C968" t="inlineStr">
        <is>
          <t>Föryngringsavverkning</t>
        </is>
      </c>
      <c r="D968" s="1" t="n">
        <v>46261</v>
      </c>
      <c r="E968" s="1" t="n">
        <v>46289</v>
      </c>
      <c r="F968" t="inlineStr">
        <is>
          <t>DALARNAS LÄN</t>
        </is>
      </c>
      <c r="G968" t="inlineStr">
        <is>
          <t>RÄTTVIK</t>
        </is>
      </c>
      <c r="H968" t="inlineStr">
        <is>
          <t>Bergvik skog väst AB</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35288-2026</t>
        </is>
      </c>
      <c r="B969" t="inlineStr">
        <is>
          <t>avverkningsanmälan</t>
        </is>
      </c>
      <c r="C969" t="inlineStr">
        <is>
          <t>Föryngringsavverkning</t>
        </is>
      </c>
      <c r="D969" s="1" t="n">
        <v>46261</v>
      </c>
      <c r="E969" s="1" t="n">
        <v>46289</v>
      </c>
      <c r="F969" t="inlineStr">
        <is>
          <t>DALARNAS LÄN</t>
        </is>
      </c>
      <c r="G969" t="inlineStr">
        <is>
          <t>RÄTTVIK</t>
        </is>
      </c>
      <c r="H969" t="inlineStr">
        <is>
          <t>Bergvik skog väst AB</t>
        </is>
      </c>
      <c r="I969" t="n">
        <v>7.1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5651-2025</t>
        </is>
      </c>
      <c r="B970" t="inlineStr">
        <is>
          <t>avverkningsanmälan</t>
        </is>
      </c>
      <c r="C970" t="inlineStr">
        <is>
          <t>Föryngringsavverkning</t>
        </is>
      </c>
      <c r="D970" s="1" t="n">
        <v>45693</v>
      </c>
      <c r="E970" s="1" t="n">
        <v>46289</v>
      </c>
      <c r="F970" t="inlineStr">
        <is>
          <t>DALARNAS LÄN</t>
        </is>
      </c>
      <c r="G970" t="inlineStr">
        <is>
          <t>RÄTTVIK</t>
        </is>
      </c>
      <c r="H970" t="inlineStr">
        <is>
          <t>Bergvik skog väst AB</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31627-2026</t>
        </is>
      </c>
      <c r="B971" t="inlineStr">
        <is>
          <t>avverkningsanmälan</t>
        </is>
      </c>
      <c r="C971" t="inlineStr">
        <is>
          <t>Föryngringsavverkning</t>
        </is>
      </c>
      <c r="D971" s="1" t="n">
        <v>46224</v>
      </c>
      <c r="E971" s="1" t="n">
        <v>46289</v>
      </c>
      <c r="F971" t="inlineStr">
        <is>
          <t>DALARNAS LÄN</t>
        </is>
      </c>
      <c r="G971" t="inlineStr">
        <is>
          <t>RÄTTVIK</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35647-2026</t>
        </is>
      </c>
      <c r="B972" t="inlineStr">
        <is>
          <t>avverkningsanmälan</t>
        </is>
      </c>
      <c r="C972" t="inlineStr">
        <is>
          <t>Föryngringsavverkning</t>
        </is>
      </c>
      <c r="D972" s="1" t="n">
        <v>46265</v>
      </c>
      <c r="E972" s="1" t="n">
        <v>46289</v>
      </c>
      <c r="F972" t="inlineStr">
        <is>
          <t>DALARNAS LÄN</t>
        </is>
      </c>
      <c r="G972" t="inlineStr">
        <is>
          <t>RÄTTVIK</t>
        </is>
      </c>
      <c r="H972" t="inlineStr">
        <is>
          <t>Bergvik skog väst AB</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31403-2026</t>
        </is>
      </c>
      <c r="B973" t="inlineStr">
        <is>
          <t>avverkningsanmälan</t>
        </is>
      </c>
      <c r="C973" t="inlineStr">
        <is>
          <t>Föryngringsavverkning</t>
        </is>
      </c>
      <c r="D973" s="1" t="n">
        <v>46220</v>
      </c>
      <c r="E973" s="1" t="n">
        <v>46289</v>
      </c>
      <c r="F973" t="inlineStr">
        <is>
          <t>DALARNAS LÄN</t>
        </is>
      </c>
      <c r="G973" t="inlineStr">
        <is>
          <t>RÄTTVIK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35649-2026</t>
        </is>
      </c>
      <c r="B974" t="inlineStr">
        <is>
          <t>avverkningsanmälan</t>
        </is>
      </c>
      <c r="C974" t="inlineStr">
        <is>
          <t>Föryngringsavverkning</t>
        </is>
      </c>
      <c r="D974" s="1" t="n">
        <v>46265</v>
      </c>
      <c r="E974" s="1" t="n">
        <v>46289</v>
      </c>
      <c r="F974" t="inlineStr">
        <is>
          <t>DALARNAS LÄN</t>
        </is>
      </c>
      <c r="G974" t="inlineStr">
        <is>
          <t>RÄTTVIK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22018-2026</t>
        </is>
      </c>
      <c r="B975" t="inlineStr">
        <is>
          <t>avverkningsanmälan</t>
        </is>
      </c>
      <c r="C975" t="inlineStr">
        <is>
          <t>Föryngringsavverkning</t>
        </is>
      </c>
      <c r="D975" s="1" t="n">
        <v>46153</v>
      </c>
      <c r="E975" s="1" t="n">
        <v>46289</v>
      </c>
      <c r="F975" t="inlineStr">
        <is>
          <t>DALARNAS LÄN</t>
        </is>
      </c>
      <c r="G975" t="inlineStr">
        <is>
          <t>RÄTTVIK</t>
        </is>
      </c>
      <c r="H975" t="inlineStr">
        <is>
          <t>Sveaskog</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23774-2026</t>
        </is>
      </c>
      <c r="B976" t="inlineStr">
        <is>
          <t>avverkningsanmälan</t>
        </is>
      </c>
      <c r="C976" t="inlineStr">
        <is>
          <t>Föryngringsavverkning</t>
        </is>
      </c>
      <c r="D976" s="1" t="n">
        <v>46164</v>
      </c>
      <c r="E976" s="1" t="n">
        <v>46289</v>
      </c>
      <c r="F976" t="inlineStr">
        <is>
          <t>DALARNAS LÄN</t>
        </is>
      </c>
      <c r="G976" t="inlineStr">
        <is>
          <t>RÄTTVIK</t>
        </is>
      </c>
      <c r="H976" t="inlineStr">
        <is>
          <t>Bergvik skog väst AB</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35661-2026</t>
        </is>
      </c>
      <c r="B977" t="inlineStr">
        <is>
          <t>avverkningsanmälan</t>
        </is>
      </c>
      <c r="C977" t="inlineStr">
        <is>
          <t>Föryngringsavverkning</t>
        </is>
      </c>
      <c r="D977" s="1" t="n">
        <v>46265</v>
      </c>
      <c r="E977" s="1" t="n">
        <v>46289</v>
      </c>
      <c r="F977" t="inlineStr">
        <is>
          <t>DALARNAS LÄN</t>
        </is>
      </c>
      <c r="G977" t="inlineStr">
        <is>
          <t>RÄTTVIK</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16115-2026</t>
        </is>
      </c>
      <c r="B978" t="inlineStr">
        <is>
          <t>avverkningsanmälan</t>
        </is>
      </c>
      <c r="C978" t="inlineStr">
        <is>
          <t>Föryngringsavverkning</t>
        </is>
      </c>
      <c r="D978" s="1" t="n">
        <v>46108</v>
      </c>
      <c r="E978" s="1" t="n">
        <v>46289</v>
      </c>
      <c r="F978" t="inlineStr">
        <is>
          <t>DALARNAS LÄN</t>
        </is>
      </c>
      <c r="G978" t="inlineStr">
        <is>
          <t>RÄTTVIK</t>
        </is>
      </c>
      <c r="H978" t="inlineStr">
        <is>
          <t>Bergvik skog väst AB</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31511-2026</t>
        </is>
      </c>
      <c r="B979" t="inlineStr">
        <is>
          <t>avverkningsanmälan</t>
        </is>
      </c>
      <c r="C979" t="inlineStr">
        <is>
          <t>Föryngringsavverkning</t>
        </is>
      </c>
      <c r="D979" s="1" t="n">
        <v>46223</v>
      </c>
      <c r="E979" s="1" t="n">
        <v>46289</v>
      </c>
      <c r="F979" t="inlineStr">
        <is>
          <t>DALARNAS LÄN</t>
        </is>
      </c>
      <c r="G979" t="inlineStr">
        <is>
          <t>RÄTTVIK</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31509-2026</t>
        </is>
      </c>
      <c r="B980" t="inlineStr">
        <is>
          <t>avverkningsanmälan</t>
        </is>
      </c>
      <c r="C980" t="inlineStr">
        <is>
          <t>Föryngringsavverkning</t>
        </is>
      </c>
      <c r="D980" s="1" t="n">
        <v>46223</v>
      </c>
      <c r="E980" s="1" t="n">
        <v>46289</v>
      </c>
      <c r="F980" t="inlineStr">
        <is>
          <t>DALARNAS LÄN</t>
        </is>
      </c>
      <c r="G980" t="inlineStr">
        <is>
          <t>RÄTTVIK</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37230-2026</t>
        </is>
      </c>
      <c r="B981" t="inlineStr">
        <is>
          <t>avverkningsanmälan</t>
        </is>
      </c>
      <c r="C981" t="inlineStr">
        <is>
          <t>Föryngringsavverkning</t>
        </is>
      </c>
      <c r="D981" s="1" t="n">
        <v>46274</v>
      </c>
      <c r="E981" s="1" t="n">
        <v>46289</v>
      </c>
      <c r="F981" t="inlineStr">
        <is>
          <t>DALARNAS LÄN</t>
        </is>
      </c>
      <c r="G981" t="inlineStr">
        <is>
          <t>RÄTTVIK</t>
        </is>
      </c>
      <c r="H981" t="inlineStr">
        <is>
          <t>Sveaskog</t>
        </is>
      </c>
      <c r="I981" t="n">
        <v>7.6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37278-2026</t>
        </is>
      </c>
      <c r="B982" t="inlineStr">
        <is>
          <t>avverkningsanmälan</t>
        </is>
      </c>
      <c r="C982" t="inlineStr">
        <is>
          <t>Föryngringsavverkning</t>
        </is>
      </c>
      <c r="D982" s="1" t="n">
        <v>46274</v>
      </c>
      <c r="E982" s="1" t="n">
        <v>46289</v>
      </c>
      <c r="F982" t="inlineStr">
        <is>
          <t>DALARNAS LÄN</t>
        </is>
      </c>
      <c r="G982" t="inlineStr">
        <is>
          <t>RÄTTVIK</t>
        </is>
      </c>
      <c r="H982" t="inlineStr">
        <is>
          <t>Sveaskog</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37067-2026</t>
        </is>
      </c>
      <c r="B983" t="inlineStr">
        <is>
          <t>avverkningsanmälan</t>
        </is>
      </c>
      <c r="C983" t="inlineStr">
        <is>
          <t>Föryngringsavverkning</t>
        </is>
      </c>
      <c r="D983" s="1" t="n">
        <v>46273</v>
      </c>
      <c r="E983" s="1" t="n">
        <v>46289</v>
      </c>
      <c r="F983" t="inlineStr">
        <is>
          <t>DALARNAS LÄN</t>
        </is>
      </c>
      <c r="G983" t="inlineStr">
        <is>
          <t>RÄTTVIK</t>
        </is>
      </c>
      <c r="H983" t="inlineStr">
        <is>
          <t>Sveaskog</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37200-2026</t>
        </is>
      </c>
      <c r="B984" t="inlineStr">
        <is>
          <t>avverkningsanmälan</t>
        </is>
      </c>
      <c r="C984" t="inlineStr">
        <is>
          <t>Föryngringsavverkning</t>
        </is>
      </c>
      <c r="D984" s="1" t="n">
        <v>46274</v>
      </c>
      <c r="E984" s="1" t="n">
        <v>46289</v>
      </c>
      <c r="F984" t="inlineStr">
        <is>
          <t>DALARNAS LÄN</t>
        </is>
      </c>
      <c r="G984" t="inlineStr">
        <is>
          <t>RÄTTVIK</t>
        </is>
      </c>
      <c r="H984" t="inlineStr">
        <is>
          <t>Bergvik skog väst AB</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31844-2026</t>
        </is>
      </c>
      <c r="B985" t="inlineStr">
        <is>
          <t>avverkningsanmälan</t>
        </is>
      </c>
      <c r="C985" t="inlineStr">
        <is>
          <t>Föryngringsavverkning</t>
        </is>
      </c>
      <c r="D985" s="1" t="n">
        <v>46230</v>
      </c>
      <c r="E985" s="1" t="n">
        <v>46289</v>
      </c>
      <c r="F985" t="inlineStr">
        <is>
          <t>DALARNAS LÄN</t>
        </is>
      </c>
      <c r="G985" t="inlineStr">
        <is>
          <t>RÄTTVIK</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37617-2026</t>
        </is>
      </c>
      <c r="B986" t="inlineStr">
        <is>
          <t>avverkningsanmälan</t>
        </is>
      </c>
      <c r="C986" t="inlineStr">
        <is>
          <t>Föryngringsavverkning</t>
        </is>
      </c>
      <c r="D986" s="1" t="n">
        <v>46276</v>
      </c>
      <c r="E986" s="1" t="n">
        <v>46289</v>
      </c>
      <c r="F986" t="inlineStr">
        <is>
          <t>DALARNAS LÄN</t>
        </is>
      </c>
      <c r="G986" t="inlineStr">
        <is>
          <t>RÄTTVIK</t>
        </is>
      </c>
      <c r="H986" t="inlineStr">
        <is>
          <t>Sveaskog</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37632-2026</t>
        </is>
      </c>
      <c r="B987" t="inlineStr">
        <is>
          <t>avverkningsanmälan</t>
        </is>
      </c>
      <c r="C987" t="inlineStr">
        <is>
          <t>Föryngringsavverkning</t>
        </is>
      </c>
      <c r="D987" s="1" t="n">
        <v>46276</v>
      </c>
      <c r="E987" s="1" t="n">
        <v>46289</v>
      </c>
      <c r="F987" t="inlineStr">
        <is>
          <t>DALARNAS LÄN</t>
        </is>
      </c>
      <c r="G987" t="inlineStr">
        <is>
          <t>RÄTTVIK</t>
        </is>
      </c>
      <c r="H987" t="inlineStr">
        <is>
          <t>Sveaskog</t>
        </is>
      </c>
      <c r="I987" t="n">
        <v>5.9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37551-2026</t>
        </is>
      </c>
      <c r="B988" t="inlineStr">
        <is>
          <t>avverkningsanmälan</t>
        </is>
      </c>
      <c r="C988" t="inlineStr">
        <is>
          <t>Föryngringsavverkning</t>
        </is>
      </c>
      <c r="D988" s="1" t="n">
        <v>46276</v>
      </c>
      <c r="E988" s="1" t="n">
        <v>46289</v>
      </c>
      <c r="F988" t="inlineStr">
        <is>
          <t>DALARNAS LÄN</t>
        </is>
      </c>
      <c r="G988" t="inlineStr">
        <is>
          <t>RÄTTVIK</t>
        </is>
      </c>
      <c r="H988" t="inlineStr">
        <is>
          <t>Sveaskog</t>
        </is>
      </c>
      <c r="I988" t="n">
        <v>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32045-2026</t>
        </is>
      </c>
      <c r="B989" t="inlineStr">
        <is>
          <t>avverkningsanmälan</t>
        </is>
      </c>
      <c r="C989" t="inlineStr">
        <is>
          <t>Föryngringsavverkning</t>
        </is>
      </c>
      <c r="D989" s="1" t="n">
        <v>46233</v>
      </c>
      <c r="E989" s="1" t="n">
        <v>46289</v>
      </c>
      <c r="F989" t="inlineStr">
        <is>
          <t>DALARNAS LÄN</t>
        </is>
      </c>
      <c r="G989" t="inlineStr">
        <is>
          <t>RÄTTVIK</t>
        </is>
      </c>
      <c r="H989" t="inlineStr">
        <is>
          <t>Bergvik skog väst AB</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37449-2026</t>
        </is>
      </c>
      <c r="B990" t="inlineStr">
        <is>
          <t>avverkningsanmälan</t>
        </is>
      </c>
      <c r="C990" t="inlineStr">
        <is>
          <t>Föryngringsavverkning</t>
        </is>
      </c>
      <c r="D990" s="1" t="n">
        <v>46275</v>
      </c>
      <c r="E990" s="1" t="n">
        <v>46289</v>
      </c>
      <c r="F990" t="inlineStr">
        <is>
          <t>DALARNAS LÄN</t>
        </is>
      </c>
      <c r="G990" t="inlineStr">
        <is>
          <t>RÄTTVIK</t>
        </is>
      </c>
      <c r="H990" t="inlineStr">
        <is>
          <t>Bergvik skog väst AB</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37447-2026</t>
        </is>
      </c>
      <c r="B991" t="inlineStr">
        <is>
          <t>avverkningsanmälan</t>
        </is>
      </c>
      <c r="C991" t="inlineStr">
        <is>
          <t>Föryngringsavverkning</t>
        </is>
      </c>
      <c r="D991" s="1" t="n">
        <v>46275</v>
      </c>
      <c r="E991" s="1" t="n">
        <v>46289</v>
      </c>
      <c r="F991" t="inlineStr">
        <is>
          <t>DALARNAS LÄN</t>
        </is>
      </c>
      <c r="G991" t="inlineStr">
        <is>
          <t>RÄTTVIK</t>
        </is>
      </c>
      <c r="H991" t="inlineStr">
        <is>
          <t>Bergvik skog väst AB</t>
        </is>
      </c>
      <c r="I991" t="n">
        <v>17.2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37879-2026</t>
        </is>
      </c>
      <c r="B992" t="inlineStr">
        <is>
          <t>avverkningsanmälan</t>
        </is>
      </c>
      <c r="C992" t="inlineStr">
        <is>
          <t>Föryngringsavverkning</t>
        </is>
      </c>
      <c r="D992" s="1" t="n">
        <v>46279</v>
      </c>
      <c r="E992" s="1" t="n">
        <v>46289</v>
      </c>
      <c r="F992" t="inlineStr">
        <is>
          <t>DALARNAS LÄN</t>
        </is>
      </c>
      <c r="G992" t="inlineStr">
        <is>
          <t>RÄTTVIK</t>
        </is>
      </c>
      <c r="H992" t="inlineStr">
        <is>
          <t>Bergvik skog väst AB</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24764-2026</t>
        </is>
      </c>
      <c r="B993" t="inlineStr">
        <is>
          <t>avverkningsanmälan</t>
        </is>
      </c>
      <c r="C993" t="inlineStr">
        <is>
          <t>Föryngringsavverkning</t>
        </is>
      </c>
      <c r="D993" s="1" t="n">
        <v>46171</v>
      </c>
      <c r="E993" s="1" t="n">
        <v>46289</v>
      </c>
      <c r="F993" t="inlineStr">
        <is>
          <t>DALARNAS LÄN</t>
        </is>
      </c>
      <c r="G993" t="inlineStr">
        <is>
          <t>RÄTTVIK</t>
        </is>
      </c>
      <c r="H993" t="inlineStr">
        <is>
          <t>Sveaskog</t>
        </is>
      </c>
      <c r="I993" t="n">
        <v>18.7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37756-2026</t>
        </is>
      </c>
      <c r="B994" t="inlineStr">
        <is>
          <t>avverkningsanmälan</t>
        </is>
      </c>
      <c r="C994" t="inlineStr">
        <is>
          <t>Föryngringsavverkning</t>
        </is>
      </c>
      <c r="D994" s="1" t="n">
        <v>46279</v>
      </c>
      <c r="E994" s="1" t="n">
        <v>46289</v>
      </c>
      <c r="F994" t="inlineStr">
        <is>
          <t>DALARNAS LÄN</t>
        </is>
      </c>
      <c r="G994" t="inlineStr">
        <is>
          <t>RÄTTVIK</t>
        </is>
      </c>
      <c r="H994" t="inlineStr">
        <is>
          <t>Sveaskog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32250-2026</t>
        </is>
      </c>
      <c r="B995" t="inlineStr">
        <is>
          <t>avverkningsanmälan</t>
        </is>
      </c>
      <c r="C995" t="inlineStr">
        <is>
          <t>Föryngringsavverkning</t>
        </is>
      </c>
      <c r="D995" s="1" t="n">
        <v>46237</v>
      </c>
      <c r="E995" s="1" t="n">
        <v>46289</v>
      </c>
      <c r="F995" t="inlineStr">
        <is>
          <t>DALARNAS LÄN</t>
        </is>
      </c>
      <c r="G995" t="inlineStr">
        <is>
          <t>RÄTTVIK</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37874-2026</t>
        </is>
      </c>
      <c r="B996" t="inlineStr">
        <is>
          <t>avverkningsanmälan</t>
        </is>
      </c>
      <c r="C996" t="inlineStr">
        <is>
          <t>Avverkning för annat ändamål</t>
        </is>
      </c>
      <c r="D996" s="1" t="n">
        <v>46279</v>
      </c>
      <c r="E996" s="1" t="n">
        <v>46289</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32203-2026</t>
        </is>
      </c>
      <c r="B997" t="inlineStr">
        <is>
          <t>avverkningsanmälan</t>
        </is>
      </c>
      <c r="C997" t="inlineStr">
        <is>
          <t>Föryngringsavverkning</t>
        </is>
      </c>
      <c r="D997" s="1" t="n">
        <v>46237</v>
      </c>
      <c r="E997" s="1" t="n">
        <v>46289</v>
      </c>
      <c r="F997" t="inlineStr">
        <is>
          <t>DALARNAS LÄN</t>
        </is>
      </c>
      <c r="G997" t="inlineStr">
        <is>
          <t>RÄTTVIK</t>
        </is>
      </c>
      <c r="H997" t="inlineStr">
        <is>
          <t>Bergvik skog väst AB</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38013-2026</t>
        </is>
      </c>
      <c r="B998" t="inlineStr">
        <is>
          <t>avverkningsanmälan</t>
        </is>
      </c>
      <c r="C998" t="inlineStr">
        <is>
          <t>Föryngringsavverkning</t>
        </is>
      </c>
      <c r="D998" s="1" t="n">
        <v>46280</v>
      </c>
      <c r="E998" s="1" t="n">
        <v>46289</v>
      </c>
      <c r="F998" t="inlineStr">
        <is>
          <t>DALARNAS LÄN</t>
        </is>
      </c>
      <c r="G998" t="inlineStr">
        <is>
          <t>RÄTTVIK</t>
        </is>
      </c>
      <c r="H998" t="inlineStr">
        <is>
          <t>Sveaskog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37944-2026</t>
        </is>
      </c>
      <c r="B999" t="inlineStr">
        <is>
          <t>avverkningsanmälan</t>
        </is>
      </c>
      <c r="C999" t="inlineStr">
        <is>
          <t>Föryngringsavverkning</t>
        </is>
      </c>
      <c r="D999" s="1" t="n">
        <v>46280</v>
      </c>
      <c r="E999" s="1" t="n">
        <v>46289</v>
      </c>
      <c r="F999" t="inlineStr">
        <is>
          <t>DALARNAS LÄN</t>
        </is>
      </c>
      <c r="G999" t="inlineStr">
        <is>
          <t>RÄTTVIK</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32207-2026</t>
        </is>
      </c>
      <c r="B1000" t="inlineStr">
        <is>
          <t>avverkningsanmälan</t>
        </is>
      </c>
      <c r="C1000" t="inlineStr">
        <is>
          <t>Föryngringsavverkning</t>
        </is>
      </c>
      <c r="D1000" s="1" t="n">
        <v>46237</v>
      </c>
      <c r="E1000" s="1" t="n">
        <v>46289</v>
      </c>
      <c r="F1000" t="inlineStr">
        <is>
          <t>DALARNAS LÄN</t>
        </is>
      </c>
      <c r="G1000" t="inlineStr">
        <is>
          <t>RÄTTVIK</t>
        </is>
      </c>
      <c r="H1000" t="inlineStr">
        <is>
          <t>Bergvik skog väst AB</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37552-2026</t>
        </is>
      </c>
      <c r="B1001" t="inlineStr">
        <is>
          <t>avverkningsanmälan</t>
        </is>
      </c>
      <c r="C1001" t="inlineStr">
        <is>
          <t>Föryngringsavverkning</t>
        </is>
      </c>
      <c r="D1001" s="1" t="n">
        <v>46276</v>
      </c>
      <c r="E1001" s="1" t="n">
        <v>46289</v>
      </c>
      <c r="F1001" t="inlineStr">
        <is>
          <t>DALARNAS LÄN</t>
        </is>
      </c>
      <c r="G1001" t="inlineStr">
        <is>
          <t>RÄTTVIK</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32268-2026</t>
        </is>
      </c>
      <c r="B1002" t="inlineStr">
        <is>
          <t>avverkningsanmälan</t>
        </is>
      </c>
      <c r="C1002" t="inlineStr">
        <is>
          <t>Föryngringsavverkning</t>
        </is>
      </c>
      <c r="D1002" s="1" t="n">
        <v>46237</v>
      </c>
      <c r="E1002" s="1" t="n">
        <v>46289</v>
      </c>
      <c r="F1002" t="inlineStr">
        <is>
          <t>DALARNAS LÄN</t>
        </is>
      </c>
      <c r="G1002" t="inlineStr">
        <is>
          <t>RÄTTVIK</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32456-2026</t>
        </is>
      </c>
      <c r="B1003" t="inlineStr">
        <is>
          <t>avverkningsanmälan</t>
        </is>
      </c>
      <c r="C1003" t="inlineStr">
        <is>
          <t>Föryngringsavverkning</t>
        </is>
      </c>
      <c r="D1003" s="1" t="n">
        <v>46239</v>
      </c>
      <c r="E1003" s="1" t="n">
        <v>46289</v>
      </c>
      <c r="F1003" t="inlineStr">
        <is>
          <t>DALARNAS LÄN</t>
        </is>
      </c>
      <c r="G1003" t="inlineStr">
        <is>
          <t>RÄTTVIK</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32511-2026</t>
        </is>
      </c>
      <c r="B1004" t="inlineStr">
        <is>
          <t>avverkningsanmälan</t>
        </is>
      </c>
      <c r="C1004" t="inlineStr">
        <is>
          <t>Föryngringsavverkning</t>
        </is>
      </c>
      <c r="D1004" s="1" t="n">
        <v>46239</v>
      </c>
      <c r="E1004" s="1" t="n">
        <v>46289</v>
      </c>
      <c r="F1004" t="inlineStr">
        <is>
          <t>DALARNAS LÄN</t>
        </is>
      </c>
      <c r="G1004" t="inlineStr">
        <is>
          <t>RÄTTVIK</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818-2025</t>
        </is>
      </c>
      <c r="B1005" t="inlineStr">
        <is>
          <t>samrådsanmälan</t>
        </is>
      </c>
      <c r="C1005" t="inlineStr">
        <is>
          <t>Annan skogsbruksåtgärd</t>
        </is>
      </c>
      <c r="D1005" s="1" t="n">
        <v>45730</v>
      </c>
      <c r="E1005" s="1" t="n">
        <v>46289</v>
      </c>
      <c r="F1005" t="inlineStr">
        <is>
          <t>DALARNAS LÄN</t>
        </is>
      </c>
      <c r="G1005" t="inlineStr">
        <is>
          <t>RÄTTVIK</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2659-2020</t>
        </is>
      </c>
      <c r="B1006" t="inlineStr">
        <is>
          <t>samrådsanmälan</t>
        </is>
      </c>
      <c r="C1006" t="inlineStr">
        <is>
          <t>Åtgärd i nyckelbiotop</t>
        </is>
      </c>
      <c r="D1006" s="1" t="n">
        <v>44160</v>
      </c>
      <c r="E1006" s="1" t="n">
        <v>46289</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2660-2020</t>
        </is>
      </c>
      <c r="B1007" t="inlineStr">
        <is>
          <t>samrådsanmälan</t>
        </is>
      </c>
      <c r="C1007" t="inlineStr">
        <is>
          <t>Åtgärd i nyckelbiotop</t>
        </is>
      </c>
      <c r="D1007" s="1" t="n">
        <v>44174</v>
      </c>
      <c r="E1007" s="1" t="n">
        <v>46289</v>
      </c>
      <c r="F1007" t="inlineStr">
        <is>
          <t>DALARNAS LÄN</t>
        </is>
      </c>
      <c r="G1007" t="inlineStr">
        <is>
          <t>RÄTTVIK</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1312-2024</t>
        </is>
      </c>
      <c r="B1008" t="inlineStr">
        <is>
          <t>samrådsanmälan</t>
        </is>
      </c>
      <c r="C1008" t="inlineStr">
        <is>
          <t>Skogsgödsling</t>
        </is>
      </c>
      <c r="D1008" s="1" t="n">
        <v>45405</v>
      </c>
      <c r="E1008" s="1" t="n">
        <v>46289</v>
      </c>
      <c r="F1008" t="inlineStr">
        <is>
          <t>DALARNAS LÄN</t>
        </is>
      </c>
      <c r="G1008" t="inlineStr">
        <is>
          <t>RÄTTVIK</t>
        </is>
      </c>
      <c r="H1008" t="inlineStr">
        <is>
          <t>Bergvik skog väst AB</t>
        </is>
      </c>
      <c r="I1008" t="n">
        <v>63.6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584-2024</t>
        </is>
      </c>
      <c r="B1009" t="inlineStr">
        <is>
          <t>samrådsanmälan</t>
        </is>
      </c>
      <c r="C1009" t="inlineStr">
        <is>
          <t>Skogsgödsling</t>
        </is>
      </c>
      <c r="D1009" s="1" t="n">
        <v>45351</v>
      </c>
      <c r="E1009" s="1" t="n">
        <v>46289</v>
      </c>
      <c r="F1009" t="inlineStr">
        <is>
          <t>DALARNAS LÄN</t>
        </is>
      </c>
      <c r="G1009" t="inlineStr">
        <is>
          <t>RÄTTVIK</t>
        </is>
      </c>
      <c r="H1009" t="inlineStr">
        <is>
          <t>Bergvik skog väst AB</t>
        </is>
      </c>
      <c r="I1009" t="n">
        <v>312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2318-2023</t>
        </is>
      </c>
      <c r="B1010" t="inlineStr">
        <is>
          <t>samrådsanmälan</t>
        </is>
      </c>
      <c r="C1010" t="inlineStr">
        <is>
          <t>Annan skogsbruksåtgärd</t>
        </is>
      </c>
      <c r="D1010" s="1" t="n">
        <v>45105</v>
      </c>
      <c r="E1010" s="1" t="n">
        <v>46289</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406-2025</t>
        </is>
      </c>
      <c r="B1011" t="inlineStr">
        <is>
          <t>samrådsanmälan</t>
        </is>
      </c>
      <c r="C1011" t="inlineStr">
        <is>
          <t>Skogsgödsling</t>
        </is>
      </c>
      <c r="D1011" s="1" t="n">
        <v>45699</v>
      </c>
      <c r="E1011" s="1" t="n">
        <v>46289</v>
      </c>
      <c r="F1011" t="inlineStr">
        <is>
          <t>DALARNAS LÄN</t>
        </is>
      </c>
      <c r="G1011" t="inlineStr">
        <is>
          <t>RÄTTVIK</t>
        </is>
      </c>
      <c r="H1011" t="inlineStr">
        <is>
          <t>Bergvik skog öst AB</t>
        </is>
      </c>
      <c r="I1011" t="n">
        <v>36.6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2437-2023</t>
        </is>
      </c>
      <c r="B1012" t="inlineStr">
        <is>
          <t>samrådsanmälan</t>
        </is>
      </c>
      <c r="C1012" t="inlineStr">
        <is>
          <t>Annan skogsbruksåtgärd</t>
        </is>
      </c>
      <c r="D1012" s="1" t="n">
        <v>45125</v>
      </c>
      <c r="E1012" s="1" t="n">
        <v>46289</v>
      </c>
      <c r="F1012" t="inlineStr">
        <is>
          <t>DALARNAS LÄN</t>
        </is>
      </c>
      <c r="G1012" t="inlineStr">
        <is>
          <t>RÄTTVIK</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2519-2023</t>
        </is>
      </c>
      <c r="B1013" t="inlineStr">
        <is>
          <t>samrådsanmälan</t>
        </is>
      </c>
      <c r="C1013" t="inlineStr">
        <is>
          <t>Annan skogsbruksåtgärd</t>
        </is>
      </c>
      <c r="D1013" s="1" t="n">
        <v>45135</v>
      </c>
      <c r="E1013" s="1" t="n">
        <v>46289</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4173-2022</t>
        </is>
      </c>
      <c r="B1014" t="inlineStr">
        <is>
          <t>samrådsanmälan</t>
        </is>
      </c>
      <c r="C1014" t="inlineStr">
        <is>
          <t>Annan skogsbruksåtgärd</t>
        </is>
      </c>
      <c r="D1014" s="1" t="n">
        <v>44769</v>
      </c>
      <c r="E1014" s="1" t="n">
        <v>46289</v>
      </c>
      <c r="F1014" t="inlineStr">
        <is>
          <t>DALARNAS LÄN</t>
        </is>
      </c>
      <c r="G1014" t="inlineStr">
        <is>
          <t>RÄTTVIK</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7003-2022</t>
        </is>
      </c>
      <c r="B1015" t="inlineStr">
        <is>
          <t>samrådsanmälan</t>
        </is>
      </c>
      <c r="C1015" t="inlineStr">
        <is>
          <t>Annan skogsbruksåtgärd</t>
        </is>
      </c>
      <c r="D1015" s="1" t="n">
        <v>44909</v>
      </c>
      <c r="E1015" s="1" t="n">
        <v>46289</v>
      </c>
      <c r="F1015" t="inlineStr">
        <is>
          <t>DALARNAS LÄN</t>
        </is>
      </c>
      <c r="G1015" t="inlineStr">
        <is>
          <t>RÄTTVIK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545-2025</t>
        </is>
      </c>
      <c r="B1016" t="inlineStr">
        <is>
          <t>samrådsanmälan</t>
        </is>
      </c>
      <c r="C1016" t="inlineStr">
        <is>
          <t>Skogsgödsling</t>
        </is>
      </c>
      <c r="D1016" s="1" t="n">
        <v>45708</v>
      </c>
      <c r="E1016" s="1" t="n">
        <v>46289</v>
      </c>
      <c r="F1016" t="inlineStr">
        <is>
          <t>DALARNAS LÄN</t>
        </is>
      </c>
      <c r="G1016" t="inlineStr">
        <is>
          <t>RÄTTVIK</t>
        </is>
      </c>
      <c r="H1016" t="inlineStr">
        <is>
          <t>Bergvik skog väst AB</t>
        </is>
      </c>
      <c r="I1016" t="n">
        <v>256.9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1224-2025</t>
        </is>
      </c>
      <c r="B1017" t="inlineStr">
        <is>
          <t>samrådsanmälan</t>
        </is>
      </c>
      <c r="C1017" t="inlineStr">
        <is>
          <t>Annan skogsbruksåtgärd</t>
        </is>
      </c>
      <c r="D1017" s="1" t="n">
        <v>45761</v>
      </c>
      <c r="E1017" s="1" t="n">
        <v>46289</v>
      </c>
      <c r="F1017" t="inlineStr">
        <is>
          <t>DALARNAS LÄN</t>
        </is>
      </c>
      <c r="G1017" t="inlineStr">
        <is>
          <t>RÄTTVIK</t>
        </is>
      </c>
      <c r="H1017" t="inlineStr">
        <is>
          <t>Sveaskog</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1226-2025</t>
        </is>
      </c>
      <c r="B1018" t="inlineStr">
        <is>
          <t>samrådsanmälan</t>
        </is>
      </c>
      <c r="C1018" t="inlineStr">
        <is>
          <t>Annan skogsbruksåtgärd</t>
        </is>
      </c>
      <c r="D1018" s="1" t="n">
        <v>45761</v>
      </c>
      <c r="E1018" s="1" t="n">
        <v>46289</v>
      </c>
      <c r="F1018" t="inlineStr">
        <is>
          <t>DALARNAS LÄN</t>
        </is>
      </c>
      <c r="G1018" t="inlineStr">
        <is>
          <t>RÄTTVIK</t>
        </is>
      </c>
      <c r="H1018" t="inlineStr">
        <is>
          <t>Sveaskog</t>
        </is>
      </c>
      <c r="I1018" t="n">
        <v>15.4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1343-2025</t>
        </is>
      </c>
      <c r="B1019" t="inlineStr">
        <is>
          <t>samrådsanmälan</t>
        </is>
      </c>
      <c r="C1019" t="inlineStr">
        <is>
          <t>Annan skogsbruksåtgärd</t>
        </is>
      </c>
      <c r="D1019" s="1" t="n">
        <v>45771</v>
      </c>
      <c r="E1019" s="1" t="n">
        <v>46289</v>
      </c>
      <c r="F1019" t="inlineStr">
        <is>
          <t>DALARNAS LÄN</t>
        </is>
      </c>
      <c r="G1019" t="inlineStr">
        <is>
          <t>RÄTTVIK</t>
        </is>
      </c>
      <c r="H1019" t="inlineStr">
        <is>
          <t>Sveaskog</t>
        </is>
      </c>
      <c r="I1019" t="n">
        <v>20.8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1790-2025</t>
        </is>
      </c>
      <c r="B1020" t="inlineStr">
        <is>
          <t>samrådsanmälan</t>
        </is>
      </c>
      <c r="C1020" t="inlineStr">
        <is>
          <t>Annan skogsbruksåtgärd</t>
        </is>
      </c>
      <c r="D1020" s="1" t="n">
        <v>45814</v>
      </c>
      <c r="E1020" s="1" t="n">
        <v>46289</v>
      </c>
      <c r="F1020" t="inlineStr">
        <is>
          <t>DALARNAS LÄN</t>
        </is>
      </c>
      <c r="G1020" t="inlineStr">
        <is>
          <t>RÄTTVIK</t>
        </is>
      </c>
      <c r="H1020" t="inlineStr">
        <is>
          <t>Övriga statliga verk och myndigheter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3127-2023</t>
        </is>
      </c>
      <c r="B1021" t="inlineStr">
        <is>
          <t>samrådsanmälan</t>
        </is>
      </c>
      <c r="C1021" t="inlineStr">
        <is>
          <t>Annan skogsbruksåtgärd</t>
        </is>
      </c>
      <c r="D1021" s="1" t="n">
        <v>45183</v>
      </c>
      <c r="E1021" s="1" t="n">
        <v>46289</v>
      </c>
      <c r="F1021" t="inlineStr">
        <is>
          <t>DALARNAS LÄN</t>
        </is>
      </c>
      <c r="G1021" t="inlineStr">
        <is>
          <t>RÄTTVIK</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263-2026</t>
        </is>
      </c>
      <c r="B1022" t="inlineStr">
        <is>
          <t>samrådsanmälan</t>
        </is>
      </c>
      <c r="C1022" t="inlineStr">
        <is>
          <t>Annan skogsbruksåtgärd</t>
        </is>
      </c>
      <c r="D1022" s="1" t="n">
        <v>46056</v>
      </c>
      <c r="E1022" s="1" t="n">
        <v>46289</v>
      </c>
      <c r="F1022" t="inlineStr">
        <is>
          <t>DALARNAS LÄN</t>
        </is>
      </c>
      <c r="G1022" t="inlineStr">
        <is>
          <t>RÄTTVIK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478-2026</t>
        </is>
      </c>
      <c r="B1023" t="inlineStr">
        <is>
          <t>samrådsanmälan</t>
        </is>
      </c>
      <c r="C1023" t="inlineStr">
        <is>
          <t>Annan skogsbruksåtgärd</t>
        </is>
      </c>
      <c r="D1023" s="1" t="n">
        <v>46072</v>
      </c>
      <c r="E1023" s="1" t="n">
        <v>46289</v>
      </c>
      <c r="F1023" t="inlineStr">
        <is>
          <t>DALARNAS LÄN</t>
        </is>
      </c>
      <c r="G1023" t="inlineStr">
        <is>
          <t>RÄTTVIK</t>
        </is>
      </c>
      <c r="H1023" t="inlineStr">
        <is>
          <t>Sveaskog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662-2026</t>
        </is>
      </c>
      <c r="B1024" t="inlineStr">
        <is>
          <t>samrådsanmälan</t>
        </is>
      </c>
      <c r="C1024" t="inlineStr">
        <is>
          <t>Skogsgödsling</t>
        </is>
      </c>
      <c r="D1024" s="1" t="n">
        <v>46089</v>
      </c>
      <c r="E1024" s="1" t="n">
        <v>46289</v>
      </c>
      <c r="F1024" t="inlineStr">
        <is>
          <t>DALARNAS LÄN</t>
        </is>
      </c>
      <c r="G1024" t="inlineStr">
        <is>
          <t>RÄTTVIK</t>
        </is>
      </c>
      <c r="H1024" t="inlineStr">
        <is>
          <t>Bergvik skog öst AB</t>
        </is>
      </c>
      <c r="I1024" t="n">
        <v>10.8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1218-2026</t>
        </is>
      </c>
      <c r="B1025" t="inlineStr">
        <is>
          <t>samrådsanmälan</t>
        </is>
      </c>
      <c r="C1025" t="inlineStr">
        <is>
          <t>Annan skogsbruksåtgärd</t>
        </is>
      </c>
      <c r="D1025" s="1" t="n">
        <v>46141</v>
      </c>
      <c r="E1025" s="1" t="n">
        <v>46289</v>
      </c>
      <c r="F1025" t="inlineStr">
        <is>
          <t>DALARNAS LÄN</t>
        </is>
      </c>
      <c r="G1025" t="inlineStr">
        <is>
          <t>RÄTTVIK</t>
        </is>
      </c>
      <c r="H1025" t="inlineStr">
        <is>
          <t>Sveaskog</t>
        </is>
      </c>
      <c r="I1025" t="n">
        <v>2.5</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1840-2026</t>
        </is>
      </c>
      <c r="B1026" t="inlineStr">
        <is>
          <t>samrådsanmälan</t>
        </is>
      </c>
      <c r="C1026" t="inlineStr">
        <is>
          <t>Annan skogsbruksåtgärd</t>
        </is>
      </c>
      <c r="D1026" s="1" t="n">
        <v>46198</v>
      </c>
      <c r="E1026" s="1" t="n">
        <v>46289</v>
      </c>
      <c r="F1026" t="inlineStr">
        <is>
          <t>DALARNAS LÄN</t>
        </is>
      </c>
      <c r="G1026" t="inlineStr">
        <is>
          <t>RÄTTVIK</t>
        </is>
      </c>
      <c r="H1026" t="inlineStr">
        <is>
          <t>Sveaskog</t>
        </is>
      </c>
      <c r="I1026" t="n">
        <v>7.5</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2026-09-24T01:56:07Z</dcterms:created>
  <dcterms:modified xmlns:dcterms="http://purl.org/dc/terms/" xmlns:xsi="http://www.w3.org/2001/XMLSchema-instance" xsi:type="dcterms:W3CDTF">2026-09-24T01:56:08Z</dcterms:modified>
</cp:coreProperties>
</file>