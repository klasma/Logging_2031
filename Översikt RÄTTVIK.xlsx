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46218</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46218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46218</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46218</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46218</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46218</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s="2" t="inlineStr">
        <is>
          <t>Garnlav
Dropptaggsvamp
Lunglav
Skrovellav
Bårdlav
Stuplav
Gråspett
Spillkråka
Tjäder
Kungsfågel</t>
        </is>
      </c>
      <c r="V7">
        <f>HYPERLINK("https://klasma.github.io/Logging_2031/artfynd/A 60129-2022 artfynd.xlsx", "A 60129-2022")</f>
        <v/>
      </c>
      <c r="W7">
        <f>HYPERLINK("https://klasma.github.io/Logging_2031/kartor/A 60129-2022 karta.png", "A 60129-2022")</f>
        <v/>
      </c>
      <c r="Y7">
        <f>HYPERLINK("https://klasma.github.io/Logging_2031/klagomål/A 60129-2022 FSC-klagomål.docx", "A 60129-2022")</f>
        <v/>
      </c>
      <c r="Z7">
        <f>HYPERLINK("https://klasma.github.io/Logging_2031/klagomålsmail/A 60129-2022 FSC-klagomål mail.docx", "A 60129-2022")</f>
        <v/>
      </c>
      <c r="AA7">
        <f>HYPERLINK("https://klasma.github.io/Logging_2031/tillsyn/A 60129-2022 tillsynsbegäran.docx", "A 60129-2022")</f>
        <v/>
      </c>
      <c r="AB7">
        <f>HYPERLINK("https://klasma.github.io/Logging_2031/tillsynsmail/A 60129-2022 tillsynsbegäran mail.docx", "A 60129-2022")</f>
        <v/>
      </c>
      <c r="AC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46218</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s="2" t="inlineStr">
        <is>
          <t>Hårklockmossa
Vårärt
Bårdlav
Grönkulla
Korallblylav
Skogstimmia
Svavelriska
Tvåblad
Blåsippa
Nattviol</t>
        </is>
      </c>
      <c r="V8">
        <f>HYPERLINK("https://klasma.github.io/Logging_2031/artfynd/A 28626-2026 artfynd.xlsx", "A 28626-2026")</f>
        <v/>
      </c>
      <c r="W8">
        <f>HYPERLINK("https://klasma.github.io/Logging_2031/kartor/A 28626-2026 karta.png", "A 28626-2026")</f>
        <v/>
      </c>
      <c r="Y8">
        <f>HYPERLINK("https://klasma.github.io/Logging_2031/klagomål/A 28626-2026 FSC-klagomål.docx", "A 28626-2026")</f>
        <v/>
      </c>
      <c r="Z8">
        <f>HYPERLINK("https://klasma.github.io/Logging_2031/klagomålsmail/A 28626-2026 FSC-klagomål mail.docx", "A 28626-2026")</f>
        <v/>
      </c>
      <c r="AA8">
        <f>HYPERLINK("https://klasma.github.io/Logging_2031/tillsyn/A 28626-2026 tillsynsbegäran.docx", "A 28626-2026")</f>
        <v/>
      </c>
      <c r="AB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46218</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46218</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46218</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46218</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s="2" t="inlineStr">
        <is>
          <t>Urskogsporing
Gräddporing
Spadskinn
Tajgataggsvamp
Svartvit taggsvamp
Vaddporing
Vedticka</t>
        </is>
      </c>
      <c r="V12">
        <f>HYPERLINK("https://klasma.github.io/Logging_2031/artfynd/A 52620-2022 artfynd.xlsx", "A 52620-2022")</f>
        <v/>
      </c>
      <c r="W12">
        <f>HYPERLINK("https://klasma.github.io/Logging_2031/kartor/A 52620-2022 karta.png", "A 52620-2022")</f>
        <v/>
      </c>
      <c r="Y12">
        <f>HYPERLINK("https://klasma.github.io/Logging_2031/klagomål/A 52620-2022 FSC-klagomål.docx", "A 52620-2022")</f>
        <v/>
      </c>
      <c r="Z12">
        <f>HYPERLINK("https://klasma.github.io/Logging_2031/klagomålsmail/A 52620-2022 FSC-klagomål mail.docx", "A 52620-2022")</f>
        <v/>
      </c>
      <c r="AA12">
        <f>HYPERLINK("https://klasma.github.io/Logging_2031/tillsyn/A 52620-2022 tillsynsbegäran.docx", "A 52620-2022")</f>
        <v/>
      </c>
      <c r="AB12">
        <f>HYPERLINK("https://klasma.github.io/Logging_2031/tillsynsmail/A 52620-2022 tillsynsbegäran mail.docx", "A 52620-2022")</f>
        <v/>
      </c>
    </row>
    <row r="13" ht="15" customHeight="1">
      <c r="A13" t="inlineStr">
        <is>
          <t>A 40192-2022</t>
        </is>
      </c>
      <c r="B13" t="inlineStr">
        <is>
          <t>avverkningsanmälan</t>
        </is>
      </c>
      <c r="C13" t="inlineStr">
        <is>
          <t>Avverkning för annat ändamål</t>
        </is>
      </c>
      <c r="D13" s="1" t="n">
        <v>44818</v>
      </c>
      <c r="E13" s="1" t="n">
        <v>46218</v>
      </c>
      <c r="F13" t="inlineStr">
        <is>
          <t>DALARNAS LÄN</t>
        </is>
      </c>
      <c r="G13" t="inlineStr">
        <is>
          <t>RÄTTVIK</t>
        </is>
      </c>
      <c r="I13" t="n">
        <v>1.8</v>
      </c>
      <c r="J13" t="n">
        <v>1</v>
      </c>
      <c r="K13" t="n">
        <v>1</v>
      </c>
      <c r="L13" t="n">
        <v>0</v>
      </c>
      <c r="M13" t="n">
        <v>0</v>
      </c>
      <c r="N13" t="n">
        <v>0</v>
      </c>
      <c r="O13" t="n">
        <v>0</v>
      </c>
      <c r="P13" t="n">
        <v>0</v>
      </c>
      <c r="Q13" t="n">
        <v>0</v>
      </c>
      <c r="R13" t="n">
        <v>0</v>
      </c>
      <c r="S13" t="n">
        <v>6</v>
      </c>
      <c r="T13" t="n">
        <v>6</v>
      </c>
      <c r="U13" s="2" t="inlineStr">
        <is>
          <t>Tvåblad
Bergsslok
Humleblomster
Kattfot
Stjärnstarr
Ängskovall</t>
        </is>
      </c>
      <c r="V13">
        <f>HYPERLINK("https://klasma.github.io/Logging_2031/artfynd/A 40192-2022 artfynd.xlsx", "A 40192-2022")</f>
        <v/>
      </c>
      <c r="W13">
        <f>HYPERLINK("https://klasma.github.io/Logging_2031/kartor/A 40192-2022 karta.png", "A 40192-2022")</f>
        <v/>
      </c>
      <c r="Y13">
        <f>HYPERLINK("https://klasma.github.io/Logging_2031/klagomål/A 40192-2022 FSC-klagomål.docx", "A 40192-2022")</f>
        <v/>
      </c>
      <c r="Z13">
        <f>HYPERLINK("https://klasma.github.io/Logging_2031/klagomålsmail/A 40192-2022 FSC-klagomål mail.docx", "A 40192-2022")</f>
        <v/>
      </c>
      <c r="AA13">
        <f>HYPERLINK("https://klasma.github.io/Logging_2031/tillsyn/A 40192-2022 tillsynsbegäran.docx", "A 40192-2022")</f>
        <v/>
      </c>
      <c r="AB13">
        <f>HYPERLINK("https://klasma.github.io/Logging_2031/tillsynsmail/A 40192-2022 tillsynsbegäran mail.docx", "A 40192-2022")</f>
        <v/>
      </c>
    </row>
    <row r="14" ht="15" customHeight="1">
      <c r="A14" t="inlineStr">
        <is>
          <t>A 14209-2024</t>
        </is>
      </c>
      <c r="B14" t="inlineStr">
        <is>
          <t>avverkningsanmälan</t>
        </is>
      </c>
      <c r="C14" t="inlineStr">
        <is>
          <t>Föryngringsavverkning</t>
        </is>
      </c>
      <c r="D14" s="1" t="n">
        <v>45393</v>
      </c>
      <c r="E14" s="1" t="n">
        <v>46218</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s="2" t="inlineStr">
        <is>
          <t>Garnlav
Rosenticka
Rynkskinn
Ullticka
Svavelriska
Vedticka</t>
        </is>
      </c>
      <c r="V14">
        <f>HYPERLINK("https://klasma.github.io/Logging_2031/artfynd/A 14209-2024 artfynd.xlsx", "A 14209-2024")</f>
        <v/>
      </c>
      <c r="W14">
        <f>HYPERLINK("https://klasma.github.io/Logging_2031/kartor/A 14209-2024 karta.png", "A 14209-2024")</f>
        <v/>
      </c>
      <c r="Y14">
        <f>HYPERLINK("https://klasma.github.io/Logging_2031/klagomål/A 14209-2024 FSC-klagomål.docx", "A 14209-2024")</f>
        <v/>
      </c>
      <c r="Z14">
        <f>HYPERLINK("https://klasma.github.io/Logging_2031/klagomålsmail/A 14209-2024 FSC-klagomål mail.docx", "A 14209-2024")</f>
        <v/>
      </c>
      <c r="AA14">
        <f>HYPERLINK("https://klasma.github.io/Logging_2031/tillsyn/A 14209-2024 tillsynsbegäran.docx", "A 14209-2024")</f>
        <v/>
      </c>
      <c r="AB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46218</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s="2" t="inlineStr">
        <is>
          <t>Garnlav
Dropptaggsvamp
Dvärgbägarlav
Lunglav
Bronshjon
Tjäder</t>
        </is>
      </c>
      <c r="V15">
        <f>HYPERLINK("https://klasma.github.io/Logging_2031/artfynd/A 61983-2022 artfynd.xlsx", "A 61983-2022")</f>
        <v/>
      </c>
      <c r="W15">
        <f>HYPERLINK("https://klasma.github.io/Logging_2031/kartor/A 61983-2022 karta.png", "A 61983-2022")</f>
        <v/>
      </c>
      <c r="Y15">
        <f>HYPERLINK("https://klasma.github.io/Logging_2031/klagomål/A 61983-2022 FSC-klagomål.docx", "A 61983-2022")</f>
        <v/>
      </c>
      <c r="Z15">
        <f>HYPERLINK("https://klasma.github.io/Logging_2031/klagomålsmail/A 61983-2022 FSC-klagomål mail.docx", "A 61983-2022")</f>
        <v/>
      </c>
      <c r="AA15">
        <f>HYPERLINK("https://klasma.github.io/Logging_2031/tillsyn/A 61983-2022 tillsynsbegäran.docx", "A 61983-2022")</f>
        <v/>
      </c>
      <c r="AB15">
        <f>HYPERLINK("https://klasma.github.io/Logging_2031/tillsynsmail/A 61983-2022 tillsynsbegäran mail.docx", "A 61983-2022")</f>
        <v/>
      </c>
      <c r="AC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46218</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46218</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46218</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46218</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s="2" t="inlineStr">
        <is>
          <t>Garnlav
Ullticka
Bronshjon
Plattlummer</t>
        </is>
      </c>
      <c r="V19">
        <f>HYPERLINK("https://klasma.github.io/Logging_2031/artfynd/A 28119-2024 artfynd.xlsx", "A 28119-2024")</f>
        <v/>
      </c>
      <c r="W19">
        <f>HYPERLINK("https://klasma.github.io/Logging_2031/kartor/A 28119-2024 karta.png", "A 28119-2024")</f>
        <v/>
      </c>
      <c r="Y19">
        <f>HYPERLINK("https://klasma.github.io/Logging_2031/klagomål/A 28119-2024 FSC-klagomål.docx", "A 28119-2024")</f>
        <v/>
      </c>
      <c r="Z19">
        <f>HYPERLINK("https://klasma.github.io/Logging_2031/klagomålsmail/A 28119-2024 FSC-klagomål mail.docx", "A 28119-2024")</f>
        <v/>
      </c>
      <c r="AA19">
        <f>HYPERLINK("https://klasma.github.io/Logging_2031/tillsyn/A 28119-2024 tillsynsbegäran.docx", "A 28119-2024")</f>
        <v/>
      </c>
      <c r="AB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46218</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s="2" t="inlineStr">
        <is>
          <t>Björktrast
Sparvuggla
Järpe
Grönsiska</t>
        </is>
      </c>
      <c r="V20">
        <f>HYPERLINK("https://klasma.github.io/Logging_2031/artfynd/A 1251-2022 artfynd.xlsx", "A 1251-2022")</f>
        <v/>
      </c>
      <c r="W20">
        <f>HYPERLINK("https://klasma.github.io/Logging_2031/kartor/A 1251-2022 karta.png", "A 1251-2022")</f>
        <v/>
      </c>
      <c r="Y20">
        <f>HYPERLINK("https://klasma.github.io/Logging_2031/klagomål/A 1251-2022 FSC-klagomål.docx", "A 1251-2022")</f>
        <v/>
      </c>
      <c r="Z20">
        <f>HYPERLINK("https://klasma.github.io/Logging_2031/klagomålsmail/A 1251-2022 FSC-klagomål mail.docx", "A 1251-2022")</f>
        <v/>
      </c>
      <c r="AA20">
        <f>HYPERLINK("https://klasma.github.io/Logging_2031/tillsyn/A 1251-2022 tillsynsbegäran.docx", "A 1251-2022")</f>
        <v/>
      </c>
      <c r="AB20">
        <f>HYPERLINK("https://klasma.github.io/Logging_2031/tillsynsmail/A 1251-2022 tillsynsbegäran mail.docx", "A 1251-2022")</f>
        <v/>
      </c>
      <c r="AC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46218</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s="2" t="inlineStr">
        <is>
          <t>Spillkråka
Tjäder
Orre
Ärtsångare</t>
        </is>
      </c>
      <c r="V21">
        <f>HYPERLINK("https://klasma.github.io/Logging_2031/artfynd/A 2089-2026 artfynd.xlsx", "A 2089-2026")</f>
        <v/>
      </c>
      <c r="W21">
        <f>HYPERLINK("https://klasma.github.io/Logging_2031/kartor/A 2089-2026 karta.png", "A 2089-2026")</f>
        <v/>
      </c>
      <c r="Y21">
        <f>HYPERLINK("https://klasma.github.io/Logging_2031/klagomål/A 2089-2026 FSC-klagomål.docx", "A 2089-2026")</f>
        <v/>
      </c>
      <c r="Z21">
        <f>HYPERLINK("https://klasma.github.io/Logging_2031/klagomålsmail/A 2089-2026 FSC-klagomål mail.docx", "A 2089-2026")</f>
        <v/>
      </c>
      <c r="AA21">
        <f>HYPERLINK("https://klasma.github.io/Logging_2031/tillsyn/A 2089-2026 tillsynsbegäran.docx", "A 2089-2026")</f>
        <v/>
      </c>
      <c r="AB21">
        <f>HYPERLINK("https://klasma.github.io/Logging_2031/tillsynsmail/A 2089-2026 tillsynsbegäran mail.docx", "A 2089-2026")</f>
        <v/>
      </c>
      <c r="AC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46218</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46218</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46218</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s="2" t="inlineStr">
        <is>
          <t>Talltagel
Bronshjon
Mindre märgborre</t>
        </is>
      </c>
      <c r="V24">
        <f>HYPERLINK("https://klasma.github.io/Logging_2031/artfynd/A 33079-2024 artfynd.xlsx", "A 33079-2024")</f>
        <v/>
      </c>
      <c r="W24">
        <f>HYPERLINK("https://klasma.github.io/Logging_2031/kartor/A 33079-2024 karta.png", "A 33079-2024")</f>
        <v/>
      </c>
      <c r="Y24">
        <f>HYPERLINK("https://klasma.github.io/Logging_2031/klagomål/A 33079-2024 FSC-klagomål.docx", "A 33079-2024")</f>
        <v/>
      </c>
      <c r="Z24">
        <f>HYPERLINK("https://klasma.github.io/Logging_2031/klagomålsmail/A 33079-2024 FSC-klagomål mail.docx", "A 33079-2024")</f>
        <v/>
      </c>
      <c r="AA24">
        <f>HYPERLINK("https://klasma.github.io/Logging_2031/tillsyn/A 33079-2024 tillsynsbegäran.docx", "A 33079-2024")</f>
        <v/>
      </c>
      <c r="AB24">
        <f>HYPERLINK("https://klasma.github.io/Logging_2031/tillsynsmail/A 33079-2024 tillsynsbegäran mail.docx", "A 33079-2024")</f>
        <v/>
      </c>
    </row>
    <row r="25" ht="15" customHeight="1">
      <c r="A25" t="inlineStr">
        <is>
          <t>A 60556-2022</t>
        </is>
      </c>
      <c r="B25" t="inlineStr">
        <is>
          <t>avverkningsanmälan</t>
        </is>
      </c>
      <c r="C25" t="inlineStr">
        <is>
          <t>Föryngringsavverkning</t>
        </is>
      </c>
      <c r="D25" s="1" t="n">
        <v>44911</v>
      </c>
      <c r="E25" s="1" t="n">
        <v>46218</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s="2" t="inlineStr">
        <is>
          <t>Scharlakansvårskål agg.
Skogsknipprot
Svart trolldruva</t>
        </is>
      </c>
      <c r="V25">
        <f>HYPERLINK("https://klasma.github.io/Logging_2031/artfynd/A 60556-2022 artfynd.xlsx", "A 60556-2022")</f>
        <v/>
      </c>
      <c r="W25">
        <f>HYPERLINK("https://klasma.github.io/Logging_2031/kartor/A 60556-2022 karta.png", "A 60556-2022")</f>
        <v/>
      </c>
      <c r="Y25">
        <f>HYPERLINK("https://klasma.github.io/Logging_2031/klagomål/A 60556-2022 FSC-klagomål.docx", "A 60556-2022")</f>
        <v/>
      </c>
      <c r="Z25">
        <f>HYPERLINK("https://klasma.github.io/Logging_2031/klagomålsmail/A 60556-2022 FSC-klagomål mail.docx", "A 60556-2022")</f>
        <v/>
      </c>
      <c r="AA25">
        <f>HYPERLINK("https://klasma.github.io/Logging_2031/tillsyn/A 60556-2022 tillsynsbegäran.docx", "A 60556-2022")</f>
        <v/>
      </c>
      <c r="AB25">
        <f>HYPERLINK("https://klasma.github.io/Logging_2031/tillsynsmail/A 60556-2022 tillsynsbegäran mail.docx", "A 60556-2022")</f>
        <v/>
      </c>
    </row>
    <row r="26" ht="15" customHeight="1">
      <c r="A26" t="inlineStr">
        <is>
          <t>A 53468-2023</t>
        </is>
      </c>
      <c r="B26" t="inlineStr">
        <is>
          <t>avverkningsanmälan</t>
        </is>
      </c>
      <c r="C26" t="inlineStr">
        <is>
          <t>Föryngringsavverkning</t>
        </is>
      </c>
      <c r="D26" s="1" t="n">
        <v>45230</v>
      </c>
      <c r="E26" s="1" t="n">
        <v>46218</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s="2" t="inlineStr">
        <is>
          <t>Flodpärlmussla
Knärot
Mindre märgborre</t>
        </is>
      </c>
      <c r="V26">
        <f>HYPERLINK("https://klasma.github.io/Logging_2031/artfynd/A 53468-2023 artfynd.xlsx", "A 53468-2023")</f>
        <v/>
      </c>
      <c r="W26">
        <f>HYPERLINK("https://klasma.github.io/Logging_2031/kartor/A 53468-2023 karta.png", "A 53468-2023")</f>
        <v/>
      </c>
      <c r="X26">
        <f>HYPERLINK("https://klasma.github.io/Logging_2031/knärot/A 53468-2023 karta knärot.png", "A 53468-2023")</f>
        <v/>
      </c>
      <c r="Y26">
        <f>HYPERLINK("https://klasma.github.io/Logging_2031/klagomål/A 53468-2023 FSC-klagomål.docx", "A 53468-2023")</f>
        <v/>
      </c>
      <c r="Z26">
        <f>HYPERLINK("https://klasma.github.io/Logging_2031/klagomålsmail/A 53468-2023 FSC-klagomål mail.docx", "A 53468-2023")</f>
        <v/>
      </c>
      <c r="AA26">
        <f>HYPERLINK("https://klasma.github.io/Logging_2031/tillsyn/A 53468-2023 tillsynsbegäran.docx", "A 53468-2023")</f>
        <v/>
      </c>
      <c r="AB26">
        <f>HYPERLINK("https://klasma.github.io/Logging_2031/tillsynsmail/A 53468-2023 tillsynsbegäran mail.docx", "A 53468-2023")</f>
        <v/>
      </c>
    </row>
    <row r="27" ht="15" customHeight="1">
      <c r="A27" t="inlineStr">
        <is>
          <t>A 58675-2025</t>
        </is>
      </c>
      <c r="B27" t="inlineStr">
        <is>
          <t>avverkningsanmälan</t>
        </is>
      </c>
      <c r="C27" t="inlineStr">
        <is>
          <t>Föryngringsavverkning</t>
        </is>
      </c>
      <c r="D27" s="1" t="n">
        <v>45986</v>
      </c>
      <c r="E27" s="1" t="n">
        <v>46218</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s="2" t="inlineStr">
        <is>
          <t>Knärot
Vedskivlav
Bollvitmossa</t>
        </is>
      </c>
      <c r="V27">
        <f>HYPERLINK("https://klasma.github.io/Logging_2031/artfynd/A 58675-2025 artfynd.xlsx", "A 58675-2025")</f>
        <v/>
      </c>
      <c r="W27">
        <f>HYPERLINK("https://klasma.github.io/Logging_2031/kartor/A 58675-2025 karta.png", "A 58675-2025")</f>
        <v/>
      </c>
      <c r="X27">
        <f>HYPERLINK("https://klasma.github.io/Logging_2031/knärot/A 58675-2025 karta knärot.png", "A 58675-2025")</f>
        <v/>
      </c>
      <c r="Y27">
        <f>HYPERLINK("https://klasma.github.io/Logging_2031/klagomål/A 58675-2025 FSC-klagomål.docx", "A 58675-2025")</f>
        <v/>
      </c>
      <c r="Z27">
        <f>HYPERLINK("https://klasma.github.io/Logging_2031/klagomålsmail/A 58675-2025 FSC-klagomål mail.docx", "A 58675-2025")</f>
        <v/>
      </c>
      <c r="AA27">
        <f>HYPERLINK("https://klasma.github.io/Logging_2031/tillsyn/A 58675-2025 tillsynsbegäran.docx", "A 58675-2025")</f>
        <v/>
      </c>
      <c r="AB27">
        <f>HYPERLINK("https://klasma.github.io/Logging_2031/tillsynsmail/A 58675-2025 tillsynsbegäran mail.docx", "A 58675-2025")</f>
        <v/>
      </c>
    </row>
    <row r="28" ht="15" customHeight="1">
      <c r="A28" t="inlineStr">
        <is>
          <t>A 5890-2026</t>
        </is>
      </c>
      <c r="B28" t="inlineStr">
        <is>
          <t>avverkningsanmälan</t>
        </is>
      </c>
      <c r="C28" t="inlineStr">
        <is>
          <t>Föryngringsavverkning</t>
        </is>
      </c>
      <c r="D28" s="1" t="n">
        <v>46052</v>
      </c>
      <c r="E28" s="1" t="n">
        <v>46218</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s="2" t="inlineStr">
        <is>
          <t>Vedflamlav
Sotlav
Stor aspticka</t>
        </is>
      </c>
      <c r="V28">
        <f>HYPERLINK("https://klasma.github.io/Logging_2031/artfynd/A 5890-2026 artfynd.xlsx", "A 5890-2026")</f>
        <v/>
      </c>
      <c r="W28">
        <f>HYPERLINK("https://klasma.github.io/Logging_2031/kartor/A 5890-2026 karta.png", "A 5890-2026")</f>
        <v/>
      </c>
      <c r="Y28">
        <f>HYPERLINK("https://klasma.github.io/Logging_2031/klagomål/A 5890-2026 FSC-klagomål.docx", "A 5890-2026")</f>
        <v/>
      </c>
      <c r="Z28">
        <f>HYPERLINK("https://klasma.github.io/Logging_2031/klagomålsmail/A 5890-2026 FSC-klagomål mail.docx", "A 5890-2026")</f>
        <v/>
      </c>
      <c r="AA28">
        <f>HYPERLINK("https://klasma.github.io/Logging_2031/tillsyn/A 5890-2026 tillsynsbegäran.docx", "A 5890-2026")</f>
        <v/>
      </c>
      <c r="AB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46218</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s="2" t="inlineStr">
        <is>
          <t>Rosenticka
Rynkskinn
Ullticka</t>
        </is>
      </c>
      <c r="V29">
        <f>HYPERLINK("https://klasma.github.io/Logging_2031/artfynd/A 36315-2024 artfynd.xlsx", "A 36315-2024")</f>
        <v/>
      </c>
      <c r="W29">
        <f>HYPERLINK("https://klasma.github.io/Logging_2031/kartor/A 36315-2024 karta.png", "A 36315-2024")</f>
        <v/>
      </c>
      <c r="Y29">
        <f>HYPERLINK("https://klasma.github.io/Logging_2031/klagomål/A 36315-2024 FSC-klagomål.docx", "A 36315-2024")</f>
        <v/>
      </c>
      <c r="Z29">
        <f>HYPERLINK("https://klasma.github.io/Logging_2031/klagomålsmail/A 36315-2024 FSC-klagomål mail.docx", "A 36315-2024")</f>
        <v/>
      </c>
      <c r="AA29">
        <f>HYPERLINK("https://klasma.github.io/Logging_2031/tillsyn/A 36315-2024 tillsynsbegäran.docx", "A 36315-2024")</f>
        <v/>
      </c>
      <c r="AB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46218</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s="2" t="inlineStr">
        <is>
          <t>Garnlav
Ullticka
Ormbär</t>
        </is>
      </c>
      <c r="V30">
        <f>HYPERLINK("https://klasma.github.io/Logging_2031/artfynd/A 23986-2026 artfynd.xlsx", "A 23986-2026")</f>
        <v/>
      </c>
      <c r="W30">
        <f>HYPERLINK("https://klasma.github.io/Logging_2031/kartor/A 23986-2026 karta.png", "A 23986-2026")</f>
        <v/>
      </c>
      <c r="Y30">
        <f>HYPERLINK("https://klasma.github.io/Logging_2031/klagomål/A 23986-2026 FSC-klagomål.docx", "A 23986-2026")</f>
        <v/>
      </c>
      <c r="Z30">
        <f>HYPERLINK("https://klasma.github.io/Logging_2031/klagomålsmail/A 23986-2026 FSC-klagomål mail.docx", "A 23986-2026")</f>
        <v/>
      </c>
      <c r="AA30">
        <f>HYPERLINK("https://klasma.github.io/Logging_2031/tillsyn/A 23986-2026 tillsynsbegäran.docx", "A 23986-2026")</f>
        <v/>
      </c>
      <c r="AB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46218</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46218</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s="2" t="inlineStr">
        <is>
          <t>Brun gräsfjäril
Violettkantad guldvinge</t>
        </is>
      </c>
      <c r="V32">
        <f>HYPERLINK("https://klasma.github.io/Logging_2031/artfynd/A 12034-2024 artfynd.xlsx", "A 12034-2024")</f>
        <v/>
      </c>
      <c r="W32">
        <f>HYPERLINK("https://klasma.github.io/Logging_2031/kartor/A 12034-2024 karta.png", "A 12034-2024")</f>
        <v/>
      </c>
      <c r="Y32">
        <f>HYPERLINK("https://klasma.github.io/Logging_2031/klagomål/A 12034-2024 FSC-klagomål.docx", "A 12034-2024")</f>
        <v/>
      </c>
      <c r="Z32">
        <f>HYPERLINK("https://klasma.github.io/Logging_2031/klagomålsmail/A 12034-2024 FSC-klagomål mail.docx", "A 12034-2024")</f>
        <v/>
      </c>
      <c r="AA32">
        <f>HYPERLINK("https://klasma.github.io/Logging_2031/tillsyn/A 12034-2024 tillsynsbegäran.docx", "A 12034-2024")</f>
        <v/>
      </c>
      <c r="AB32">
        <f>HYPERLINK("https://klasma.github.io/Logging_2031/tillsynsmail/A 12034-2024 tillsynsbegäran mail.docx", "A 12034-2024")</f>
        <v/>
      </c>
    </row>
    <row r="33" ht="15" customHeight="1">
      <c r="A33" t="inlineStr">
        <is>
          <t>A 16116-2024</t>
        </is>
      </c>
      <c r="B33" t="inlineStr">
        <is>
          <t>avverkningsanmälan</t>
        </is>
      </c>
      <c r="C33" t="inlineStr">
        <is>
          <t>Föryngringsavverkning</t>
        </is>
      </c>
      <c r="D33" s="1" t="n">
        <v>45406</v>
      </c>
      <c r="E33" s="1" t="n">
        <v>46218</v>
      </c>
      <c r="F33" t="inlineStr">
        <is>
          <t>DALARNAS LÄN</t>
        </is>
      </c>
      <c r="G33" t="inlineStr">
        <is>
          <t>RÄTTVIK</t>
        </is>
      </c>
      <c r="I33" t="n">
        <v>19.1</v>
      </c>
      <c r="J33" t="n">
        <v>0</v>
      </c>
      <c r="K33" t="n">
        <v>1</v>
      </c>
      <c r="L33" t="n">
        <v>1</v>
      </c>
      <c r="M33" t="n">
        <v>0</v>
      </c>
      <c r="N33" t="n">
        <v>0</v>
      </c>
      <c r="O33" t="n">
        <v>0</v>
      </c>
      <c r="P33" t="n">
        <v>0</v>
      </c>
      <c r="Q33" t="n">
        <v>1</v>
      </c>
      <c r="R33" t="n">
        <v>0</v>
      </c>
      <c r="S33" t="n">
        <v>2</v>
      </c>
      <c r="T33" t="n">
        <v>2</v>
      </c>
      <c r="U33" s="2" t="inlineStr">
        <is>
          <t>Majviva
Korallblylav</t>
        </is>
      </c>
      <c r="V33">
        <f>HYPERLINK("https://klasma.github.io/Logging_2031/artfynd/A 16116-2024 artfynd.xlsx", "A 16116-2024")</f>
        <v/>
      </c>
      <c r="W33">
        <f>HYPERLINK("https://klasma.github.io/Logging_2031/kartor/A 16116-2024 karta.png", "A 16116-2024")</f>
        <v/>
      </c>
      <c r="Y33">
        <f>HYPERLINK("https://klasma.github.io/Logging_2031/klagomål/A 16116-2024 FSC-klagomål.docx", "A 16116-2024")</f>
        <v/>
      </c>
      <c r="Z33">
        <f>HYPERLINK("https://klasma.github.io/Logging_2031/klagomålsmail/A 16116-2024 FSC-klagomål mail.docx", "A 16116-2024")</f>
        <v/>
      </c>
      <c r="AA33">
        <f>HYPERLINK("https://klasma.github.io/Logging_2031/tillsyn/A 16116-2024 tillsynsbegäran.docx", "A 16116-2024")</f>
        <v/>
      </c>
      <c r="AB33">
        <f>HYPERLINK("https://klasma.github.io/Logging_2031/tillsynsmail/A 16116-2024 tillsynsbegäran mail.docx", "A 16116-2024")</f>
        <v/>
      </c>
    </row>
    <row r="34" ht="15" customHeight="1">
      <c r="A34" t="inlineStr">
        <is>
          <t>A 23707-2023</t>
        </is>
      </c>
      <c r="B34" t="inlineStr">
        <is>
          <t>avverkningsanmälan</t>
        </is>
      </c>
      <c r="C34" t="inlineStr">
        <is>
          <t>Föryngringsavverkning</t>
        </is>
      </c>
      <c r="D34" s="1" t="n">
        <v>45077</v>
      </c>
      <c r="E34" s="1" t="n">
        <v>46218</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s="2" t="inlineStr">
        <is>
          <t>Ullticka
Vedticka</t>
        </is>
      </c>
      <c r="V34">
        <f>HYPERLINK("https://klasma.github.io/Logging_2031/artfynd/A 23707-2023 artfynd.xlsx", "A 23707-2023")</f>
        <v/>
      </c>
      <c r="W34">
        <f>HYPERLINK("https://klasma.github.io/Logging_2031/kartor/A 23707-2023 karta.png", "A 23707-2023")</f>
        <v/>
      </c>
      <c r="Y34">
        <f>HYPERLINK("https://klasma.github.io/Logging_2031/klagomål/A 23707-2023 FSC-klagomål.docx", "A 23707-2023")</f>
        <v/>
      </c>
      <c r="Z34">
        <f>HYPERLINK("https://klasma.github.io/Logging_2031/klagomålsmail/A 23707-2023 FSC-klagomål mail.docx", "A 23707-2023")</f>
        <v/>
      </c>
      <c r="AA34">
        <f>HYPERLINK("https://klasma.github.io/Logging_2031/tillsyn/A 23707-2023 tillsynsbegäran.docx", "A 23707-2023")</f>
        <v/>
      </c>
      <c r="AB34">
        <f>HYPERLINK("https://klasma.github.io/Logging_2031/tillsynsmail/A 23707-2023 tillsynsbegäran mail.docx", "A 23707-2023")</f>
        <v/>
      </c>
    </row>
    <row r="35" ht="15" customHeight="1">
      <c r="A35" t="inlineStr">
        <is>
          <t>A 47781-2025</t>
        </is>
      </c>
      <c r="B35" t="inlineStr">
        <is>
          <t>avverkningsanmälan</t>
        </is>
      </c>
      <c r="C35" t="inlineStr">
        <is>
          <t>Föryngringsavverkning</t>
        </is>
      </c>
      <c r="D35" s="1" t="n">
        <v>45931</v>
      </c>
      <c r="E35" s="1" t="n">
        <v>46218</v>
      </c>
      <c r="F35" t="inlineStr">
        <is>
          <t>DALARNAS LÄN</t>
        </is>
      </c>
      <c r="G35" t="inlineStr">
        <is>
          <t>RÄTTVIK</t>
        </is>
      </c>
      <c r="H35" t="inlineStr">
        <is>
          <t>Bergvik skog väst AB</t>
        </is>
      </c>
      <c r="I35" t="n">
        <v>14.4</v>
      </c>
      <c r="J35" t="n">
        <v>2</v>
      </c>
      <c r="K35" t="n">
        <v>0</v>
      </c>
      <c r="L35" t="n">
        <v>1</v>
      </c>
      <c r="M35" t="n">
        <v>0</v>
      </c>
      <c r="N35" t="n">
        <v>0</v>
      </c>
      <c r="O35" t="n">
        <v>0</v>
      </c>
      <c r="P35" t="n">
        <v>0</v>
      </c>
      <c r="Q35" t="n">
        <v>1</v>
      </c>
      <c r="R35" t="n">
        <v>0</v>
      </c>
      <c r="S35" t="n">
        <v>2</v>
      </c>
      <c r="T35" t="n">
        <v>2</v>
      </c>
      <c r="U35" s="2" t="inlineStr">
        <is>
          <t>Talltita
Grönsiska</t>
        </is>
      </c>
      <c r="V35">
        <f>HYPERLINK("https://klasma.github.io/Logging_2031/artfynd/A 47781-2025 artfynd.xlsx", "A 47781-2025")</f>
        <v/>
      </c>
      <c r="W35">
        <f>HYPERLINK("https://klasma.github.io/Logging_2031/kartor/A 47781-2025 karta.png", "A 47781-2025")</f>
        <v/>
      </c>
      <c r="Y35">
        <f>HYPERLINK("https://klasma.github.io/Logging_2031/klagomål/A 47781-2025 FSC-klagomål.docx", "A 47781-2025")</f>
        <v/>
      </c>
      <c r="Z35">
        <f>HYPERLINK("https://klasma.github.io/Logging_2031/klagomålsmail/A 47781-2025 FSC-klagomål mail.docx", "A 47781-2025")</f>
        <v/>
      </c>
      <c r="AA35">
        <f>HYPERLINK("https://klasma.github.io/Logging_2031/tillsyn/A 47781-2025 tillsynsbegäran.docx", "A 47781-2025")</f>
        <v/>
      </c>
      <c r="AB35">
        <f>HYPERLINK("https://klasma.github.io/Logging_2031/tillsynsmail/A 47781-2025 tillsynsbegäran mail.docx", "A 47781-2025")</f>
        <v/>
      </c>
      <c r="AC35">
        <f>HYPERLINK("https://klasma.github.io/Logging_2031/fåglar/A 47781-2025 prioriterade fågelarter.docx", "A 47781-2025")</f>
        <v/>
      </c>
    </row>
    <row r="36" ht="15" customHeight="1">
      <c r="A36" t="inlineStr">
        <is>
          <t>A 821-2025</t>
        </is>
      </c>
      <c r="B36" t="inlineStr">
        <is>
          <t>avverkningsanmälan</t>
        </is>
      </c>
      <c r="C36" t="inlineStr">
        <is>
          <t>Föryngringsavverkning</t>
        </is>
      </c>
      <c r="D36" s="1" t="n">
        <v>45665</v>
      </c>
      <c r="E36" s="1" t="n">
        <v>46218</v>
      </c>
      <c r="F36" t="inlineStr">
        <is>
          <t>DALARNAS LÄN</t>
        </is>
      </c>
      <c r="G36" t="inlineStr">
        <is>
          <t>RÄTTVIK</t>
        </is>
      </c>
      <c r="I36" t="n">
        <v>6.4</v>
      </c>
      <c r="J36" t="n">
        <v>2</v>
      </c>
      <c r="K36" t="n">
        <v>1</v>
      </c>
      <c r="L36" t="n">
        <v>0</v>
      </c>
      <c r="M36" t="n">
        <v>0</v>
      </c>
      <c r="N36" t="n">
        <v>0</v>
      </c>
      <c r="O36" t="n">
        <v>0</v>
      </c>
      <c r="P36" t="n">
        <v>0</v>
      </c>
      <c r="Q36" t="n">
        <v>0</v>
      </c>
      <c r="R36" t="n">
        <v>0</v>
      </c>
      <c r="S36" t="n">
        <v>2</v>
      </c>
      <c r="T36" t="n">
        <v>2</v>
      </c>
      <c r="U36" s="2" t="inlineStr">
        <is>
          <t>Tvåblad
Huggorm</t>
        </is>
      </c>
      <c r="V36">
        <f>HYPERLINK("https://klasma.github.io/Logging_2031/artfynd/A 821-2025 artfynd.xlsx", "A 821-2025")</f>
        <v/>
      </c>
      <c r="W36">
        <f>HYPERLINK("https://klasma.github.io/Logging_2031/kartor/A 821-2025 karta.png", "A 821-2025")</f>
        <v/>
      </c>
      <c r="Y36">
        <f>HYPERLINK("https://klasma.github.io/Logging_2031/klagomål/A 821-2025 FSC-klagomål.docx", "A 821-2025")</f>
        <v/>
      </c>
      <c r="Z36">
        <f>HYPERLINK("https://klasma.github.io/Logging_2031/klagomålsmail/A 821-2025 FSC-klagomål mail.docx", "A 821-2025")</f>
        <v/>
      </c>
      <c r="AA36">
        <f>HYPERLINK("https://klasma.github.io/Logging_2031/tillsyn/A 821-2025 tillsynsbegäran.docx", "A 821-2025")</f>
        <v/>
      </c>
      <c r="AB36">
        <f>HYPERLINK("https://klasma.github.io/Logging_2031/tillsynsmail/A 821-2025 tillsynsbegäran mail.docx", "A 821-2025")</f>
        <v/>
      </c>
    </row>
    <row r="37" ht="15" customHeight="1">
      <c r="A37" t="inlineStr">
        <is>
          <t>A 51519-2023</t>
        </is>
      </c>
      <c r="B37" t="inlineStr">
        <is>
          <t>avverkningsanmälan</t>
        </is>
      </c>
      <c r="C37" t="inlineStr">
        <is>
          <t>Föryngringsavverkning</t>
        </is>
      </c>
      <c r="D37" s="1" t="n">
        <v>45222</v>
      </c>
      <c r="E37" s="1" t="n">
        <v>46218</v>
      </c>
      <c r="F37" t="inlineStr">
        <is>
          <t>DALARNAS LÄN</t>
        </is>
      </c>
      <c r="G37" t="inlineStr">
        <is>
          <t>RÄTTVIK</t>
        </is>
      </c>
      <c r="H37" t="inlineStr">
        <is>
          <t>Bergvik skog väst AB</t>
        </is>
      </c>
      <c r="I37" t="n">
        <v>2.4</v>
      </c>
      <c r="J37" t="n">
        <v>0</v>
      </c>
      <c r="K37" t="n">
        <v>1</v>
      </c>
      <c r="L37" t="n">
        <v>0</v>
      </c>
      <c r="M37" t="n">
        <v>1</v>
      </c>
      <c r="N37" t="n">
        <v>0</v>
      </c>
      <c r="O37" t="n">
        <v>0</v>
      </c>
      <c r="P37" t="n">
        <v>0</v>
      </c>
      <c r="Q37" t="n">
        <v>1</v>
      </c>
      <c r="R37" t="n">
        <v>1</v>
      </c>
      <c r="S37" t="n">
        <v>2</v>
      </c>
      <c r="T37" t="n">
        <v>22</v>
      </c>
      <c r="U37" s="2" t="inlineStr">
        <is>
          <t>Garnlav
Bronshjon</t>
        </is>
      </c>
      <c r="V37">
        <f>HYPERLINK("https://klasma.github.io/Logging_2031/artfynd/A 51519-2023 artfynd.xlsx", "A 51519-2023")</f>
        <v/>
      </c>
      <c r="W37">
        <f>HYPERLINK("https://klasma.github.io/Logging_2031/kartor/A 51519-2023 karta.png", "A 51519-2023")</f>
        <v/>
      </c>
      <c r="Y37">
        <f>HYPERLINK("https://klasma.github.io/Logging_2031/klagomål/A 51519-2023 FSC-klagomål.docx", "A 51519-2023")</f>
        <v/>
      </c>
      <c r="Z37">
        <f>HYPERLINK("https://klasma.github.io/Logging_2031/klagomålsmail/A 51519-2023 FSC-klagomål mail.docx", "A 51519-2023")</f>
        <v/>
      </c>
      <c r="AA37">
        <f>HYPERLINK("https://klasma.github.io/Logging_2031/tillsyn/A 51519-2023 tillsynsbegäran.docx", "A 51519-2023")</f>
        <v/>
      </c>
      <c r="AB37">
        <f>HYPERLINK("https://klasma.github.io/Logging_2031/tillsynsmail/A 51519-2023 tillsynsbegäran mail.docx", "A 51519-2023")</f>
        <v/>
      </c>
    </row>
    <row r="38" ht="15" customHeight="1">
      <c r="A38" t="inlineStr">
        <is>
          <t>A 16832-2023</t>
        </is>
      </c>
      <c r="B38" t="inlineStr">
        <is>
          <t>avverkningsanmälan</t>
        </is>
      </c>
      <c r="C38" t="inlineStr">
        <is>
          <t>Föryngringsavverkning</t>
        </is>
      </c>
      <c r="D38" s="1" t="n">
        <v>45033</v>
      </c>
      <c r="E38" s="1" t="n">
        <v>46218</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s="2" t="inlineStr">
        <is>
          <t>Garnlav
Ullticka</t>
        </is>
      </c>
      <c r="V38">
        <f>HYPERLINK("https://klasma.github.io/Logging_2031/artfynd/A 16832-2023 artfynd.xlsx", "A 16832-2023")</f>
        <v/>
      </c>
      <c r="W38">
        <f>HYPERLINK("https://klasma.github.io/Logging_2031/kartor/A 16832-2023 karta.png", "A 16832-2023")</f>
        <v/>
      </c>
      <c r="Y38">
        <f>HYPERLINK("https://klasma.github.io/Logging_2031/klagomål/A 16832-2023 FSC-klagomål.docx", "A 16832-2023")</f>
        <v/>
      </c>
      <c r="Z38">
        <f>HYPERLINK("https://klasma.github.io/Logging_2031/klagomålsmail/A 16832-2023 FSC-klagomål mail.docx", "A 16832-2023")</f>
        <v/>
      </c>
      <c r="AA38">
        <f>HYPERLINK("https://klasma.github.io/Logging_2031/tillsyn/A 16832-2023 tillsynsbegäran.docx", "A 16832-2023")</f>
        <v/>
      </c>
      <c r="AB38">
        <f>HYPERLINK("https://klasma.github.io/Logging_2031/tillsynsmail/A 16832-2023 tillsynsbegäran mail.docx", "A 16832-2023")</f>
        <v/>
      </c>
    </row>
    <row r="39" ht="15" customHeight="1">
      <c r="A39" t="inlineStr">
        <is>
          <t>A 55975-2025</t>
        </is>
      </c>
      <c r="B39" t="inlineStr">
        <is>
          <t>avverkningsanmälan</t>
        </is>
      </c>
      <c r="C39" t="inlineStr">
        <is>
          <t>Föryngringsavverkning</t>
        </is>
      </c>
      <c r="D39" s="1" t="n">
        <v>45973</v>
      </c>
      <c r="E39" s="1" t="n">
        <v>46218</v>
      </c>
      <c r="F39" t="inlineStr">
        <is>
          <t>DALARNAS LÄN</t>
        </is>
      </c>
      <c r="G39" t="inlineStr">
        <is>
          <t>RÄTTVIK</t>
        </is>
      </c>
      <c r="I39" t="n">
        <v>1.9</v>
      </c>
      <c r="J39" t="n">
        <v>0</v>
      </c>
      <c r="K39" t="n">
        <v>0</v>
      </c>
      <c r="L39" t="n">
        <v>2</v>
      </c>
      <c r="M39" t="n">
        <v>0</v>
      </c>
      <c r="N39" t="n">
        <v>0</v>
      </c>
      <c r="O39" t="n">
        <v>0</v>
      </c>
      <c r="P39" t="n">
        <v>0</v>
      </c>
      <c r="Q39" t="n">
        <v>2</v>
      </c>
      <c r="R39" t="n">
        <v>0</v>
      </c>
      <c r="S39" t="n">
        <v>2</v>
      </c>
      <c r="T39" t="n">
        <v>2</v>
      </c>
      <c r="U39" s="2" t="inlineStr">
        <is>
          <t>Rosenticka
Ullticka</t>
        </is>
      </c>
      <c r="V39">
        <f>HYPERLINK("https://klasma.github.io/Logging_2031/artfynd/A 55975-2025 artfynd.xlsx", "A 55975-2025")</f>
        <v/>
      </c>
      <c r="W39">
        <f>HYPERLINK("https://klasma.github.io/Logging_2031/kartor/A 55975-2025 karta.png", "A 55975-2025")</f>
        <v/>
      </c>
      <c r="Y39">
        <f>HYPERLINK("https://klasma.github.io/Logging_2031/klagomål/A 55975-2025 FSC-klagomål.docx", "A 55975-2025")</f>
        <v/>
      </c>
      <c r="Z39">
        <f>HYPERLINK("https://klasma.github.io/Logging_2031/klagomålsmail/A 55975-2025 FSC-klagomål mail.docx", "A 55975-2025")</f>
        <v/>
      </c>
      <c r="AA39">
        <f>HYPERLINK("https://klasma.github.io/Logging_2031/tillsyn/A 55975-2025 tillsynsbegäran.docx", "A 55975-2025")</f>
        <v/>
      </c>
      <c r="AB39">
        <f>HYPERLINK("https://klasma.github.io/Logging_2031/tillsynsmail/A 55975-2025 tillsynsbegäran mail.docx", "A 55975-2025")</f>
        <v/>
      </c>
    </row>
    <row r="40" ht="15" customHeight="1">
      <c r="A40" t="inlineStr">
        <is>
          <t>A 29511-2025</t>
        </is>
      </c>
      <c r="B40" t="inlineStr">
        <is>
          <t>avverkningsanmälan</t>
        </is>
      </c>
      <c r="C40" t="inlineStr">
        <is>
          <t>Föryngringsavverkning</t>
        </is>
      </c>
      <c r="D40" s="1" t="n">
        <v>45825</v>
      </c>
      <c r="E40" s="1" t="n">
        <v>46218</v>
      </c>
      <c r="F40" t="inlineStr">
        <is>
          <t>DALARNAS LÄN</t>
        </is>
      </c>
      <c r="G40" t="inlineStr">
        <is>
          <t>RÄTTVIK</t>
        </is>
      </c>
      <c r="I40" t="n">
        <v>1.3</v>
      </c>
      <c r="J40" t="n">
        <v>2</v>
      </c>
      <c r="K40" t="n">
        <v>1</v>
      </c>
      <c r="L40" t="n">
        <v>0</v>
      </c>
      <c r="M40" t="n">
        <v>0</v>
      </c>
      <c r="N40" t="n">
        <v>0</v>
      </c>
      <c r="O40" t="n">
        <v>0</v>
      </c>
      <c r="P40" t="n">
        <v>0</v>
      </c>
      <c r="Q40" t="n">
        <v>0</v>
      </c>
      <c r="R40" t="n">
        <v>0</v>
      </c>
      <c r="S40" t="n">
        <v>2</v>
      </c>
      <c r="T40" t="n">
        <v>2</v>
      </c>
      <c r="U40" s="2" t="inlineStr">
        <is>
          <t>Tvåblad
Nattviol</t>
        </is>
      </c>
      <c r="V40">
        <f>HYPERLINK("https://klasma.github.io/Logging_2031/artfynd/A 29511-2025 artfynd.xlsx", "A 29511-2025")</f>
        <v/>
      </c>
      <c r="W40">
        <f>HYPERLINK("https://klasma.github.io/Logging_2031/kartor/A 29511-2025 karta.png", "A 29511-2025")</f>
        <v/>
      </c>
      <c r="Y40">
        <f>HYPERLINK("https://klasma.github.io/Logging_2031/klagomål/A 29511-2025 FSC-klagomål.docx", "A 29511-2025")</f>
        <v/>
      </c>
      <c r="Z40">
        <f>HYPERLINK("https://klasma.github.io/Logging_2031/klagomålsmail/A 29511-2025 FSC-klagomål mail.docx", "A 29511-2025")</f>
        <v/>
      </c>
      <c r="AA40">
        <f>HYPERLINK("https://klasma.github.io/Logging_2031/tillsyn/A 29511-2025 tillsynsbegäran.docx", "A 29511-2025")</f>
        <v/>
      </c>
      <c r="AB40">
        <f>HYPERLINK("https://klasma.github.io/Logging_2031/tillsynsmail/A 29511-2025 tillsynsbegäran mail.docx", "A 29511-2025")</f>
        <v/>
      </c>
    </row>
    <row r="41" ht="15" customHeight="1">
      <c r="A41" t="inlineStr">
        <is>
          <t>A 30707-2025</t>
        </is>
      </c>
      <c r="B41" t="inlineStr">
        <is>
          <t>avverkningsanmälan</t>
        </is>
      </c>
      <c r="C41" t="inlineStr">
        <is>
          <t>Föryngringsavverkning</t>
        </is>
      </c>
      <c r="D41" s="1" t="n">
        <v>45831</v>
      </c>
      <c r="E41" s="1" t="n">
        <v>46218</v>
      </c>
      <c r="F41" t="inlineStr">
        <is>
          <t>DALARNAS LÄN</t>
        </is>
      </c>
      <c r="G41" t="inlineStr">
        <is>
          <t>RÄTTVIK</t>
        </is>
      </c>
      <c r="I41" t="n">
        <v>2.5</v>
      </c>
      <c r="J41" t="n">
        <v>2</v>
      </c>
      <c r="K41" t="n">
        <v>0</v>
      </c>
      <c r="L41" t="n">
        <v>0</v>
      </c>
      <c r="M41" t="n">
        <v>0</v>
      </c>
      <c r="N41" t="n">
        <v>0</v>
      </c>
      <c r="O41" t="n">
        <v>0</v>
      </c>
      <c r="P41" t="n">
        <v>0</v>
      </c>
      <c r="Q41" t="n">
        <v>0</v>
      </c>
      <c r="R41" t="n">
        <v>0</v>
      </c>
      <c r="S41" t="n">
        <v>2</v>
      </c>
      <c r="T41" t="n">
        <v>2</v>
      </c>
      <c r="U41" s="2" t="inlineStr">
        <is>
          <t>Blåsippa
Revlummer</t>
        </is>
      </c>
      <c r="V41">
        <f>HYPERLINK("https://klasma.github.io/Logging_2031/artfynd/A 30707-2025 artfynd.xlsx", "A 30707-2025")</f>
        <v/>
      </c>
      <c r="W41">
        <f>HYPERLINK("https://klasma.github.io/Logging_2031/kartor/A 30707-2025 karta.png", "A 30707-2025")</f>
        <v/>
      </c>
      <c r="Y41">
        <f>HYPERLINK("https://klasma.github.io/Logging_2031/klagomål/A 30707-2025 FSC-klagomål.docx", "A 30707-2025")</f>
        <v/>
      </c>
      <c r="Z41">
        <f>HYPERLINK("https://klasma.github.io/Logging_2031/klagomålsmail/A 30707-2025 FSC-klagomål mail.docx", "A 30707-2025")</f>
        <v/>
      </c>
      <c r="AA41">
        <f>HYPERLINK("https://klasma.github.io/Logging_2031/tillsyn/A 30707-2025 tillsynsbegäran.docx", "A 30707-2025")</f>
        <v/>
      </c>
      <c r="AB41">
        <f>HYPERLINK("https://klasma.github.io/Logging_2031/tillsynsmail/A 30707-2025 tillsynsbegäran mail.docx", "A 30707-2025")</f>
        <v/>
      </c>
    </row>
    <row r="42" ht="15" customHeight="1">
      <c r="A42" t="inlineStr">
        <is>
          <t>A 34241-2025</t>
        </is>
      </c>
      <c r="B42" t="inlineStr">
        <is>
          <t>avverkningsanmälan</t>
        </is>
      </c>
      <c r="C42" t="inlineStr">
        <is>
          <t>Föryngringsavverkning</t>
        </is>
      </c>
      <c r="D42" s="1" t="n">
        <v>45845</v>
      </c>
      <c r="E42" s="1" t="n">
        <v>46218</v>
      </c>
      <c r="F42" t="inlineStr">
        <is>
          <t>DALARNAS LÄN</t>
        </is>
      </c>
      <c r="G42" t="inlineStr">
        <is>
          <t>RÄTTVIK</t>
        </is>
      </c>
      <c r="H42" t="inlineStr">
        <is>
          <t>Sveaskog</t>
        </is>
      </c>
      <c r="I42" t="n">
        <v>23.4</v>
      </c>
      <c r="J42" t="n">
        <v>0</v>
      </c>
      <c r="K42" t="n">
        <v>0</v>
      </c>
      <c r="L42" t="n">
        <v>2</v>
      </c>
      <c r="M42" t="n">
        <v>0</v>
      </c>
      <c r="N42" t="n">
        <v>0</v>
      </c>
      <c r="O42" t="n">
        <v>0</v>
      </c>
      <c r="P42" t="n">
        <v>0</v>
      </c>
      <c r="Q42" t="n">
        <v>2</v>
      </c>
      <c r="R42" t="n">
        <v>0</v>
      </c>
      <c r="S42" t="n">
        <v>2</v>
      </c>
      <c r="T42" t="n">
        <v>2</v>
      </c>
      <c r="U42" s="2" t="inlineStr">
        <is>
          <t>Kolflarnlav
Mörk kolflarnlav</t>
        </is>
      </c>
      <c r="V42">
        <f>HYPERLINK("https://klasma.github.io/Logging_2031/artfynd/A 34241-2025 artfynd.xlsx", "A 34241-2025")</f>
        <v/>
      </c>
      <c r="W42">
        <f>HYPERLINK("https://klasma.github.io/Logging_2031/kartor/A 34241-2025 karta.png", "A 34241-2025")</f>
        <v/>
      </c>
      <c r="Y42">
        <f>HYPERLINK("https://klasma.github.io/Logging_2031/klagomål/A 34241-2025 FSC-klagomål.docx", "A 34241-2025")</f>
        <v/>
      </c>
      <c r="Z42">
        <f>HYPERLINK("https://klasma.github.io/Logging_2031/klagomålsmail/A 34241-2025 FSC-klagomål mail.docx", "A 34241-2025")</f>
        <v/>
      </c>
      <c r="AA42">
        <f>HYPERLINK("https://klasma.github.io/Logging_2031/tillsyn/A 34241-2025 tillsynsbegäran.docx", "A 34241-2025")</f>
        <v/>
      </c>
      <c r="AB42">
        <f>HYPERLINK("https://klasma.github.io/Logging_2031/tillsynsmail/A 34241-2025 tillsynsbegäran mail.docx", "A 34241-2025")</f>
        <v/>
      </c>
    </row>
    <row r="43" ht="15" customHeight="1">
      <c r="A43" t="inlineStr">
        <is>
          <t>A 19958-2025</t>
        </is>
      </c>
      <c r="B43" t="inlineStr">
        <is>
          <t>avverkningsanmälan</t>
        </is>
      </c>
      <c r="C43" t="inlineStr">
        <is>
          <t>Föryngringsavverkning</t>
        </is>
      </c>
      <c r="D43" s="1" t="n">
        <v>45771</v>
      </c>
      <c r="E43" s="1" t="n">
        <v>46218</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s="2" t="inlineStr">
        <is>
          <t>Knärot
Orange taggsvamp</t>
        </is>
      </c>
      <c r="V43">
        <f>HYPERLINK("https://klasma.github.io/Logging_2031/artfynd/A 19958-2025 artfynd.xlsx", "A 19958-2025")</f>
        <v/>
      </c>
      <c r="W43">
        <f>HYPERLINK("https://klasma.github.io/Logging_2031/kartor/A 19958-2025 karta.png", "A 19958-2025")</f>
        <v/>
      </c>
      <c r="X43">
        <f>HYPERLINK("https://klasma.github.io/Logging_2031/knärot/A 19958-2025 karta knärot.png", "A 19958-2025")</f>
        <v/>
      </c>
      <c r="Y43">
        <f>HYPERLINK("https://klasma.github.io/Logging_2031/klagomål/A 19958-2025 FSC-klagomål.docx", "A 19958-2025")</f>
        <v/>
      </c>
      <c r="Z43">
        <f>HYPERLINK("https://klasma.github.io/Logging_2031/klagomålsmail/A 19958-2025 FSC-klagomål mail.docx", "A 19958-2025")</f>
        <v/>
      </c>
      <c r="AA43">
        <f>HYPERLINK("https://klasma.github.io/Logging_2031/tillsyn/A 19958-2025 tillsynsbegäran.docx", "A 19958-2025")</f>
        <v/>
      </c>
      <c r="AB43">
        <f>HYPERLINK("https://klasma.github.io/Logging_2031/tillsynsmail/A 19958-2025 tillsynsbegäran mail.docx", "A 19958-2025")</f>
        <v/>
      </c>
    </row>
    <row r="44" ht="15" customHeight="1">
      <c r="A44" t="inlineStr">
        <is>
          <t>A 62540-2025</t>
        </is>
      </c>
      <c r="B44" t="inlineStr">
        <is>
          <t>avverkningsanmälan</t>
        </is>
      </c>
      <c r="C44" t="inlineStr">
        <is>
          <t>Föryngringsavverkning</t>
        </is>
      </c>
      <c r="D44" s="1" t="n">
        <v>46007</v>
      </c>
      <c r="E44" s="1" t="n">
        <v>46218</v>
      </c>
      <c r="F44" t="inlineStr">
        <is>
          <t>DALARNAS LÄN</t>
        </is>
      </c>
      <c r="G44" t="inlineStr">
        <is>
          <t>RÄTTVIK</t>
        </is>
      </c>
      <c r="I44" t="n">
        <v>2.1</v>
      </c>
      <c r="J44" t="n">
        <v>0</v>
      </c>
      <c r="K44" t="n">
        <v>0</v>
      </c>
      <c r="L44" t="n">
        <v>2</v>
      </c>
      <c r="M44" t="n">
        <v>0</v>
      </c>
      <c r="N44" t="n">
        <v>0</v>
      </c>
      <c r="O44" t="n">
        <v>0</v>
      </c>
      <c r="P44" t="n">
        <v>0</v>
      </c>
      <c r="Q44" t="n">
        <v>2</v>
      </c>
      <c r="R44" t="n">
        <v>0</v>
      </c>
      <c r="S44" t="n">
        <v>2</v>
      </c>
      <c r="T44" t="n">
        <v>2</v>
      </c>
      <c r="U44" s="2" t="inlineStr">
        <is>
          <t>Rosenticka
Ullticka</t>
        </is>
      </c>
      <c r="V44">
        <f>HYPERLINK("https://klasma.github.io/Logging_2031/artfynd/A 62540-2025 artfynd.xlsx", "A 62540-2025")</f>
        <v/>
      </c>
      <c r="W44">
        <f>HYPERLINK("https://klasma.github.io/Logging_2031/kartor/A 62540-2025 karta.png", "A 62540-2025")</f>
        <v/>
      </c>
      <c r="Y44">
        <f>HYPERLINK("https://klasma.github.io/Logging_2031/klagomål/A 62540-2025 FSC-klagomål.docx", "A 62540-2025")</f>
        <v/>
      </c>
      <c r="Z44">
        <f>HYPERLINK("https://klasma.github.io/Logging_2031/klagomålsmail/A 62540-2025 FSC-klagomål mail.docx", "A 62540-2025")</f>
        <v/>
      </c>
      <c r="AA44">
        <f>HYPERLINK("https://klasma.github.io/Logging_2031/tillsyn/A 62540-2025 tillsynsbegäran.docx", "A 62540-2025")</f>
        <v/>
      </c>
      <c r="AB44">
        <f>HYPERLINK("https://klasma.github.io/Logging_2031/tillsynsmail/A 62540-2025 tillsynsbegäran mail.docx", "A 62540-2025")</f>
        <v/>
      </c>
    </row>
    <row r="45" ht="15" customHeight="1">
      <c r="A45" t="inlineStr">
        <is>
          <t>A 27338-2026</t>
        </is>
      </c>
      <c r="B45" t="inlineStr">
        <is>
          <t>avverkningsanmälan</t>
        </is>
      </c>
      <c r="C45" t="inlineStr">
        <is>
          <t>Föryngringsavverkning</t>
        </is>
      </c>
      <c r="D45" s="1" t="n">
        <v>46188</v>
      </c>
      <c r="E45" s="1" t="n">
        <v>46218</v>
      </c>
      <c r="F45" t="inlineStr">
        <is>
          <t>DALARNAS LÄN</t>
        </is>
      </c>
      <c r="G45" t="inlineStr">
        <is>
          <t>RÄTTVIK</t>
        </is>
      </c>
      <c r="H45" t="inlineStr">
        <is>
          <t>Bergvik skog väst AB</t>
        </is>
      </c>
      <c r="I45" t="n">
        <v>2.4</v>
      </c>
      <c r="J45" t="n">
        <v>0</v>
      </c>
      <c r="K45" t="n">
        <v>0</v>
      </c>
      <c r="L45" t="n">
        <v>2</v>
      </c>
      <c r="M45" t="n">
        <v>0</v>
      </c>
      <c r="N45" t="n">
        <v>0</v>
      </c>
      <c r="O45" t="n">
        <v>0</v>
      </c>
      <c r="P45" t="n">
        <v>0</v>
      </c>
      <c r="Q45" t="n">
        <v>2</v>
      </c>
      <c r="R45" t="n">
        <v>0</v>
      </c>
      <c r="S45" t="n">
        <v>2</v>
      </c>
      <c r="T45" t="n">
        <v>2</v>
      </c>
      <c r="U45" s="2" t="inlineStr">
        <is>
          <t>Mörk kolflarnlav
Vedskivlav</t>
        </is>
      </c>
      <c r="V45">
        <f>HYPERLINK("https://klasma.github.io/Logging_2031/artfynd/A 27338-2026 artfynd.xlsx", "A 27338-2026")</f>
        <v/>
      </c>
      <c r="W45">
        <f>HYPERLINK("https://klasma.github.io/Logging_2031/kartor/A 27338-2026 karta.png", "A 27338-2026")</f>
        <v/>
      </c>
      <c r="Y45">
        <f>HYPERLINK("https://klasma.github.io/Logging_2031/klagomål/A 27338-2026 FSC-klagomål.docx", "A 27338-2026")</f>
        <v/>
      </c>
      <c r="Z45">
        <f>HYPERLINK("https://klasma.github.io/Logging_2031/klagomålsmail/A 27338-2026 FSC-klagomål mail.docx", "A 27338-2026")</f>
        <v/>
      </c>
      <c r="AA45">
        <f>HYPERLINK("https://klasma.github.io/Logging_2031/tillsyn/A 27338-2026 tillsynsbegäran.docx", "A 27338-2026")</f>
        <v/>
      </c>
      <c r="AB45">
        <f>HYPERLINK("https://klasma.github.io/Logging_2031/tillsynsmail/A 27338-2026 tillsynsbegäran mail.docx", "A 27338-2026")</f>
        <v/>
      </c>
    </row>
    <row r="46" ht="15" customHeight="1">
      <c r="A46" t="inlineStr">
        <is>
          <t>A 22019-2026</t>
        </is>
      </c>
      <c r="B46" t="inlineStr">
        <is>
          <t>avverkningsanmälan</t>
        </is>
      </c>
      <c r="C46" t="inlineStr">
        <is>
          <t>Föryngringsavverkning</t>
        </is>
      </c>
      <c r="D46" s="1" t="n">
        <v>46153</v>
      </c>
      <c r="E46" s="1" t="n">
        <v>46218</v>
      </c>
      <c r="F46" t="inlineStr">
        <is>
          <t>DALARNAS LÄN</t>
        </is>
      </c>
      <c r="G46" t="inlineStr">
        <is>
          <t>RÄTTVIK</t>
        </is>
      </c>
      <c r="H46" t="inlineStr">
        <is>
          <t>Sveaskog</t>
        </is>
      </c>
      <c r="I46" t="n">
        <v>4.5</v>
      </c>
      <c r="J46" t="n">
        <v>0</v>
      </c>
      <c r="K46" t="n">
        <v>0</v>
      </c>
      <c r="L46" t="n">
        <v>2</v>
      </c>
      <c r="M46" t="n">
        <v>0</v>
      </c>
      <c r="N46" t="n">
        <v>0</v>
      </c>
      <c r="O46" t="n">
        <v>0</v>
      </c>
      <c r="P46" t="n">
        <v>0</v>
      </c>
      <c r="Q46" t="n">
        <v>2</v>
      </c>
      <c r="R46" t="n">
        <v>0</v>
      </c>
      <c r="S46" t="n">
        <v>2</v>
      </c>
      <c r="T46" t="n">
        <v>2</v>
      </c>
      <c r="U46" s="2" t="inlineStr">
        <is>
          <t>Kortskaftad ärgspik
Ullticka</t>
        </is>
      </c>
      <c r="V46">
        <f>HYPERLINK("https://klasma.github.io/Logging_2031/artfynd/A 22019-2026 artfynd.xlsx", "A 22019-2026")</f>
        <v/>
      </c>
      <c r="W46">
        <f>HYPERLINK("https://klasma.github.io/Logging_2031/kartor/A 22019-2026 karta.png", "A 22019-2026")</f>
        <v/>
      </c>
      <c r="Y46">
        <f>HYPERLINK("https://klasma.github.io/Logging_2031/klagomål/A 22019-2026 FSC-klagomål.docx", "A 22019-2026")</f>
        <v/>
      </c>
      <c r="Z46">
        <f>HYPERLINK("https://klasma.github.io/Logging_2031/klagomålsmail/A 22019-2026 FSC-klagomål mail.docx", "A 22019-2026")</f>
        <v/>
      </c>
      <c r="AA46">
        <f>HYPERLINK("https://klasma.github.io/Logging_2031/tillsyn/A 22019-2026 tillsynsbegäran.docx", "A 22019-2026")</f>
        <v/>
      </c>
      <c r="AB46">
        <f>HYPERLINK("https://klasma.github.io/Logging_2031/tillsynsmail/A 22019-2026 tillsynsbegäran mail.docx", "A 22019-2026")</f>
        <v/>
      </c>
    </row>
    <row r="47" ht="15" customHeight="1">
      <c r="A47" t="inlineStr">
        <is>
          <t>S 1025-2023</t>
        </is>
      </c>
      <c r="B47" t="inlineStr">
        <is>
          <t>samrådsanmälan</t>
        </is>
      </c>
      <c r="C47" t="inlineStr">
        <is>
          <t>Skogsgödsling</t>
        </is>
      </c>
      <c r="D47" s="1" t="n">
        <v>45008</v>
      </c>
      <c r="E47" s="1" t="n">
        <v>46218</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s="2" t="inlineStr">
        <is>
          <t>Älg
Tjäder</t>
        </is>
      </c>
      <c r="V47">
        <f>HYPERLINK("https://klasma.github.io/Logging_2031/artfynd/S 1025-2023 artfynd.xlsx", "S 1025-2023")</f>
        <v/>
      </c>
      <c r="W47">
        <f>HYPERLINK("https://klasma.github.io/Logging_2031/kartor/S 1025-2023 karta.png", "S 1025-2023")</f>
        <v/>
      </c>
      <c r="Y47">
        <f>HYPERLINK("https://klasma.github.io/Logging_2031/klagomål/S 1025-2023 FSC-klagomål.docx", "S 1025-2023")</f>
        <v/>
      </c>
      <c r="Z47">
        <f>HYPERLINK("https://klasma.github.io/Logging_2031/klagomålsmail/S 1025-2023 FSC-klagomål mail.docx", "S 1025-2023")</f>
        <v/>
      </c>
      <c r="AA47">
        <f>HYPERLINK("https://klasma.github.io/Logging_2031/tillsyn/S 1025-2023 tillsynsbegäran.docx", "S 1025-2023")</f>
        <v/>
      </c>
      <c r="AB47">
        <f>HYPERLINK("https://klasma.github.io/Logging_2031/tillsynsmail/S 1025-2023 tillsynsbegäran mail.docx", "S 1025-2023")</f>
        <v/>
      </c>
      <c r="AC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46218</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s="2" t="inlineStr">
        <is>
          <t>Klofibbla
Kolflarnlav</t>
        </is>
      </c>
      <c r="V48">
        <f>HYPERLINK("https://klasma.github.io/Logging_2031/artfynd/S 389-2022 artfynd.xlsx", "S 389-2022")</f>
        <v/>
      </c>
      <c r="W48">
        <f>HYPERLINK("https://klasma.github.io/Logging_2031/kartor/S 389-2022 karta.png", "S 389-2022")</f>
        <v/>
      </c>
      <c r="Y48">
        <f>HYPERLINK("https://klasma.github.io/Logging_2031/klagomål/S 389-2022 FSC-klagomål.docx", "S 389-2022")</f>
        <v/>
      </c>
      <c r="Z48">
        <f>HYPERLINK("https://klasma.github.io/Logging_2031/klagomålsmail/S 389-2022 FSC-klagomål mail.docx", "S 389-2022")</f>
        <v/>
      </c>
      <c r="AA48">
        <f>HYPERLINK("https://klasma.github.io/Logging_2031/tillsyn/S 389-2022 tillsynsbegäran.docx", "S 389-2022")</f>
        <v/>
      </c>
      <c r="AB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46218</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46218</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46218</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46218</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46218</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46218</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46218</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46218</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46218</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5690-2025</t>
        </is>
      </c>
      <c r="B58" t="inlineStr">
        <is>
          <t>avverkningsanmälan</t>
        </is>
      </c>
      <c r="C58" t="inlineStr">
        <is>
          <t>Avverkning för annat ändamål</t>
        </is>
      </c>
      <c r="D58" s="1" t="n">
        <v>45694</v>
      </c>
      <c r="E58" s="1" t="n">
        <v>46218</v>
      </c>
      <c r="F58" t="inlineStr">
        <is>
          <t>DALARNAS LÄN</t>
        </is>
      </c>
      <c r="G58" t="inlineStr">
        <is>
          <t>RÄTTVIK</t>
        </is>
      </c>
      <c r="H58" t="inlineStr">
        <is>
          <t>Bergvik skog väst AB</t>
        </is>
      </c>
      <c r="I58" t="n">
        <v>1.7</v>
      </c>
      <c r="J58" t="n">
        <v>1</v>
      </c>
      <c r="K58" t="n">
        <v>0</v>
      </c>
      <c r="L58" t="n">
        <v>0</v>
      </c>
      <c r="M58" t="n">
        <v>0</v>
      </c>
      <c r="N58" t="n">
        <v>0</v>
      </c>
      <c r="O58" t="n">
        <v>0</v>
      </c>
      <c r="P58" t="n">
        <v>0</v>
      </c>
      <c r="Q58" t="n">
        <v>0</v>
      </c>
      <c r="R58" t="n">
        <v>0</v>
      </c>
      <c r="S58" t="n">
        <v>1</v>
      </c>
      <c r="T58" t="n">
        <v>1</v>
      </c>
      <c r="U58" s="2" t="inlineStr">
        <is>
          <t>Tjäder</t>
        </is>
      </c>
      <c r="V58">
        <f>HYPERLINK("https://klasma.github.io/Logging_2031/artfynd/A 5690-2025 artfynd.xlsx", "A 5690-2025")</f>
        <v/>
      </c>
      <c r="W58">
        <f>HYPERLINK("https://klasma.github.io/Logging_2031/kartor/A 5690-2025 karta.png", "A 5690-2025")</f>
        <v/>
      </c>
      <c r="Y58">
        <f>HYPERLINK("https://klasma.github.io/Logging_2031/klagomål/A 5690-2025 FSC-klagomål.docx", "A 5690-2025")</f>
        <v/>
      </c>
      <c r="Z58">
        <f>HYPERLINK("https://klasma.github.io/Logging_2031/klagomålsmail/A 5690-2025 FSC-klagomål mail.docx", "A 5690-2025")</f>
        <v/>
      </c>
      <c r="AA58">
        <f>HYPERLINK("https://klasma.github.io/Logging_2031/tillsyn/A 5690-2025 tillsynsbegäran.docx", "A 5690-2025")</f>
        <v/>
      </c>
      <c r="AB58">
        <f>HYPERLINK("https://klasma.github.io/Logging_2031/tillsynsmail/A 5690-2025 tillsynsbegäran mail.docx", "A 5690-2025")</f>
        <v/>
      </c>
      <c r="AC58">
        <f>HYPERLINK("https://klasma.github.io/Logging_2031/fåglar/A 5690-2025 prioriterade fågelarter.docx", "A 5690-2025")</f>
        <v/>
      </c>
    </row>
    <row r="59" ht="15" customHeight="1">
      <c r="A59" t="inlineStr">
        <is>
          <t>A 40405-2025</t>
        </is>
      </c>
      <c r="B59" t="inlineStr">
        <is>
          <t>avverkningsanmälan</t>
        </is>
      </c>
      <c r="C59" t="inlineStr">
        <is>
          <t>Föryngringsavverkning</t>
        </is>
      </c>
      <c r="D59" s="1" t="n">
        <v>45895</v>
      </c>
      <c r="E59" s="1" t="n">
        <v>46218</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s="2" t="inlineStr">
        <is>
          <t>Garnlav</t>
        </is>
      </c>
      <c r="V59">
        <f>HYPERLINK("https://klasma.github.io/Logging_2031/artfynd/A 40405-2025 artfynd.xlsx", "A 40405-2025")</f>
        <v/>
      </c>
      <c r="W59">
        <f>HYPERLINK("https://klasma.github.io/Logging_2031/kartor/A 40405-2025 karta.png", "A 40405-2025")</f>
        <v/>
      </c>
      <c r="Y59">
        <f>HYPERLINK("https://klasma.github.io/Logging_2031/klagomål/A 40405-2025 FSC-klagomål.docx", "A 40405-2025")</f>
        <v/>
      </c>
      <c r="Z59">
        <f>HYPERLINK("https://klasma.github.io/Logging_2031/klagomålsmail/A 40405-2025 FSC-klagomål mail.docx", "A 40405-2025")</f>
        <v/>
      </c>
      <c r="AA59">
        <f>HYPERLINK("https://klasma.github.io/Logging_2031/tillsyn/A 40405-2025 tillsynsbegäran.docx", "A 40405-2025")</f>
        <v/>
      </c>
      <c r="AB59">
        <f>HYPERLINK("https://klasma.github.io/Logging_2031/tillsynsmail/A 40405-2025 tillsynsbegäran mail.docx", "A 40405-2025")</f>
        <v/>
      </c>
    </row>
    <row r="60" ht="15" customHeight="1">
      <c r="A60" t="inlineStr">
        <is>
          <t>A 40212-2025</t>
        </is>
      </c>
      <c r="B60" t="inlineStr">
        <is>
          <t>avverkningsanmälan</t>
        </is>
      </c>
      <c r="C60" t="inlineStr">
        <is>
          <t>Föryngringsavverkning</t>
        </is>
      </c>
      <c r="D60" s="1" t="n">
        <v>45894</v>
      </c>
      <c r="E60" s="1" t="n">
        <v>46218</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s="2" t="inlineStr">
        <is>
          <t>Utter</t>
        </is>
      </c>
      <c r="V60">
        <f>HYPERLINK("https://klasma.github.io/Logging_2031/artfynd/A 40212-2025 artfynd.xlsx", "A 40212-2025")</f>
        <v/>
      </c>
      <c r="W60">
        <f>HYPERLINK("https://klasma.github.io/Logging_2031/kartor/A 40212-2025 karta.png", "A 40212-2025")</f>
        <v/>
      </c>
      <c r="Y60">
        <f>HYPERLINK("https://klasma.github.io/Logging_2031/klagomål/A 40212-2025 FSC-klagomål.docx", "A 40212-2025")</f>
        <v/>
      </c>
      <c r="Z60">
        <f>HYPERLINK("https://klasma.github.io/Logging_2031/klagomålsmail/A 40212-2025 FSC-klagomål mail.docx", "A 40212-2025")</f>
        <v/>
      </c>
      <c r="AA60">
        <f>HYPERLINK("https://klasma.github.io/Logging_2031/tillsyn/A 40212-2025 tillsynsbegäran.docx", "A 40212-2025")</f>
        <v/>
      </c>
      <c r="AB60">
        <f>HYPERLINK("https://klasma.github.io/Logging_2031/tillsynsmail/A 40212-2025 tillsynsbegäran mail.docx", "A 40212-2025")</f>
        <v/>
      </c>
    </row>
    <row r="61" ht="15" customHeight="1">
      <c r="A61" t="inlineStr">
        <is>
          <t>A 43450-2025</t>
        </is>
      </c>
      <c r="B61" t="inlineStr">
        <is>
          <t>avverkningsanmälan</t>
        </is>
      </c>
      <c r="C61" t="inlineStr">
        <is>
          <t>Föryngringsavverkning</t>
        </is>
      </c>
      <c r="D61" s="1" t="n">
        <v>45911</v>
      </c>
      <c r="E61" s="1" t="n">
        <v>46218</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s="2" t="inlineStr">
        <is>
          <t>Garnlav</t>
        </is>
      </c>
      <c r="V61">
        <f>HYPERLINK("https://klasma.github.io/Logging_2031/artfynd/A 43450-2025 artfynd.xlsx", "A 43450-2025")</f>
        <v/>
      </c>
      <c r="W61">
        <f>HYPERLINK("https://klasma.github.io/Logging_2031/kartor/A 43450-2025 karta.png", "A 43450-2025")</f>
        <v/>
      </c>
      <c r="Y61">
        <f>HYPERLINK("https://klasma.github.io/Logging_2031/klagomål/A 43450-2025 FSC-klagomål.docx", "A 43450-2025")</f>
        <v/>
      </c>
      <c r="Z61">
        <f>HYPERLINK("https://klasma.github.io/Logging_2031/klagomålsmail/A 43450-2025 FSC-klagomål mail.docx", "A 43450-2025")</f>
        <v/>
      </c>
      <c r="AA61">
        <f>HYPERLINK("https://klasma.github.io/Logging_2031/tillsyn/A 43450-2025 tillsynsbegäran.docx", "A 43450-2025")</f>
        <v/>
      </c>
      <c r="AB61">
        <f>HYPERLINK("https://klasma.github.io/Logging_2031/tillsynsmail/A 43450-2025 tillsynsbegäran mail.docx", "A 43450-2025")</f>
        <v/>
      </c>
    </row>
    <row r="62" ht="15" customHeight="1">
      <c r="A62" t="inlineStr">
        <is>
          <t>A 55268-2023</t>
        </is>
      </c>
      <c r="B62" t="inlineStr">
        <is>
          <t>avverkningsanmälan</t>
        </is>
      </c>
      <c r="C62" t="inlineStr">
        <is>
          <t>Föryngringsavverkning</t>
        </is>
      </c>
      <c r="D62" s="1" t="n">
        <v>45231</v>
      </c>
      <c r="E62" s="1" t="n">
        <v>46218</v>
      </c>
      <c r="F62" t="inlineStr">
        <is>
          <t>DALARNAS LÄN</t>
        </is>
      </c>
      <c r="G62" t="inlineStr">
        <is>
          <t>RÄTTVIK</t>
        </is>
      </c>
      <c r="I62" t="n">
        <v>1.4</v>
      </c>
      <c r="J62" t="n">
        <v>1</v>
      </c>
      <c r="K62" t="n">
        <v>0</v>
      </c>
      <c r="L62" t="n">
        <v>0</v>
      </c>
      <c r="M62" t="n">
        <v>0</v>
      </c>
      <c r="N62" t="n">
        <v>0</v>
      </c>
      <c r="O62" t="n">
        <v>0</v>
      </c>
      <c r="P62" t="n">
        <v>0</v>
      </c>
      <c r="Q62" t="n">
        <v>0</v>
      </c>
      <c r="R62" t="n">
        <v>0</v>
      </c>
      <c r="S62" t="n">
        <v>1</v>
      </c>
      <c r="T62" t="n">
        <v>1</v>
      </c>
      <c r="U62" s="2" t="inlineStr">
        <is>
          <t>Utter</t>
        </is>
      </c>
      <c r="V62">
        <f>HYPERLINK("https://klasma.github.io/Logging_2031/artfynd/A 55268-2023 artfynd.xlsx", "A 55268-2023")</f>
        <v/>
      </c>
      <c r="W62">
        <f>HYPERLINK("https://klasma.github.io/Logging_2031/kartor/A 55268-2023 karta.png", "A 55268-2023")</f>
        <v/>
      </c>
      <c r="Y62">
        <f>HYPERLINK("https://klasma.github.io/Logging_2031/klagomål/A 55268-2023 FSC-klagomål.docx", "A 55268-2023")</f>
        <v/>
      </c>
      <c r="Z62">
        <f>HYPERLINK("https://klasma.github.io/Logging_2031/klagomålsmail/A 55268-2023 FSC-klagomål mail.docx", "A 55268-2023")</f>
        <v/>
      </c>
      <c r="AA62">
        <f>HYPERLINK("https://klasma.github.io/Logging_2031/tillsyn/A 55268-2023 tillsynsbegäran.docx", "A 55268-2023")</f>
        <v/>
      </c>
      <c r="AB62">
        <f>HYPERLINK("https://klasma.github.io/Logging_2031/tillsynsmail/A 55268-2023 tillsynsbegäran mail.docx", "A 55268-2023")</f>
        <v/>
      </c>
    </row>
    <row r="63" ht="15" customHeight="1">
      <c r="A63" t="inlineStr">
        <is>
          <t>A 3651-2024</t>
        </is>
      </c>
      <c r="B63" t="inlineStr">
        <is>
          <t>avverkningsanmälan</t>
        </is>
      </c>
      <c r="C63" t="inlineStr">
        <is>
          <t>Föryngringsavverkning</t>
        </is>
      </c>
      <c r="D63" s="1" t="n">
        <v>45321</v>
      </c>
      <c r="E63" s="1" t="n">
        <v>46218</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s="2" t="inlineStr">
        <is>
          <t>Tvåblad</t>
        </is>
      </c>
      <c r="V63">
        <f>HYPERLINK("https://klasma.github.io/Logging_2031/artfynd/A 3651-2024 artfynd.xlsx", "A 3651-2024")</f>
        <v/>
      </c>
      <c r="W63">
        <f>HYPERLINK("https://klasma.github.io/Logging_2031/kartor/A 3651-2024 karta.png", "A 3651-2024")</f>
        <v/>
      </c>
      <c r="Y63">
        <f>HYPERLINK("https://klasma.github.io/Logging_2031/klagomål/A 3651-2024 FSC-klagomål.docx", "A 3651-2024")</f>
        <v/>
      </c>
      <c r="Z63">
        <f>HYPERLINK("https://klasma.github.io/Logging_2031/klagomålsmail/A 3651-2024 FSC-klagomål mail.docx", "A 3651-2024")</f>
        <v/>
      </c>
      <c r="AA63">
        <f>HYPERLINK("https://klasma.github.io/Logging_2031/tillsyn/A 3651-2024 tillsynsbegäran.docx", "A 3651-2024")</f>
        <v/>
      </c>
      <c r="AB63">
        <f>HYPERLINK("https://klasma.github.io/Logging_2031/tillsynsmail/A 3651-2024 tillsynsbegäran mail.docx", "A 3651-2024")</f>
        <v/>
      </c>
    </row>
    <row r="64" ht="15" customHeight="1">
      <c r="A64" t="inlineStr">
        <is>
          <t>A 46646-2025</t>
        </is>
      </c>
      <c r="B64" t="inlineStr">
        <is>
          <t>avverkningsanmälan</t>
        </is>
      </c>
      <c r="C64" t="inlineStr">
        <is>
          <t>Föryngringsavverkning</t>
        </is>
      </c>
      <c r="D64" s="1" t="n">
        <v>45926</v>
      </c>
      <c r="E64" s="1" t="n">
        <v>46218</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s="2" t="inlineStr">
        <is>
          <t>Garnlav</t>
        </is>
      </c>
      <c r="V64">
        <f>HYPERLINK("https://klasma.github.io/Logging_2031/artfynd/A 46646-2025 artfynd.xlsx", "A 46646-2025")</f>
        <v/>
      </c>
      <c r="W64">
        <f>HYPERLINK("https://klasma.github.io/Logging_2031/kartor/A 46646-2025 karta.png", "A 46646-2025")</f>
        <v/>
      </c>
      <c r="Y64">
        <f>HYPERLINK("https://klasma.github.io/Logging_2031/klagomål/A 46646-2025 FSC-klagomål.docx", "A 46646-2025")</f>
        <v/>
      </c>
      <c r="Z64">
        <f>HYPERLINK("https://klasma.github.io/Logging_2031/klagomålsmail/A 46646-2025 FSC-klagomål mail.docx", "A 46646-2025")</f>
        <v/>
      </c>
      <c r="AA64">
        <f>HYPERLINK("https://klasma.github.io/Logging_2031/tillsyn/A 46646-2025 tillsynsbegäran.docx", "A 46646-2025")</f>
        <v/>
      </c>
      <c r="AB64">
        <f>HYPERLINK("https://klasma.github.io/Logging_2031/tillsynsmail/A 46646-2025 tillsynsbegäran mail.docx", "A 46646-2025")</f>
        <v/>
      </c>
    </row>
    <row r="65" ht="15" customHeight="1">
      <c r="A65" t="inlineStr">
        <is>
          <t>A 34368-2024</t>
        </is>
      </c>
      <c r="B65" t="inlineStr">
        <is>
          <t>avverkningsanmälan</t>
        </is>
      </c>
      <c r="C65" t="inlineStr">
        <is>
          <t>Föryngringsavverkning</t>
        </is>
      </c>
      <c r="D65" s="1" t="n">
        <v>45525</v>
      </c>
      <c r="E65" s="1" t="n">
        <v>46218</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s="2" t="inlineStr">
        <is>
          <t>Väddnätfjäril</t>
        </is>
      </c>
      <c r="V65">
        <f>HYPERLINK("https://klasma.github.io/Logging_2031/artfynd/A 34368-2024 artfynd.xlsx", "A 34368-2024")</f>
        <v/>
      </c>
      <c r="W65">
        <f>HYPERLINK("https://klasma.github.io/Logging_2031/kartor/A 34368-2024 karta.png", "A 34368-2024")</f>
        <v/>
      </c>
      <c r="Y65">
        <f>HYPERLINK("https://klasma.github.io/Logging_2031/klagomål/A 34368-2024 FSC-klagomål.docx", "A 34368-2024")</f>
        <v/>
      </c>
      <c r="Z65">
        <f>HYPERLINK("https://klasma.github.io/Logging_2031/klagomålsmail/A 34368-2024 FSC-klagomål mail.docx", "A 34368-2024")</f>
        <v/>
      </c>
      <c r="AA65">
        <f>HYPERLINK("https://klasma.github.io/Logging_2031/tillsyn/A 34368-2024 tillsynsbegäran.docx", "A 34368-2024")</f>
        <v/>
      </c>
      <c r="AB65">
        <f>HYPERLINK("https://klasma.github.io/Logging_2031/tillsynsmail/A 34368-2024 tillsynsbegäran mail.docx", "A 34368-2024")</f>
        <v/>
      </c>
    </row>
    <row r="66" ht="15" customHeight="1">
      <c r="A66" t="inlineStr">
        <is>
          <t>A 16818-2024</t>
        </is>
      </c>
      <c r="B66" t="inlineStr">
        <is>
          <t>avverkningsanmälan</t>
        </is>
      </c>
      <c r="C66" t="inlineStr">
        <is>
          <t>Föryngringsavverkning</t>
        </is>
      </c>
      <c r="D66" s="1" t="n">
        <v>45411</v>
      </c>
      <c r="E66" s="1" t="n">
        <v>46218</v>
      </c>
      <c r="F66" t="inlineStr">
        <is>
          <t>DALARNAS LÄN</t>
        </is>
      </c>
      <c r="G66" t="inlineStr">
        <is>
          <t>RÄTTVIK</t>
        </is>
      </c>
      <c r="H66" t="inlineStr">
        <is>
          <t>Sveaskog</t>
        </is>
      </c>
      <c r="I66" t="n">
        <v>2.5</v>
      </c>
      <c r="J66" t="n">
        <v>1</v>
      </c>
      <c r="K66" t="n">
        <v>1</v>
      </c>
      <c r="L66" t="n">
        <v>0</v>
      </c>
      <c r="M66" t="n">
        <v>0</v>
      </c>
      <c r="N66" t="n">
        <v>0</v>
      </c>
      <c r="O66" t="n">
        <v>0</v>
      </c>
      <c r="P66" t="n">
        <v>0</v>
      </c>
      <c r="Q66" t="n">
        <v>0</v>
      </c>
      <c r="R66" t="n">
        <v>0</v>
      </c>
      <c r="S66" t="n">
        <v>1</v>
      </c>
      <c r="T66" t="n">
        <v>1</v>
      </c>
      <c r="U66" s="2" t="inlineStr">
        <is>
          <t>Plattlummer</t>
        </is>
      </c>
      <c r="V66">
        <f>HYPERLINK("https://klasma.github.io/Logging_2031/artfynd/A 16818-2024 artfynd.xlsx", "A 16818-2024")</f>
        <v/>
      </c>
      <c r="W66">
        <f>HYPERLINK("https://klasma.github.io/Logging_2031/kartor/A 16818-2024 karta.png", "A 16818-2024")</f>
        <v/>
      </c>
      <c r="Y66">
        <f>HYPERLINK("https://klasma.github.io/Logging_2031/klagomål/A 16818-2024 FSC-klagomål.docx", "A 16818-2024")</f>
        <v/>
      </c>
      <c r="Z66">
        <f>HYPERLINK("https://klasma.github.io/Logging_2031/klagomålsmail/A 16818-2024 FSC-klagomål mail.docx", "A 16818-2024")</f>
        <v/>
      </c>
      <c r="AA66">
        <f>HYPERLINK("https://klasma.github.io/Logging_2031/tillsyn/A 16818-2024 tillsynsbegäran.docx", "A 16818-2024")</f>
        <v/>
      </c>
      <c r="AB66">
        <f>HYPERLINK("https://klasma.github.io/Logging_2031/tillsynsmail/A 16818-2024 tillsynsbegäran mail.docx", "A 16818-2024")</f>
        <v/>
      </c>
    </row>
    <row r="67" ht="15" customHeight="1">
      <c r="A67" t="inlineStr">
        <is>
          <t>A 64299-2023</t>
        </is>
      </c>
      <c r="B67" t="inlineStr">
        <is>
          <t>avverkningsanmälan</t>
        </is>
      </c>
      <c r="C67" t="inlineStr">
        <is>
          <t>Föryngringsavverkning</t>
        </is>
      </c>
      <c r="D67" s="1" t="n">
        <v>45279</v>
      </c>
      <c r="E67" s="1" t="n">
        <v>46218</v>
      </c>
      <c r="F67" t="inlineStr">
        <is>
          <t>DALARNAS LÄN</t>
        </is>
      </c>
      <c r="G67" t="inlineStr">
        <is>
          <t>RÄTTVIK</t>
        </is>
      </c>
      <c r="I67" t="n">
        <v>4.7</v>
      </c>
      <c r="J67" t="n">
        <v>1</v>
      </c>
      <c r="K67" t="n">
        <v>0</v>
      </c>
      <c r="L67" t="n">
        <v>0</v>
      </c>
      <c r="M67" t="n">
        <v>0</v>
      </c>
      <c r="N67" t="n">
        <v>0</v>
      </c>
      <c r="O67" t="n">
        <v>0</v>
      </c>
      <c r="P67" t="n">
        <v>0</v>
      </c>
      <c r="Q67" t="n">
        <v>0</v>
      </c>
      <c r="R67" t="n">
        <v>0</v>
      </c>
      <c r="S67" t="n">
        <v>1</v>
      </c>
      <c r="T67" t="n">
        <v>1</v>
      </c>
      <c r="U67" s="2" t="inlineStr">
        <is>
          <t>Grönsiska</t>
        </is>
      </c>
      <c r="V67">
        <f>HYPERLINK("https://klasma.github.io/Logging_2031/artfynd/A 64299-2023 artfynd.xlsx", "A 64299-2023")</f>
        <v/>
      </c>
      <c r="W67">
        <f>HYPERLINK("https://klasma.github.io/Logging_2031/kartor/A 64299-2023 karta.png", "A 64299-2023")</f>
        <v/>
      </c>
      <c r="Y67">
        <f>HYPERLINK("https://klasma.github.io/Logging_2031/klagomål/A 64299-2023 FSC-klagomål.docx", "A 64299-2023")</f>
        <v/>
      </c>
      <c r="Z67">
        <f>HYPERLINK("https://klasma.github.io/Logging_2031/klagomålsmail/A 64299-2023 FSC-klagomål mail.docx", "A 64299-2023")</f>
        <v/>
      </c>
      <c r="AA67">
        <f>HYPERLINK("https://klasma.github.io/Logging_2031/tillsyn/A 64299-2023 tillsynsbegäran.docx", "A 64299-2023")</f>
        <v/>
      </c>
      <c r="AB67">
        <f>HYPERLINK("https://klasma.github.io/Logging_2031/tillsynsmail/A 64299-2023 tillsynsbegäran mail.docx", "A 64299-2023")</f>
        <v/>
      </c>
    </row>
    <row r="68" ht="15" customHeight="1">
      <c r="A68" t="inlineStr">
        <is>
          <t>A 10317-2024</t>
        </is>
      </c>
      <c r="B68" t="inlineStr">
        <is>
          <t>avverkningsanmälan</t>
        </is>
      </c>
      <c r="C68" t="inlineStr">
        <is>
          <t>Föryngringsavverkning</t>
        </is>
      </c>
      <c r="D68" s="1" t="n">
        <v>45365</v>
      </c>
      <c r="E68" s="1" t="n">
        <v>46218</v>
      </c>
      <c r="F68" t="inlineStr">
        <is>
          <t>DALARNAS LÄN</t>
        </is>
      </c>
      <c r="G68" t="inlineStr">
        <is>
          <t>RÄTTVIK</t>
        </is>
      </c>
      <c r="I68" t="n">
        <v>4.2</v>
      </c>
      <c r="J68" t="n">
        <v>0</v>
      </c>
      <c r="K68" t="n">
        <v>1</v>
      </c>
      <c r="L68" t="n">
        <v>0</v>
      </c>
      <c r="M68" t="n">
        <v>0</v>
      </c>
      <c r="N68" t="n">
        <v>0</v>
      </c>
      <c r="O68" t="n">
        <v>0</v>
      </c>
      <c r="P68" t="n">
        <v>0</v>
      </c>
      <c r="Q68" t="n">
        <v>0</v>
      </c>
      <c r="R68" t="n">
        <v>0</v>
      </c>
      <c r="S68" t="n">
        <v>1</v>
      </c>
      <c r="T68" t="n">
        <v>1</v>
      </c>
      <c r="U68" s="2" t="inlineStr">
        <is>
          <t>Grönpyrola</t>
        </is>
      </c>
      <c r="V68">
        <f>HYPERLINK("https://klasma.github.io/Logging_2031/artfynd/A 10317-2024 artfynd.xlsx", "A 10317-2024")</f>
        <v/>
      </c>
      <c r="W68">
        <f>HYPERLINK("https://klasma.github.io/Logging_2031/kartor/A 10317-2024 karta.png", "A 10317-2024")</f>
        <v/>
      </c>
      <c r="Y68">
        <f>HYPERLINK("https://klasma.github.io/Logging_2031/klagomål/A 10317-2024 FSC-klagomål.docx", "A 10317-2024")</f>
        <v/>
      </c>
      <c r="Z68">
        <f>HYPERLINK("https://klasma.github.io/Logging_2031/klagomålsmail/A 10317-2024 FSC-klagomål mail.docx", "A 10317-2024")</f>
        <v/>
      </c>
      <c r="AA68">
        <f>HYPERLINK("https://klasma.github.io/Logging_2031/tillsyn/A 10317-2024 tillsynsbegäran.docx", "A 10317-2024")</f>
        <v/>
      </c>
      <c r="AB68">
        <f>HYPERLINK("https://klasma.github.io/Logging_2031/tillsynsmail/A 10317-2024 tillsynsbegäran mail.docx", "A 10317-2024")</f>
        <v/>
      </c>
    </row>
    <row r="69" ht="15" customHeight="1">
      <c r="A69" t="inlineStr">
        <is>
          <t>A 45516-2023</t>
        </is>
      </c>
      <c r="B69" t="inlineStr">
        <is>
          <t>avverkningsanmälan</t>
        </is>
      </c>
      <c r="C69" t="inlineStr">
        <is>
          <t>Föryngringsavverkning</t>
        </is>
      </c>
      <c r="D69" s="1" t="n">
        <v>45194</v>
      </c>
      <c r="E69" s="1" t="n">
        <v>46218</v>
      </c>
      <c r="F69" t="inlineStr">
        <is>
          <t>DALARNAS LÄN</t>
        </is>
      </c>
      <c r="G69" t="inlineStr">
        <is>
          <t>RÄTTVIK</t>
        </is>
      </c>
      <c r="I69" t="n">
        <v>20.3</v>
      </c>
      <c r="J69" t="n">
        <v>0</v>
      </c>
      <c r="K69" t="n">
        <v>0</v>
      </c>
      <c r="L69" t="n">
        <v>1</v>
      </c>
      <c r="M69" t="n">
        <v>0</v>
      </c>
      <c r="N69" t="n">
        <v>0</v>
      </c>
      <c r="O69" t="n">
        <v>0</v>
      </c>
      <c r="P69" t="n">
        <v>0</v>
      </c>
      <c r="Q69" t="n">
        <v>1</v>
      </c>
      <c r="R69" t="n">
        <v>0</v>
      </c>
      <c r="S69" t="n">
        <v>1</v>
      </c>
      <c r="T69" t="n">
        <v>3</v>
      </c>
      <c r="U69" s="2" t="inlineStr">
        <is>
          <t>Mörk kolflarnlav</t>
        </is>
      </c>
      <c r="V69">
        <f>HYPERLINK("https://klasma.github.io/Logging_2031/artfynd/A 45516-2023 artfynd.xlsx", "A 45516-2023")</f>
        <v/>
      </c>
      <c r="W69">
        <f>HYPERLINK("https://klasma.github.io/Logging_2031/kartor/A 45516-2023 karta.png", "A 45516-2023")</f>
        <v/>
      </c>
      <c r="Y69">
        <f>HYPERLINK("https://klasma.github.io/Logging_2031/klagomål/A 45516-2023 FSC-klagomål.docx", "A 45516-2023")</f>
        <v/>
      </c>
      <c r="Z69">
        <f>HYPERLINK("https://klasma.github.io/Logging_2031/klagomålsmail/A 45516-2023 FSC-klagomål mail.docx", "A 45516-2023")</f>
        <v/>
      </c>
      <c r="AA69">
        <f>HYPERLINK("https://klasma.github.io/Logging_2031/tillsyn/A 45516-2023 tillsynsbegäran.docx", "A 45516-2023")</f>
        <v/>
      </c>
      <c r="AB69">
        <f>HYPERLINK("https://klasma.github.io/Logging_2031/tillsynsmail/A 45516-2023 tillsynsbegäran mail.docx", "A 45516-2023")</f>
        <v/>
      </c>
    </row>
    <row r="70" ht="15" customHeight="1">
      <c r="A70" t="inlineStr">
        <is>
          <t>A 64451-2021</t>
        </is>
      </c>
      <c r="B70" t="inlineStr">
        <is>
          <t>avverkningsanmälan</t>
        </is>
      </c>
      <c r="C70" t="inlineStr">
        <is>
          <t>Föryngringsavverkning</t>
        </is>
      </c>
      <c r="D70" s="1" t="n">
        <v>44511</v>
      </c>
      <c r="E70" s="1" t="n">
        <v>46218</v>
      </c>
      <c r="F70" t="inlineStr">
        <is>
          <t>DALARNAS LÄN</t>
        </is>
      </c>
      <c r="G70" t="inlineStr">
        <is>
          <t>RÄTTVIK</t>
        </is>
      </c>
      <c r="I70" t="n">
        <v>1.3</v>
      </c>
      <c r="J70" t="n">
        <v>0</v>
      </c>
      <c r="K70" t="n">
        <v>0</v>
      </c>
      <c r="L70" t="n">
        <v>1</v>
      </c>
      <c r="M70" t="n">
        <v>0</v>
      </c>
      <c r="N70" t="n">
        <v>0</v>
      </c>
      <c r="O70" t="n">
        <v>0</v>
      </c>
      <c r="P70" t="n">
        <v>0</v>
      </c>
      <c r="Q70" t="n">
        <v>1</v>
      </c>
      <c r="R70" t="n">
        <v>0</v>
      </c>
      <c r="S70" t="n">
        <v>1</v>
      </c>
      <c r="T70" t="n">
        <v>1</v>
      </c>
      <c r="U70" s="2" t="inlineStr">
        <is>
          <t>Kandelabersvamp</t>
        </is>
      </c>
      <c r="V70">
        <f>HYPERLINK("https://klasma.github.io/Logging_2031/artfynd/A 64451-2021 artfynd.xlsx", "A 64451-2021")</f>
        <v/>
      </c>
      <c r="W70">
        <f>HYPERLINK("https://klasma.github.io/Logging_2031/kartor/A 64451-2021 karta.png", "A 64451-2021")</f>
        <v/>
      </c>
      <c r="Y70">
        <f>HYPERLINK("https://klasma.github.io/Logging_2031/klagomål/A 64451-2021 FSC-klagomål.docx", "A 64451-2021")</f>
        <v/>
      </c>
      <c r="Z70">
        <f>HYPERLINK("https://klasma.github.io/Logging_2031/klagomålsmail/A 64451-2021 FSC-klagomål mail.docx", "A 64451-2021")</f>
        <v/>
      </c>
      <c r="AA70">
        <f>HYPERLINK("https://klasma.github.io/Logging_2031/tillsyn/A 64451-2021 tillsynsbegäran.docx", "A 64451-2021")</f>
        <v/>
      </c>
      <c r="AB70">
        <f>HYPERLINK("https://klasma.github.io/Logging_2031/tillsynsmail/A 64451-2021 tillsynsbegäran mail.docx", "A 64451-2021")</f>
        <v/>
      </c>
    </row>
    <row r="71" ht="15" customHeight="1">
      <c r="A71" t="inlineStr">
        <is>
          <t>A 22026-2025</t>
        </is>
      </c>
      <c r="B71" t="inlineStr">
        <is>
          <t>avverkningsanmälan</t>
        </is>
      </c>
      <c r="C71" t="inlineStr">
        <is>
          <t>Föryngringsavverkning</t>
        </is>
      </c>
      <c r="D71" s="1" t="n">
        <v>45784</v>
      </c>
      <c r="E71" s="1" t="n">
        <v>46218</v>
      </c>
      <c r="F71" t="inlineStr">
        <is>
          <t>DALARNAS LÄN</t>
        </is>
      </c>
      <c r="G71" t="inlineStr">
        <is>
          <t>RÄTTVIK</t>
        </is>
      </c>
      <c r="I71" t="n">
        <v>6.7</v>
      </c>
      <c r="J71" t="n">
        <v>0</v>
      </c>
      <c r="K71" t="n">
        <v>0</v>
      </c>
      <c r="L71" t="n">
        <v>0</v>
      </c>
      <c r="M71" t="n">
        <v>1</v>
      </c>
      <c r="N71" t="n">
        <v>0</v>
      </c>
      <c r="O71" t="n">
        <v>0</v>
      </c>
      <c r="P71" t="n">
        <v>0</v>
      </c>
      <c r="Q71" t="n">
        <v>1</v>
      </c>
      <c r="R71" t="n">
        <v>1</v>
      </c>
      <c r="S71" t="n">
        <v>1</v>
      </c>
      <c r="T71" t="n">
        <v>1</v>
      </c>
      <c r="U71" s="2" t="inlineStr">
        <is>
          <t>Garnlav</t>
        </is>
      </c>
      <c r="V71">
        <f>HYPERLINK("https://klasma.github.io/Logging_2031/artfynd/A 22026-2025 artfynd.xlsx", "A 22026-2025")</f>
        <v/>
      </c>
      <c r="W71">
        <f>HYPERLINK("https://klasma.github.io/Logging_2031/kartor/A 22026-2025 karta.png", "A 22026-2025")</f>
        <v/>
      </c>
      <c r="Y71">
        <f>HYPERLINK("https://klasma.github.io/Logging_2031/klagomål/A 22026-2025 FSC-klagomål.docx", "A 22026-2025")</f>
        <v/>
      </c>
      <c r="Z71">
        <f>HYPERLINK("https://klasma.github.io/Logging_2031/klagomålsmail/A 22026-2025 FSC-klagomål mail.docx", "A 22026-2025")</f>
        <v/>
      </c>
      <c r="AA71">
        <f>HYPERLINK("https://klasma.github.io/Logging_2031/tillsyn/A 22026-2025 tillsynsbegäran.docx", "A 22026-2025")</f>
        <v/>
      </c>
      <c r="AB71">
        <f>HYPERLINK("https://klasma.github.io/Logging_2031/tillsynsmail/A 22026-2025 tillsynsbegäran mail.docx", "A 22026-2025")</f>
        <v/>
      </c>
    </row>
    <row r="72" ht="15" customHeight="1">
      <c r="A72" t="inlineStr">
        <is>
          <t>A 30368-2024</t>
        </is>
      </c>
      <c r="B72" t="inlineStr">
        <is>
          <t>avverkningsanmälan</t>
        </is>
      </c>
      <c r="C72" t="inlineStr">
        <is>
          <t>Avverkning för annat ändamål</t>
        </is>
      </c>
      <c r="D72" s="1" t="n">
        <v>45490</v>
      </c>
      <c r="E72" s="1" t="n">
        <v>46218</v>
      </c>
      <c r="F72" t="inlineStr">
        <is>
          <t>DALARNAS LÄN</t>
        </is>
      </c>
      <c r="G72" t="inlineStr">
        <is>
          <t>RÄTTVIK</t>
        </is>
      </c>
      <c r="I72" t="n">
        <v>16.5</v>
      </c>
      <c r="J72" t="n">
        <v>0</v>
      </c>
      <c r="K72" t="n">
        <v>1</v>
      </c>
      <c r="L72" t="n">
        <v>0</v>
      </c>
      <c r="M72" t="n">
        <v>0</v>
      </c>
      <c r="N72" t="n">
        <v>0</v>
      </c>
      <c r="O72" t="n">
        <v>0</v>
      </c>
      <c r="P72" t="n">
        <v>0</v>
      </c>
      <c r="Q72" t="n">
        <v>0</v>
      </c>
      <c r="R72" t="n">
        <v>0</v>
      </c>
      <c r="S72" t="n">
        <v>1</v>
      </c>
      <c r="T72" t="n">
        <v>2</v>
      </c>
      <c r="U72" s="2" t="inlineStr">
        <is>
          <t>Svart trolldruva</t>
        </is>
      </c>
      <c r="V72">
        <f>HYPERLINK("https://klasma.github.io/Logging_2031/artfynd/A 30368-2024 artfynd.xlsx", "A 30368-2024")</f>
        <v/>
      </c>
      <c r="W72">
        <f>HYPERLINK("https://klasma.github.io/Logging_2031/kartor/A 30368-2024 karta.png", "A 30368-2024")</f>
        <v/>
      </c>
      <c r="Y72">
        <f>HYPERLINK("https://klasma.github.io/Logging_2031/klagomål/A 30368-2024 FSC-klagomål.docx", "A 30368-2024")</f>
        <v/>
      </c>
      <c r="Z72">
        <f>HYPERLINK("https://klasma.github.io/Logging_2031/klagomålsmail/A 30368-2024 FSC-klagomål mail.docx", "A 30368-2024")</f>
        <v/>
      </c>
      <c r="AA72">
        <f>HYPERLINK("https://klasma.github.io/Logging_2031/tillsyn/A 30368-2024 tillsynsbegäran.docx", "A 30368-2024")</f>
        <v/>
      </c>
      <c r="AB72">
        <f>HYPERLINK("https://klasma.github.io/Logging_2031/tillsynsmail/A 30368-2024 tillsynsbegäran mail.docx", "A 30368-2024")</f>
        <v/>
      </c>
    </row>
    <row r="73" ht="15" customHeight="1">
      <c r="A73" t="inlineStr">
        <is>
          <t>A 34305-2024</t>
        </is>
      </c>
      <c r="B73" t="inlineStr">
        <is>
          <t>avverkningsanmälan</t>
        </is>
      </c>
      <c r="C73" t="inlineStr">
        <is>
          <t>Föryngringsavverkning</t>
        </is>
      </c>
      <c r="D73" s="1" t="n">
        <v>45524</v>
      </c>
      <c r="E73" s="1" t="n">
        <v>46218</v>
      </c>
      <c r="F73" t="inlineStr">
        <is>
          <t>DALARNAS LÄN</t>
        </is>
      </c>
      <c r="G73" t="inlineStr">
        <is>
          <t>RÄTTVIK</t>
        </is>
      </c>
      <c r="I73" t="n">
        <v>18.1</v>
      </c>
      <c r="J73" t="n">
        <v>0</v>
      </c>
      <c r="K73" t="n">
        <v>1</v>
      </c>
      <c r="L73" t="n">
        <v>0</v>
      </c>
      <c r="M73" t="n">
        <v>0</v>
      </c>
      <c r="N73" t="n">
        <v>0</v>
      </c>
      <c r="O73" t="n">
        <v>0</v>
      </c>
      <c r="P73" t="n">
        <v>0</v>
      </c>
      <c r="Q73" t="n">
        <v>0</v>
      </c>
      <c r="R73" t="n">
        <v>0</v>
      </c>
      <c r="S73" t="n">
        <v>1</v>
      </c>
      <c r="T73" t="n">
        <v>2</v>
      </c>
      <c r="U73" s="2" t="inlineStr">
        <is>
          <t>Mindre märgborre</t>
        </is>
      </c>
      <c r="V73">
        <f>HYPERLINK("https://klasma.github.io/Logging_2031/artfynd/A 34305-2024 artfynd.xlsx", "A 34305-2024")</f>
        <v/>
      </c>
      <c r="W73">
        <f>HYPERLINK("https://klasma.github.io/Logging_2031/kartor/A 34305-2024 karta.png", "A 34305-2024")</f>
        <v/>
      </c>
      <c r="Y73">
        <f>HYPERLINK("https://klasma.github.io/Logging_2031/klagomål/A 34305-2024 FSC-klagomål.docx", "A 34305-2024")</f>
        <v/>
      </c>
      <c r="Z73">
        <f>HYPERLINK("https://klasma.github.io/Logging_2031/klagomålsmail/A 34305-2024 FSC-klagomål mail.docx", "A 34305-2024")</f>
        <v/>
      </c>
      <c r="AA73">
        <f>HYPERLINK("https://klasma.github.io/Logging_2031/tillsyn/A 34305-2024 tillsynsbegäran.docx", "A 34305-2024")</f>
        <v/>
      </c>
      <c r="AB73">
        <f>HYPERLINK("https://klasma.github.io/Logging_2031/tillsynsmail/A 34305-2024 tillsynsbegäran mail.docx", "A 34305-2024")</f>
        <v/>
      </c>
    </row>
    <row r="74" ht="15" customHeight="1">
      <c r="A74" t="inlineStr">
        <is>
          <t>A 9477-2024</t>
        </is>
      </c>
      <c r="B74" t="inlineStr">
        <is>
          <t>avverkningsanmälan</t>
        </is>
      </c>
      <c r="C74" t="inlineStr">
        <is>
          <t>Föryngringsavverkning</t>
        </is>
      </c>
      <c r="D74" s="1" t="n">
        <v>45359</v>
      </c>
      <c r="E74" s="1" t="n">
        <v>46218</v>
      </c>
      <c r="F74" t="inlineStr">
        <is>
          <t>DALARNAS LÄN</t>
        </is>
      </c>
      <c r="G74" t="inlineStr">
        <is>
          <t>RÄTTVIK</t>
        </is>
      </c>
      <c r="I74" t="n">
        <v>5.8</v>
      </c>
      <c r="J74" t="n">
        <v>1</v>
      </c>
      <c r="K74" t="n">
        <v>0</v>
      </c>
      <c r="L74" t="n">
        <v>0</v>
      </c>
      <c r="M74" t="n">
        <v>0</v>
      </c>
      <c r="N74" t="n">
        <v>0</v>
      </c>
      <c r="O74" t="n">
        <v>0</v>
      </c>
      <c r="P74" t="n">
        <v>0</v>
      </c>
      <c r="Q74" t="n">
        <v>0</v>
      </c>
      <c r="R74" t="n">
        <v>0</v>
      </c>
      <c r="S74" t="n">
        <v>1</v>
      </c>
      <c r="T74" t="n">
        <v>1</v>
      </c>
      <c r="U74" s="2" t="inlineStr">
        <is>
          <t>Ljungpipare</t>
        </is>
      </c>
      <c r="V74">
        <f>HYPERLINK("https://klasma.github.io/Logging_2031/artfynd/A 9477-2024 artfynd.xlsx", "A 9477-2024")</f>
        <v/>
      </c>
      <c r="W74">
        <f>HYPERLINK("https://klasma.github.io/Logging_2031/kartor/A 9477-2024 karta.png", "A 9477-2024")</f>
        <v/>
      </c>
      <c r="Y74">
        <f>HYPERLINK("https://klasma.github.io/Logging_2031/klagomål/A 9477-2024 FSC-klagomål.docx", "A 9477-2024")</f>
        <v/>
      </c>
      <c r="Z74">
        <f>HYPERLINK("https://klasma.github.io/Logging_2031/klagomålsmail/A 9477-2024 FSC-klagomål mail.docx", "A 9477-2024")</f>
        <v/>
      </c>
      <c r="AA74">
        <f>HYPERLINK("https://klasma.github.io/Logging_2031/tillsyn/A 9477-2024 tillsynsbegäran.docx", "A 9477-2024")</f>
        <v/>
      </c>
      <c r="AB74">
        <f>HYPERLINK("https://klasma.github.io/Logging_2031/tillsynsmail/A 9477-2024 tillsynsbegäran mail.docx", "A 9477-2024")</f>
        <v/>
      </c>
      <c r="AC74">
        <f>HYPERLINK("https://klasma.github.io/Logging_2031/fåglar/A 9477-2024 prioriterade fågelarter.docx", "A 9477-2024")</f>
        <v/>
      </c>
    </row>
    <row r="75" ht="15" customHeight="1">
      <c r="A75" t="inlineStr">
        <is>
          <t>A 38384-2024</t>
        </is>
      </c>
      <c r="B75" t="inlineStr">
        <is>
          <t>avverkningsanmälan</t>
        </is>
      </c>
      <c r="C75" t="inlineStr">
        <is>
          <t>Föryngringsavverkning</t>
        </is>
      </c>
      <c r="D75" s="1" t="n">
        <v>45546</v>
      </c>
      <c r="E75" s="1" t="n">
        <v>46218</v>
      </c>
      <c r="F75" t="inlineStr">
        <is>
          <t>DALARNAS LÄN</t>
        </is>
      </c>
      <c r="G75" t="inlineStr">
        <is>
          <t>RÄTTVIK</t>
        </is>
      </c>
      <c r="I75" t="n">
        <v>2.6</v>
      </c>
      <c r="J75" t="n">
        <v>1</v>
      </c>
      <c r="K75" t="n">
        <v>0</v>
      </c>
      <c r="L75" t="n">
        <v>0</v>
      </c>
      <c r="M75" t="n">
        <v>1</v>
      </c>
      <c r="N75" t="n">
        <v>0</v>
      </c>
      <c r="O75" t="n">
        <v>0</v>
      </c>
      <c r="P75" t="n">
        <v>0</v>
      </c>
      <c r="Q75" t="n">
        <v>1</v>
      </c>
      <c r="R75" t="n">
        <v>1</v>
      </c>
      <c r="S75" t="n">
        <v>1</v>
      </c>
      <c r="T75" t="n">
        <v>1</v>
      </c>
      <c r="U75" s="2" t="inlineStr">
        <is>
          <t>Väddnätfjäril</t>
        </is>
      </c>
      <c r="V75">
        <f>HYPERLINK("https://klasma.github.io/Logging_2031/artfynd/A 38384-2024 artfynd.xlsx", "A 38384-2024")</f>
        <v/>
      </c>
      <c r="W75">
        <f>HYPERLINK("https://klasma.github.io/Logging_2031/kartor/A 38384-2024 karta.png", "A 38384-2024")</f>
        <v/>
      </c>
      <c r="Y75">
        <f>HYPERLINK("https://klasma.github.io/Logging_2031/klagomål/A 38384-2024 FSC-klagomål.docx", "A 38384-2024")</f>
        <v/>
      </c>
      <c r="Z75">
        <f>HYPERLINK("https://klasma.github.io/Logging_2031/klagomålsmail/A 38384-2024 FSC-klagomål mail.docx", "A 38384-2024")</f>
        <v/>
      </c>
      <c r="AA75">
        <f>HYPERLINK("https://klasma.github.io/Logging_2031/tillsyn/A 38384-2024 tillsynsbegäran.docx", "A 38384-2024")</f>
        <v/>
      </c>
      <c r="AB75">
        <f>HYPERLINK("https://klasma.github.io/Logging_2031/tillsynsmail/A 38384-2024 tillsynsbegäran mail.docx", "A 38384-2024")</f>
        <v/>
      </c>
    </row>
    <row r="76" ht="15" customHeight="1">
      <c r="A76" t="inlineStr">
        <is>
          <t>A 41153-2021</t>
        </is>
      </c>
      <c r="B76" t="inlineStr">
        <is>
          <t>avverkningsanmälan</t>
        </is>
      </c>
      <c r="C76" t="inlineStr">
        <is>
          <t>Föryngringsavverkning</t>
        </is>
      </c>
      <c r="D76" s="1" t="n">
        <v>44424</v>
      </c>
      <c r="E76" s="1" t="n">
        <v>46218</v>
      </c>
      <c r="F76" t="inlineStr">
        <is>
          <t>DALARNAS LÄN</t>
        </is>
      </c>
      <c r="G76" t="inlineStr">
        <is>
          <t>RÄTTVIK</t>
        </is>
      </c>
      <c r="H76" t="inlineStr">
        <is>
          <t>Sveaskog</t>
        </is>
      </c>
      <c r="I76" t="n">
        <v>2</v>
      </c>
      <c r="J76" t="n">
        <v>1</v>
      </c>
      <c r="K76" t="n">
        <v>0</v>
      </c>
      <c r="L76" t="n">
        <v>0</v>
      </c>
      <c r="M76" t="n">
        <v>0</v>
      </c>
      <c r="N76" t="n">
        <v>0</v>
      </c>
      <c r="O76" t="n">
        <v>0</v>
      </c>
      <c r="P76" t="n">
        <v>0</v>
      </c>
      <c r="Q76" t="n">
        <v>0</v>
      </c>
      <c r="R76" t="n">
        <v>0</v>
      </c>
      <c r="S76" t="n">
        <v>1</v>
      </c>
      <c r="T76" t="n">
        <v>1</v>
      </c>
      <c r="U76" s="2" t="inlineStr">
        <is>
          <t>Järpe</t>
        </is>
      </c>
      <c r="V76">
        <f>HYPERLINK("https://klasma.github.io/Logging_2031/artfynd/A 41153-2021 artfynd.xlsx", "A 41153-2021")</f>
        <v/>
      </c>
      <c r="W76">
        <f>HYPERLINK("https://klasma.github.io/Logging_2031/kartor/A 41153-2021 karta.png", "A 41153-2021")</f>
        <v/>
      </c>
      <c r="Y76">
        <f>HYPERLINK("https://klasma.github.io/Logging_2031/klagomål/A 41153-2021 FSC-klagomål.docx", "A 41153-2021")</f>
        <v/>
      </c>
      <c r="Z76">
        <f>HYPERLINK("https://klasma.github.io/Logging_2031/klagomålsmail/A 41153-2021 FSC-klagomål mail.docx", "A 41153-2021")</f>
        <v/>
      </c>
      <c r="AA76">
        <f>HYPERLINK("https://klasma.github.io/Logging_2031/tillsyn/A 41153-2021 tillsynsbegäran.docx", "A 41153-2021")</f>
        <v/>
      </c>
      <c r="AB76">
        <f>HYPERLINK("https://klasma.github.io/Logging_2031/tillsynsmail/A 41153-2021 tillsynsbegäran mail.docx", "A 41153-2021")</f>
        <v/>
      </c>
      <c r="AC76">
        <f>HYPERLINK("https://klasma.github.io/Logging_2031/fåglar/A 41153-2021 prioriterade fågelarter.docx", "A 41153-2021")</f>
        <v/>
      </c>
    </row>
    <row r="77" ht="15" customHeight="1">
      <c r="A77" t="inlineStr">
        <is>
          <t>A 352-2026</t>
        </is>
      </c>
      <c r="B77" t="inlineStr">
        <is>
          <t>avverkningsanmälan</t>
        </is>
      </c>
      <c r="C77" t="inlineStr">
        <is>
          <t>Föryngringsavverkning</t>
        </is>
      </c>
      <c r="D77" s="1" t="n">
        <v>46027</v>
      </c>
      <c r="E77" s="1" t="n">
        <v>46218</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s="2" t="inlineStr">
        <is>
          <t>Väddnätfjäril</t>
        </is>
      </c>
      <c r="V77">
        <f>HYPERLINK("https://klasma.github.io/Logging_2031/artfynd/A 352-2026 artfynd.xlsx", "A 352-2026")</f>
        <v/>
      </c>
      <c r="W77">
        <f>HYPERLINK("https://klasma.github.io/Logging_2031/kartor/A 352-2026 karta.png", "A 352-2026")</f>
        <v/>
      </c>
      <c r="Y77">
        <f>HYPERLINK("https://klasma.github.io/Logging_2031/klagomål/A 352-2026 FSC-klagomål.docx", "A 352-2026")</f>
        <v/>
      </c>
      <c r="Z77">
        <f>HYPERLINK("https://klasma.github.io/Logging_2031/klagomålsmail/A 352-2026 FSC-klagomål mail.docx", "A 352-2026")</f>
        <v/>
      </c>
      <c r="AA77">
        <f>HYPERLINK("https://klasma.github.io/Logging_2031/tillsyn/A 352-2026 tillsynsbegäran.docx", "A 352-2026")</f>
        <v/>
      </c>
      <c r="AB77">
        <f>HYPERLINK("https://klasma.github.io/Logging_2031/tillsynsmail/A 352-2026 tillsynsbegäran mail.docx", "A 352-2026")</f>
        <v/>
      </c>
    </row>
    <row r="78" ht="15" customHeight="1">
      <c r="A78" t="inlineStr">
        <is>
          <t>A 33392-2025</t>
        </is>
      </c>
      <c r="B78" t="inlineStr">
        <is>
          <t>avverkningsanmälan</t>
        </is>
      </c>
      <c r="C78" t="inlineStr">
        <is>
          <t>Avverkning för annat ändamål</t>
        </is>
      </c>
      <c r="D78" s="1" t="n">
        <v>45841</v>
      </c>
      <c r="E78" s="1" t="n">
        <v>46218</v>
      </c>
      <c r="F78" t="inlineStr">
        <is>
          <t>DALARNAS LÄN</t>
        </is>
      </c>
      <c r="G78" t="inlineStr">
        <is>
          <t>RÄTTVIK</t>
        </is>
      </c>
      <c r="H78" t="inlineStr">
        <is>
          <t>Sveaskog</t>
        </is>
      </c>
      <c r="I78" t="n">
        <v>1.5</v>
      </c>
      <c r="J78" t="n">
        <v>0</v>
      </c>
      <c r="K78" t="n">
        <v>0</v>
      </c>
      <c r="L78" t="n">
        <v>1</v>
      </c>
      <c r="M78" t="n">
        <v>0</v>
      </c>
      <c r="N78" t="n">
        <v>0</v>
      </c>
      <c r="O78" t="n">
        <v>0</v>
      </c>
      <c r="P78" t="n">
        <v>0</v>
      </c>
      <c r="Q78" t="n">
        <v>1</v>
      </c>
      <c r="R78" t="n">
        <v>0</v>
      </c>
      <c r="S78" t="n">
        <v>1</v>
      </c>
      <c r="T78" t="n">
        <v>1</v>
      </c>
      <c r="U78" s="2" t="inlineStr">
        <is>
          <t>Brunklöver</t>
        </is>
      </c>
      <c r="V78">
        <f>HYPERLINK("https://klasma.github.io/Logging_2031/artfynd/A 33392-2025 artfynd.xlsx", "A 33392-2025")</f>
        <v/>
      </c>
      <c r="W78">
        <f>HYPERLINK("https://klasma.github.io/Logging_2031/kartor/A 33392-2025 karta.png", "A 33392-2025")</f>
        <v/>
      </c>
      <c r="Y78">
        <f>HYPERLINK("https://klasma.github.io/Logging_2031/klagomål/A 33392-2025 FSC-klagomål.docx", "A 33392-2025")</f>
        <v/>
      </c>
      <c r="Z78">
        <f>HYPERLINK("https://klasma.github.io/Logging_2031/klagomålsmail/A 33392-2025 FSC-klagomål mail.docx", "A 33392-2025")</f>
        <v/>
      </c>
      <c r="AA78">
        <f>HYPERLINK("https://klasma.github.io/Logging_2031/tillsyn/A 33392-2025 tillsynsbegäran.docx", "A 33392-2025")</f>
        <v/>
      </c>
      <c r="AB78">
        <f>HYPERLINK("https://klasma.github.io/Logging_2031/tillsynsmail/A 33392-2025 tillsynsbegäran mail.docx", "A 33392-2025")</f>
        <v/>
      </c>
    </row>
    <row r="79" ht="15" customHeight="1">
      <c r="A79" t="inlineStr">
        <is>
          <t>A 69061-2021</t>
        </is>
      </c>
      <c r="B79" t="inlineStr">
        <is>
          <t>avverkningsanmälan</t>
        </is>
      </c>
      <c r="C79" t="inlineStr">
        <is>
          <t>Föryngringsavverkning</t>
        </is>
      </c>
      <c r="D79" s="1" t="n">
        <v>44529</v>
      </c>
      <c r="E79" s="1" t="n">
        <v>46218</v>
      </c>
      <c r="F79" t="inlineStr">
        <is>
          <t>DALARNAS LÄN</t>
        </is>
      </c>
      <c r="G79" t="inlineStr">
        <is>
          <t>RÄTTVIK</t>
        </is>
      </c>
      <c r="I79" t="n">
        <v>3</v>
      </c>
      <c r="J79" t="n">
        <v>1</v>
      </c>
      <c r="K79" t="n">
        <v>0</v>
      </c>
      <c r="L79" t="n">
        <v>0</v>
      </c>
      <c r="M79" t="n">
        <v>1</v>
      </c>
      <c r="N79" t="n">
        <v>0</v>
      </c>
      <c r="O79" t="n">
        <v>0</v>
      </c>
      <c r="P79" t="n">
        <v>0</v>
      </c>
      <c r="Q79" t="n">
        <v>1</v>
      </c>
      <c r="R79" t="n">
        <v>1</v>
      </c>
      <c r="S79" t="n">
        <v>1</v>
      </c>
      <c r="T79" t="n">
        <v>1</v>
      </c>
      <c r="U79" s="2" t="inlineStr">
        <is>
          <t>Knärot</t>
        </is>
      </c>
      <c r="V79">
        <f>HYPERLINK("https://klasma.github.io/Logging_2031/artfynd/A 69061-2021 artfynd.xlsx", "A 69061-2021")</f>
        <v/>
      </c>
      <c r="W79">
        <f>HYPERLINK("https://klasma.github.io/Logging_2031/kartor/A 69061-2021 karta.png", "A 69061-2021")</f>
        <v/>
      </c>
      <c r="X79">
        <f>HYPERLINK("https://klasma.github.io/Logging_2031/knärot/A 69061-2021 karta knärot.png", "A 69061-2021")</f>
        <v/>
      </c>
      <c r="Y79">
        <f>HYPERLINK("https://klasma.github.io/Logging_2031/klagomål/A 69061-2021 FSC-klagomål.docx", "A 69061-2021")</f>
        <v/>
      </c>
      <c r="Z79">
        <f>HYPERLINK("https://klasma.github.io/Logging_2031/klagomålsmail/A 69061-2021 FSC-klagomål mail.docx", "A 69061-2021")</f>
        <v/>
      </c>
      <c r="AA79">
        <f>HYPERLINK("https://klasma.github.io/Logging_2031/tillsyn/A 69061-2021 tillsynsbegäran.docx", "A 69061-2021")</f>
        <v/>
      </c>
      <c r="AB79">
        <f>HYPERLINK("https://klasma.github.io/Logging_2031/tillsynsmail/A 69061-2021 tillsynsbegäran mail.docx", "A 69061-2021")</f>
        <v/>
      </c>
    </row>
    <row r="80" ht="15" customHeight="1">
      <c r="A80" t="inlineStr">
        <is>
          <t>A 2112-2026</t>
        </is>
      </c>
      <c r="B80" t="inlineStr">
        <is>
          <t>avverkningsanmälan</t>
        </is>
      </c>
      <c r="C80" t="inlineStr">
        <is>
          <t>Föryngringsavverkning</t>
        </is>
      </c>
      <c r="D80" s="1" t="n">
        <v>46036</v>
      </c>
      <c r="E80" s="1" t="n">
        <v>46218</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s="2" t="inlineStr">
        <is>
          <t>Axag</t>
        </is>
      </c>
      <c r="V80">
        <f>HYPERLINK("https://klasma.github.io/Logging_2031/artfynd/A 2112-2026 artfynd.xlsx", "A 2112-2026")</f>
        <v/>
      </c>
      <c r="W80">
        <f>HYPERLINK("https://klasma.github.io/Logging_2031/kartor/A 2112-2026 karta.png", "A 2112-2026")</f>
        <v/>
      </c>
      <c r="Y80">
        <f>HYPERLINK("https://klasma.github.io/Logging_2031/klagomål/A 2112-2026 FSC-klagomål.docx", "A 2112-2026")</f>
        <v/>
      </c>
      <c r="Z80">
        <f>HYPERLINK("https://klasma.github.io/Logging_2031/klagomålsmail/A 2112-2026 FSC-klagomål mail.docx", "A 2112-2026")</f>
        <v/>
      </c>
      <c r="AA80">
        <f>HYPERLINK("https://klasma.github.io/Logging_2031/tillsyn/A 2112-2026 tillsynsbegäran.docx", "A 2112-2026")</f>
        <v/>
      </c>
      <c r="AB80">
        <f>HYPERLINK("https://klasma.github.io/Logging_2031/tillsynsmail/A 2112-2026 tillsynsbegäran mail.docx", "A 2112-2026")</f>
        <v/>
      </c>
    </row>
    <row r="81" ht="15" customHeight="1">
      <c r="A81" t="inlineStr">
        <is>
          <t>A 60710-2025</t>
        </is>
      </c>
      <c r="B81" t="inlineStr">
        <is>
          <t>avverkningsanmälan</t>
        </is>
      </c>
      <c r="C81" t="inlineStr">
        <is>
          <t>Föryngringsavverkning</t>
        </is>
      </c>
      <c r="D81" s="1" t="n">
        <v>45996</v>
      </c>
      <c r="E81" s="1" t="n">
        <v>46218</v>
      </c>
      <c r="F81" t="inlineStr">
        <is>
          <t>DALARNAS LÄN</t>
        </is>
      </c>
      <c r="G81" t="inlineStr">
        <is>
          <t>RÄTTVIK</t>
        </is>
      </c>
      <c r="I81" t="n">
        <v>1.2</v>
      </c>
      <c r="J81" t="n">
        <v>0</v>
      </c>
      <c r="K81" t="n">
        <v>0</v>
      </c>
      <c r="L81" t="n">
        <v>0</v>
      </c>
      <c r="M81" t="n">
        <v>1</v>
      </c>
      <c r="N81" t="n">
        <v>0</v>
      </c>
      <c r="O81" t="n">
        <v>0</v>
      </c>
      <c r="P81" t="n">
        <v>0</v>
      </c>
      <c r="Q81" t="n">
        <v>1</v>
      </c>
      <c r="R81" t="n">
        <v>1</v>
      </c>
      <c r="S81" t="n">
        <v>1</v>
      </c>
      <c r="T81" t="n">
        <v>4</v>
      </c>
      <c r="U81" s="2" t="inlineStr">
        <is>
          <t>Garnlav</t>
        </is>
      </c>
      <c r="V81">
        <f>HYPERLINK("https://klasma.github.io/Logging_2031/artfynd/A 60710-2025 artfynd.xlsx", "A 60710-2025")</f>
        <v/>
      </c>
      <c r="W81">
        <f>HYPERLINK("https://klasma.github.io/Logging_2031/kartor/A 60710-2025 karta.png", "A 60710-2025")</f>
        <v/>
      </c>
      <c r="Y81">
        <f>HYPERLINK("https://klasma.github.io/Logging_2031/klagomål/A 60710-2025 FSC-klagomål.docx", "A 60710-2025")</f>
        <v/>
      </c>
      <c r="Z81">
        <f>HYPERLINK("https://klasma.github.io/Logging_2031/klagomålsmail/A 60710-2025 FSC-klagomål mail.docx", "A 60710-2025")</f>
        <v/>
      </c>
      <c r="AA81">
        <f>HYPERLINK("https://klasma.github.io/Logging_2031/tillsyn/A 60710-2025 tillsynsbegäran.docx", "A 60710-2025")</f>
        <v/>
      </c>
      <c r="AB81">
        <f>HYPERLINK("https://klasma.github.io/Logging_2031/tillsynsmail/A 60710-2025 tillsynsbegäran mail.docx", "A 60710-2025")</f>
        <v/>
      </c>
    </row>
    <row r="82" ht="15" customHeight="1">
      <c r="A82" t="inlineStr">
        <is>
          <t>A 56438-2023</t>
        </is>
      </c>
      <c r="B82" t="inlineStr">
        <is>
          <t>avverkningsanmälan</t>
        </is>
      </c>
      <c r="C82" t="inlineStr">
        <is>
          <t>Föryngringsavverkning</t>
        </is>
      </c>
      <c r="D82" s="1" t="n">
        <v>45243</v>
      </c>
      <c r="E82" s="1" t="n">
        <v>46218</v>
      </c>
      <c r="F82" t="inlineStr">
        <is>
          <t>DALARNAS LÄN</t>
        </is>
      </c>
      <c r="G82" t="inlineStr">
        <is>
          <t>RÄTTVIK</t>
        </is>
      </c>
      <c r="I82" t="n">
        <v>2.4</v>
      </c>
      <c r="J82" t="n">
        <v>0</v>
      </c>
      <c r="K82" t="n">
        <v>1</v>
      </c>
      <c r="L82" t="n">
        <v>0</v>
      </c>
      <c r="M82" t="n">
        <v>0</v>
      </c>
      <c r="N82" t="n">
        <v>0</v>
      </c>
      <c r="O82" t="n">
        <v>0</v>
      </c>
      <c r="P82" t="n">
        <v>0</v>
      </c>
      <c r="Q82" t="n">
        <v>0</v>
      </c>
      <c r="R82" t="n">
        <v>0</v>
      </c>
      <c r="S82" t="n">
        <v>1</v>
      </c>
      <c r="T82" t="n">
        <v>1</v>
      </c>
      <c r="U82" s="2" t="inlineStr">
        <is>
          <t>Vedticka</t>
        </is>
      </c>
      <c r="V82">
        <f>HYPERLINK("https://klasma.github.io/Logging_2031/artfynd/A 56438-2023 artfynd.xlsx", "A 56438-2023")</f>
        <v/>
      </c>
      <c r="W82">
        <f>HYPERLINK("https://klasma.github.io/Logging_2031/kartor/A 56438-2023 karta.png", "A 56438-2023")</f>
        <v/>
      </c>
      <c r="Y82">
        <f>HYPERLINK("https://klasma.github.io/Logging_2031/klagomål/A 56438-2023 FSC-klagomål.docx", "A 56438-2023")</f>
        <v/>
      </c>
      <c r="Z82">
        <f>HYPERLINK("https://klasma.github.io/Logging_2031/klagomålsmail/A 56438-2023 FSC-klagomål mail.docx", "A 56438-2023")</f>
        <v/>
      </c>
      <c r="AA82">
        <f>HYPERLINK("https://klasma.github.io/Logging_2031/tillsyn/A 56438-2023 tillsynsbegäran.docx", "A 56438-2023")</f>
        <v/>
      </c>
      <c r="AB82">
        <f>HYPERLINK("https://klasma.github.io/Logging_2031/tillsynsmail/A 56438-2023 tillsynsbegäran mail.docx", "A 56438-2023")</f>
        <v/>
      </c>
    </row>
    <row r="83" ht="15" customHeight="1">
      <c r="A83" t="inlineStr">
        <is>
          <t>A 22518-2026</t>
        </is>
      </c>
      <c r="B83" t="inlineStr">
        <is>
          <t>avverkningsanmälan</t>
        </is>
      </c>
      <c r="C83" t="inlineStr">
        <is>
          <t>Föryngringsavverkning</t>
        </is>
      </c>
      <c r="D83" s="1" t="n">
        <v>46155</v>
      </c>
      <c r="E83" s="1" t="n">
        <v>46218</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s="2" t="inlineStr">
        <is>
          <t>Orre</t>
        </is>
      </c>
      <c r="V83">
        <f>HYPERLINK("https://klasma.github.io/Logging_2031/artfynd/A 22518-2026 artfynd.xlsx", "A 22518-2026")</f>
        <v/>
      </c>
      <c r="W83">
        <f>HYPERLINK("https://klasma.github.io/Logging_2031/kartor/A 22518-2026 karta.png", "A 22518-2026")</f>
        <v/>
      </c>
      <c r="Y83">
        <f>HYPERLINK("https://klasma.github.io/Logging_2031/klagomål/A 22518-2026 FSC-klagomål.docx", "A 22518-2026")</f>
        <v/>
      </c>
      <c r="Z83">
        <f>HYPERLINK("https://klasma.github.io/Logging_2031/klagomålsmail/A 22518-2026 FSC-klagomål mail.docx", "A 22518-2026")</f>
        <v/>
      </c>
      <c r="AA83">
        <f>HYPERLINK("https://klasma.github.io/Logging_2031/tillsyn/A 22518-2026 tillsynsbegäran.docx", "A 22518-2026")</f>
        <v/>
      </c>
      <c r="AB83">
        <f>HYPERLINK("https://klasma.github.io/Logging_2031/tillsynsmail/A 22518-2026 tillsynsbegäran mail.docx", "A 22518-2026")</f>
        <v/>
      </c>
      <c r="AC83">
        <f>HYPERLINK("https://klasma.github.io/Logging_2031/fåglar/A 22518-2026 prioriterade fågelarter.docx", "A 22518-2026")</f>
        <v/>
      </c>
    </row>
    <row r="84" ht="15" customHeight="1">
      <c r="A84" t="inlineStr">
        <is>
          <t>A 18687-2024</t>
        </is>
      </c>
      <c r="B84" t="inlineStr">
        <is>
          <t>avverkningsanmälan</t>
        </is>
      </c>
      <c r="C84" t="inlineStr">
        <is>
          <t>Föryngringsavverkning</t>
        </is>
      </c>
      <c r="D84" s="1" t="n">
        <v>45426</v>
      </c>
      <c r="E84" s="1" t="n">
        <v>46218</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s="2" t="inlineStr">
        <is>
          <t>Vitgrynig nållav</t>
        </is>
      </c>
      <c r="V84">
        <f>HYPERLINK("https://klasma.github.io/Logging_2031/artfynd/A 18687-2024 artfynd.xlsx", "A 18687-2024")</f>
        <v/>
      </c>
      <c r="W84">
        <f>HYPERLINK("https://klasma.github.io/Logging_2031/kartor/A 18687-2024 karta.png", "A 18687-2024")</f>
        <v/>
      </c>
      <c r="Y84">
        <f>HYPERLINK("https://klasma.github.io/Logging_2031/klagomål/A 18687-2024 FSC-klagomål.docx", "A 18687-2024")</f>
        <v/>
      </c>
      <c r="Z84">
        <f>HYPERLINK("https://klasma.github.io/Logging_2031/klagomålsmail/A 18687-2024 FSC-klagomål mail.docx", "A 18687-2024")</f>
        <v/>
      </c>
      <c r="AA84">
        <f>HYPERLINK("https://klasma.github.io/Logging_2031/tillsyn/A 18687-2024 tillsynsbegäran.docx", "A 18687-2024")</f>
        <v/>
      </c>
      <c r="AB84">
        <f>HYPERLINK("https://klasma.github.io/Logging_2031/tillsynsmail/A 18687-2024 tillsynsbegäran mail.docx", "A 18687-2024")</f>
        <v/>
      </c>
    </row>
    <row r="85" ht="15" customHeight="1">
      <c r="A85" t="inlineStr">
        <is>
          <t>A 3472-2026</t>
        </is>
      </c>
      <c r="B85" t="inlineStr">
        <is>
          <t>avverkningsanmälan</t>
        </is>
      </c>
      <c r="C85" t="inlineStr">
        <is>
          <t>Föryngringsavverkning</t>
        </is>
      </c>
      <c r="D85" s="1" t="n">
        <v>46042</v>
      </c>
      <c r="E85" s="1" t="n">
        <v>46218</v>
      </c>
      <c r="F85" t="inlineStr">
        <is>
          <t>DALARNAS LÄN</t>
        </is>
      </c>
      <c r="G85" t="inlineStr">
        <is>
          <t>RÄTTVIK</t>
        </is>
      </c>
      <c r="I85" t="n">
        <v>7.4</v>
      </c>
      <c r="J85" t="n">
        <v>0</v>
      </c>
      <c r="K85" t="n">
        <v>0</v>
      </c>
      <c r="L85" t="n">
        <v>1</v>
      </c>
      <c r="M85" t="n">
        <v>0</v>
      </c>
      <c r="N85" t="n">
        <v>0</v>
      </c>
      <c r="O85" t="n">
        <v>0</v>
      </c>
      <c r="P85" t="n">
        <v>0</v>
      </c>
      <c r="Q85" t="n">
        <v>1</v>
      </c>
      <c r="R85" t="n">
        <v>0</v>
      </c>
      <c r="S85" t="n">
        <v>1</v>
      </c>
      <c r="T85" t="n">
        <v>1</v>
      </c>
      <c r="U85" s="2" t="inlineStr">
        <is>
          <t>Ullticka</t>
        </is>
      </c>
      <c r="V85">
        <f>HYPERLINK("https://klasma.github.io/Logging_2031/artfynd/A 3472-2026 artfynd.xlsx", "A 3472-2026")</f>
        <v/>
      </c>
      <c r="W85">
        <f>HYPERLINK("https://klasma.github.io/Logging_2031/kartor/A 3472-2026 karta.png", "A 3472-2026")</f>
        <v/>
      </c>
      <c r="Y85">
        <f>HYPERLINK("https://klasma.github.io/Logging_2031/klagomål/A 3472-2026 FSC-klagomål.docx", "A 3472-2026")</f>
        <v/>
      </c>
      <c r="Z85">
        <f>HYPERLINK("https://klasma.github.io/Logging_2031/klagomålsmail/A 3472-2026 FSC-klagomål mail.docx", "A 3472-2026")</f>
        <v/>
      </c>
      <c r="AA85">
        <f>HYPERLINK("https://klasma.github.io/Logging_2031/tillsyn/A 3472-2026 tillsynsbegäran.docx", "A 3472-2026")</f>
        <v/>
      </c>
      <c r="AB85">
        <f>HYPERLINK("https://klasma.github.io/Logging_2031/tillsynsmail/A 3472-2026 tillsynsbegäran mail.docx", "A 3472-2026")</f>
        <v/>
      </c>
    </row>
    <row r="86" ht="15" customHeight="1">
      <c r="A86" t="inlineStr">
        <is>
          <t>A 29941-2026</t>
        </is>
      </c>
      <c r="B86" t="inlineStr">
        <is>
          <t>avverkningsanmälan</t>
        </is>
      </c>
      <c r="C86" t="inlineStr">
        <is>
          <t>Föryngringsavverkning</t>
        </is>
      </c>
      <c r="D86" s="1" t="n">
        <v>46205</v>
      </c>
      <c r="E86" s="1" t="n">
        <v>46218</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s="2" t="inlineStr">
        <is>
          <t>Väddnätfjäril</t>
        </is>
      </c>
      <c r="V86">
        <f>HYPERLINK("https://klasma.github.io/Logging_2031/artfynd/A 29941-2026 artfynd.xlsx", "A 29941-2026")</f>
        <v/>
      </c>
      <c r="W86">
        <f>HYPERLINK("https://klasma.github.io/Logging_2031/kartor/A 29941-2026 karta.png", "A 29941-2026")</f>
        <v/>
      </c>
      <c r="Y86">
        <f>HYPERLINK("https://klasma.github.io/Logging_2031/klagomål/A 29941-2026 FSC-klagomål.docx", "A 29941-2026")</f>
        <v/>
      </c>
      <c r="Z86">
        <f>HYPERLINK("https://klasma.github.io/Logging_2031/klagomålsmail/A 29941-2026 FSC-klagomål mail.docx", "A 29941-2026")</f>
        <v/>
      </c>
      <c r="AA86">
        <f>HYPERLINK("https://klasma.github.io/Logging_2031/tillsyn/A 29941-2026 tillsynsbegäran.docx", "A 29941-2026")</f>
        <v/>
      </c>
      <c r="AB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46218</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s="2" t="inlineStr">
        <is>
          <t>Fläcknycklar</t>
        </is>
      </c>
      <c r="V87">
        <f>HYPERLINK("https://klasma.github.io/Logging_2031/artfynd/A 30692-2026 artfynd.xlsx", "A 30692-2026")</f>
        <v/>
      </c>
      <c r="W87">
        <f>HYPERLINK("https://klasma.github.io/Logging_2031/kartor/A 30692-2026 karta.png", "A 30692-2026")</f>
        <v/>
      </c>
      <c r="Y87">
        <f>HYPERLINK("https://klasma.github.io/Logging_2031/klagomål/A 30692-2026 FSC-klagomål.docx", "A 30692-2026")</f>
        <v/>
      </c>
      <c r="Z87">
        <f>HYPERLINK("https://klasma.github.io/Logging_2031/klagomålsmail/A 30692-2026 FSC-klagomål mail.docx", "A 30692-2026")</f>
        <v/>
      </c>
      <c r="AA87">
        <f>HYPERLINK("https://klasma.github.io/Logging_2031/tillsyn/A 30692-2026 tillsynsbegäran.docx", "A 30692-2026")</f>
        <v/>
      </c>
      <c r="AB87">
        <f>HYPERLINK("https://klasma.github.io/Logging_2031/tillsynsmail/A 30692-2026 tillsynsbegäran mail.docx", "A 30692-2026")</f>
        <v/>
      </c>
    </row>
    <row r="88" ht="15" customHeight="1">
      <c r="A88" t="inlineStr">
        <is>
          <t>A 18535-2026</t>
        </is>
      </c>
      <c r="B88" t="inlineStr">
        <is>
          <t>avverkningsanmälan</t>
        </is>
      </c>
      <c r="C88" t="inlineStr">
        <is>
          <t>Föryngringsavverkning</t>
        </is>
      </c>
      <c r="D88" s="1" t="n">
        <v>46127</v>
      </c>
      <c r="E88" s="1" t="n">
        <v>46218</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s="2" t="inlineStr">
        <is>
          <t>Väddnätfjäril</t>
        </is>
      </c>
      <c r="V88">
        <f>HYPERLINK("https://klasma.github.io/Logging_2031/artfynd/A 18535-2026 artfynd.xlsx", "A 18535-2026")</f>
        <v/>
      </c>
      <c r="W88">
        <f>HYPERLINK("https://klasma.github.io/Logging_2031/kartor/A 18535-2026 karta.png", "A 18535-2026")</f>
        <v/>
      </c>
      <c r="Y88">
        <f>HYPERLINK("https://klasma.github.io/Logging_2031/klagomål/A 18535-2026 FSC-klagomål.docx", "A 18535-2026")</f>
        <v/>
      </c>
      <c r="Z88">
        <f>HYPERLINK("https://klasma.github.io/Logging_2031/klagomålsmail/A 18535-2026 FSC-klagomål mail.docx", "A 18535-2026")</f>
        <v/>
      </c>
      <c r="AA88">
        <f>HYPERLINK("https://klasma.github.io/Logging_2031/tillsyn/A 18535-2026 tillsynsbegäran.docx", "A 18535-2026")</f>
        <v/>
      </c>
      <c r="AB88">
        <f>HYPERLINK("https://klasma.github.io/Logging_2031/tillsynsmail/A 18535-2026 tillsynsbegäran mail.docx", "A 18535-2026")</f>
        <v/>
      </c>
    </row>
    <row r="89" ht="15" customHeight="1">
      <c r="A89" t="inlineStr">
        <is>
          <t>A 11956-2026</t>
        </is>
      </c>
      <c r="B89" t="inlineStr">
        <is>
          <t>avverkningsanmälan</t>
        </is>
      </c>
      <c r="C89" t="inlineStr">
        <is>
          <t>Föryngringsavverkning</t>
        </is>
      </c>
      <c r="D89" s="1" t="n">
        <v>46085</v>
      </c>
      <c r="E89" s="1" t="n">
        <v>46218</v>
      </c>
      <c r="F89" t="inlineStr">
        <is>
          <t>DALARNAS LÄN</t>
        </is>
      </c>
      <c r="G89" t="inlineStr">
        <is>
          <t>RÄTTVIK</t>
        </is>
      </c>
      <c r="H89" t="inlineStr">
        <is>
          <t>Bergvik skog väst AB</t>
        </is>
      </c>
      <c r="I89" t="n">
        <v>48.8</v>
      </c>
      <c r="J89" t="n">
        <v>0</v>
      </c>
      <c r="K89" t="n">
        <v>0</v>
      </c>
      <c r="L89" t="n">
        <v>1</v>
      </c>
      <c r="M89" t="n">
        <v>0</v>
      </c>
      <c r="N89" t="n">
        <v>0</v>
      </c>
      <c r="O89" t="n">
        <v>0</v>
      </c>
      <c r="P89" t="n">
        <v>0</v>
      </c>
      <c r="Q89" t="n">
        <v>1</v>
      </c>
      <c r="R89" t="n">
        <v>0</v>
      </c>
      <c r="S89" t="n">
        <v>1</v>
      </c>
      <c r="T89" t="n">
        <v>1</v>
      </c>
      <c r="U89" s="2" t="inlineStr">
        <is>
          <t>Skarp dropptaggsvamp</t>
        </is>
      </c>
      <c r="V89">
        <f>HYPERLINK("https://klasma.github.io/Logging_2031/artfynd/A 11956-2026 artfynd.xlsx", "A 11956-2026")</f>
        <v/>
      </c>
      <c r="W89">
        <f>HYPERLINK("https://klasma.github.io/Logging_2031/kartor/A 11956-2026 karta.png", "A 11956-2026")</f>
        <v/>
      </c>
      <c r="Y89">
        <f>HYPERLINK("https://klasma.github.io/Logging_2031/klagomål/A 11956-2026 FSC-klagomål.docx", "A 11956-2026")</f>
        <v/>
      </c>
      <c r="Z89">
        <f>HYPERLINK("https://klasma.github.io/Logging_2031/klagomålsmail/A 11956-2026 FSC-klagomål mail.docx", "A 11956-2026")</f>
        <v/>
      </c>
      <c r="AA89">
        <f>HYPERLINK("https://klasma.github.io/Logging_2031/tillsyn/A 11956-2026 tillsynsbegäran.docx", "A 11956-2026")</f>
        <v/>
      </c>
      <c r="AB89">
        <f>HYPERLINK("https://klasma.github.io/Logging_2031/tillsynsmail/A 11956-2026 tillsynsbegäran mail.docx", "A 11956-2026")</f>
        <v/>
      </c>
    </row>
    <row r="90" ht="15" customHeight="1">
      <c r="A90" t="inlineStr">
        <is>
          <t>A 12391-2026</t>
        </is>
      </c>
      <c r="B90" t="inlineStr">
        <is>
          <t>avverkningsanmälan</t>
        </is>
      </c>
      <c r="C90" t="inlineStr">
        <is>
          <t>Föryngringsavverkning</t>
        </is>
      </c>
      <c r="D90" s="1" t="n">
        <v>46090</v>
      </c>
      <c r="E90" s="1" t="n">
        <v>46218</v>
      </c>
      <c r="F90" t="inlineStr">
        <is>
          <t>DALARNAS LÄN</t>
        </is>
      </c>
      <c r="G90" t="inlineStr">
        <is>
          <t>RÄTTVIK</t>
        </is>
      </c>
      <c r="H90" t="inlineStr">
        <is>
          <t>Sveaskog</t>
        </is>
      </c>
      <c r="I90" t="n">
        <v>1.8</v>
      </c>
      <c r="J90" t="n">
        <v>0</v>
      </c>
      <c r="K90" t="n">
        <v>0</v>
      </c>
      <c r="L90" t="n">
        <v>1</v>
      </c>
      <c r="M90" t="n">
        <v>0</v>
      </c>
      <c r="N90" t="n">
        <v>0</v>
      </c>
      <c r="O90" t="n">
        <v>0</v>
      </c>
      <c r="P90" t="n">
        <v>0</v>
      </c>
      <c r="Q90" t="n">
        <v>1</v>
      </c>
      <c r="R90" t="n">
        <v>0</v>
      </c>
      <c r="S90" t="n">
        <v>1</v>
      </c>
      <c r="T90" t="n">
        <v>1</v>
      </c>
      <c r="U90" s="2" t="inlineStr">
        <is>
          <t>Vedflamlav</t>
        </is>
      </c>
      <c r="V90">
        <f>HYPERLINK("https://klasma.github.io/Logging_2031/artfynd/A 12391-2026 artfynd.xlsx", "A 12391-2026")</f>
        <v/>
      </c>
      <c r="W90">
        <f>HYPERLINK("https://klasma.github.io/Logging_2031/kartor/A 12391-2026 karta.png", "A 12391-2026")</f>
        <v/>
      </c>
      <c r="Y90">
        <f>HYPERLINK("https://klasma.github.io/Logging_2031/klagomål/A 12391-2026 FSC-klagomål.docx", "A 12391-2026")</f>
        <v/>
      </c>
      <c r="Z90">
        <f>HYPERLINK("https://klasma.github.io/Logging_2031/klagomålsmail/A 12391-2026 FSC-klagomål mail.docx", "A 12391-2026")</f>
        <v/>
      </c>
      <c r="AA90">
        <f>HYPERLINK("https://klasma.github.io/Logging_2031/tillsyn/A 12391-2026 tillsynsbegäran.docx", "A 12391-2026")</f>
        <v/>
      </c>
      <c r="AB90">
        <f>HYPERLINK("https://klasma.github.io/Logging_2031/tillsynsmail/A 12391-2026 tillsynsbegäran mail.docx", "A 12391-2026")</f>
        <v/>
      </c>
    </row>
    <row r="91" ht="15" customHeight="1">
      <c r="A91" t="inlineStr">
        <is>
          <t>A 15164-2026</t>
        </is>
      </c>
      <c r="B91" t="inlineStr">
        <is>
          <t>avverkningsanmälan</t>
        </is>
      </c>
      <c r="C91" t="inlineStr">
        <is>
          <t>Föryngringsavverkning</t>
        </is>
      </c>
      <c r="D91" s="1" t="n">
        <v>46105</v>
      </c>
      <c r="E91" s="1" t="n">
        <v>46218</v>
      </c>
      <c r="F91" t="inlineStr">
        <is>
          <t>DALARNAS LÄN</t>
        </is>
      </c>
      <c r="G91" t="inlineStr">
        <is>
          <t>RÄTTVIK</t>
        </is>
      </c>
      <c r="H91" t="inlineStr">
        <is>
          <t>Bergvik skog väst AB</t>
        </is>
      </c>
      <c r="I91" t="n">
        <v>15.9</v>
      </c>
      <c r="J91" t="n">
        <v>0</v>
      </c>
      <c r="K91" t="n">
        <v>0</v>
      </c>
      <c r="L91" t="n">
        <v>1</v>
      </c>
      <c r="M91" t="n">
        <v>0</v>
      </c>
      <c r="N91" t="n">
        <v>0</v>
      </c>
      <c r="O91" t="n">
        <v>0</v>
      </c>
      <c r="P91" t="n">
        <v>0</v>
      </c>
      <c r="Q91" t="n">
        <v>1</v>
      </c>
      <c r="R91" t="n">
        <v>0</v>
      </c>
      <c r="S91" t="n">
        <v>1</v>
      </c>
      <c r="T91" t="n">
        <v>1</v>
      </c>
      <c r="U91" s="2" t="inlineStr">
        <is>
          <t>Brunklöver</t>
        </is>
      </c>
      <c r="V91">
        <f>HYPERLINK("https://klasma.github.io/Logging_2031/artfynd/A 15164-2026 artfynd.xlsx", "A 15164-2026")</f>
        <v/>
      </c>
      <c r="W91">
        <f>HYPERLINK("https://klasma.github.io/Logging_2031/kartor/A 15164-2026 karta.png", "A 15164-2026")</f>
        <v/>
      </c>
      <c r="Y91">
        <f>HYPERLINK("https://klasma.github.io/Logging_2031/klagomål/A 15164-2026 FSC-klagomål.docx", "A 15164-2026")</f>
        <v/>
      </c>
      <c r="Z91">
        <f>HYPERLINK("https://klasma.github.io/Logging_2031/klagomålsmail/A 15164-2026 FSC-klagomål mail.docx", "A 15164-2026")</f>
        <v/>
      </c>
      <c r="AA91">
        <f>HYPERLINK("https://klasma.github.io/Logging_2031/tillsyn/A 15164-2026 tillsynsbegäran.docx", "A 15164-2026")</f>
        <v/>
      </c>
      <c r="AB91">
        <f>HYPERLINK("https://klasma.github.io/Logging_2031/tillsynsmail/A 15164-2026 tillsynsbegäran mail.docx", "A 15164-2026")</f>
        <v/>
      </c>
    </row>
    <row r="92" ht="15" customHeight="1">
      <c r="A92" t="inlineStr">
        <is>
          <t>A 16626-2026</t>
        </is>
      </c>
      <c r="B92" t="inlineStr">
        <is>
          <t>avverkningsanmälan</t>
        </is>
      </c>
      <c r="C92" t="inlineStr">
        <is>
          <t>Föryngringsavverkning</t>
        </is>
      </c>
      <c r="D92" s="1" t="n">
        <v>46112</v>
      </c>
      <c r="E92" s="1" t="n">
        <v>46218</v>
      </c>
      <c r="F92" t="inlineStr">
        <is>
          <t>DALARNAS LÄN</t>
        </is>
      </c>
      <c r="G92" t="inlineStr">
        <is>
          <t>RÄTTVIK</t>
        </is>
      </c>
      <c r="H92" t="inlineStr">
        <is>
          <t>Bergvik skog väst AB</t>
        </is>
      </c>
      <c r="I92" t="n">
        <v>12.1</v>
      </c>
      <c r="J92" t="n">
        <v>1</v>
      </c>
      <c r="K92" t="n">
        <v>0</v>
      </c>
      <c r="L92" t="n">
        <v>0</v>
      </c>
      <c r="M92" t="n">
        <v>0</v>
      </c>
      <c r="N92" t="n">
        <v>0</v>
      </c>
      <c r="O92" t="n">
        <v>0</v>
      </c>
      <c r="P92" t="n">
        <v>0</v>
      </c>
      <c r="Q92" t="n">
        <v>0</v>
      </c>
      <c r="R92" t="n">
        <v>0</v>
      </c>
      <c r="S92" t="n">
        <v>1</v>
      </c>
      <c r="T92" t="n">
        <v>1</v>
      </c>
      <c r="U92" s="2" t="inlineStr">
        <is>
          <t>Utter</t>
        </is>
      </c>
      <c r="V92">
        <f>HYPERLINK("https://klasma.github.io/Logging_2031/artfynd/A 16626-2026 artfynd.xlsx", "A 16626-2026")</f>
        <v/>
      </c>
      <c r="W92">
        <f>HYPERLINK("https://klasma.github.io/Logging_2031/kartor/A 16626-2026 karta.png", "A 16626-2026")</f>
        <v/>
      </c>
      <c r="Y92">
        <f>HYPERLINK("https://klasma.github.io/Logging_2031/klagomål/A 16626-2026 FSC-klagomål.docx", "A 16626-2026")</f>
        <v/>
      </c>
      <c r="Z92">
        <f>HYPERLINK("https://klasma.github.io/Logging_2031/klagomålsmail/A 16626-2026 FSC-klagomål mail.docx", "A 16626-2026")</f>
        <v/>
      </c>
      <c r="AA92">
        <f>HYPERLINK("https://klasma.github.io/Logging_2031/tillsyn/A 16626-2026 tillsynsbegäran.docx", "A 16626-2026")</f>
        <v/>
      </c>
      <c r="AB92">
        <f>HYPERLINK("https://klasma.github.io/Logging_2031/tillsynsmail/A 16626-2026 tillsynsbegäran mail.docx", "A 16626-2026")</f>
        <v/>
      </c>
    </row>
    <row r="93" ht="15" customHeight="1">
      <c r="A93" t="inlineStr">
        <is>
          <t>A 18527-2026</t>
        </is>
      </c>
      <c r="B93" t="inlineStr">
        <is>
          <t>avverkningsanmälan</t>
        </is>
      </c>
      <c r="C93" t="inlineStr">
        <is>
          <t>Föryngringsavverkning</t>
        </is>
      </c>
      <c r="D93" s="1" t="n">
        <v>46127</v>
      </c>
      <c r="E93" s="1" t="n">
        <v>46218</v>
      </c>
      <c r="F93" t="inlineStr">
        <is>
          <t>DALARNAS LÄN</t>
        </is>
      </c>
      <c r="G93" t="inlineStr">
        <is>
          <t>RÄTTVIK</t>
        </is>
      </c>
      <c r="I93" t="n">
        <v>3.2</v>
      </c>
      <c r="J93" t="n">
        <v>1</v>
      </c>
      <c r="K93" t="n">
        <v>0</v>
      </c>
      <c r="L93" t="n">
        <v>0</v>
      </c>
      <c r="M93" t="n">
        <v>1</v>
      </c>
      <c r="N93" t="n">
        <v>0</v>
      </c>
      <c r="O93" t="n">
        <v>0</v>
      </c>
      <c r="P93" t="n">
        <v>0</v>
      </c>
      <c r="Q93" t="n">
        <v>1</v>
      </c>
      <c r="R93" t="n">
        <v>1</v>
      </c>
      <c r="S93" t="n">
        <v>1</v>
      </c>
      <c r="T93" t="n">
        <v>4</v>
      </c>
      <c r="U93" s="2" t="inlineStr">
        <is>
          <t>Väddnätfjäril</t>
        </is>
      </c>
      <c r="V93">
        <f>HYPERLINK("https://klasma.github.io/Logging_2031/artfynd/A 18527-2026 artfynd.xlsx", "A 18527-2026")</f>
        <v/>
      </c>
      <c r="W93">
        <f>HYPERLINK("https://klasma.github.io/Logging_2031/kartor/A 18527-2026 karta.png", "A 18527-2026")</f>
        <v/>
      </c>
      <c r="Y93">
        <f>HYPERLINK("https://klasma.github.io/Logging_2031/klagomål/A 18527-2026 FSC-klagomål.docx", "A 18527-2026")</f>
        <v/>
      </c>
      <c r="Z93">
        <f>HYPERLINK("https://klasma.github.io/Logging_2031/klagomålsmail/A 18527-2026 FSC-klagomål mail.docx", "A 18527-2026")</f>
        <v/>
      </c>
      <c r="AA93">
        <f>HYPERLINK("https://klasma.github.io/Logging_2031/tillsyn/A 18527-2026 tillsynsbegäran.docx", "A 18527-2026")</f>
        <v/>
      </c>
      <c r="AB93">
        <f>HYPERLINK("https://klasma.github.io/Logging_2031/tillsynsmail/A 18527-2026 tillsynsbegäran mail.docx", "A 18527-2026")</f>
        <v/>
      </c>
    </row>
    <row r="94" ht="15" customHeight="1">
      <c r="A94" t="inlineStr">
        <is>
          <t>A 19243-2026</t>
        </is>
      </c>
      <c r="B94" t="inlineStr">
        <is>
          <t>avverkningsanmälan</t>
        </is>
      </c>
      <c r="C94" t="inlineStr">
        <is>
          <t>Föryngringsavverkning</t>
        </is>
      </c>
      <c r="D94" s="1" t="n">
        <v>46132</v>
      </c>
      <c r="E94" s="1" t="n">
        <v>46218</v>
      </c>
      <c r="F94" t="inlineStr">
        <is>
          <t>DALARNAS LÄN</t>
        </is>
      </c>
      <c r="G94" t="inlineStr">
        <is>
          <t>RÄTTVIK</t>
        </is>
      </c>
      <c r="H94" t="inlineStr">
        <is>
          <t>Sveaskog</t>
        </is>
      </c>
      <c r="I94" t="n">
        <v>1.4</v>
      </c>
      <c r="J94" t="n">
        <v>1</v>
      </c>
      <c r="K94" t="n">
        <v>0</v>
      </c>
      <c r="L94" t="n">
        <v>1</v>
      </c>
      <c r="M94" t="n">
        <v>0</v>
      </c>
      <c r="N94" t="n">
        <v>0</v>
      </c>
      <c r="O94" t="n">
        <v>0</v>
      </c>
      <c r="P94" t="n">
        <v>0</v>
      </c>
      <c r="Q94" t="n">
        <v>1</v>
      </c>
      <c r="R94" t="n">
        <v>0</v>
      </c>
      <c r="S94" t="n">
        <v>1</v>
      </c>
      <c r="T94" t="n">
        <v>1</v>
      </c>
      <c r="U94" s="2" t="inlineStr">
        <is>
          <t>Talltita</t>
        </is>
      </c>
      <c r="V94">
        <f>HYPERLINK("https://klasma.github.io/Logging_2031/artfynd/A 19243-2026 artfynd.xlsx", "A 19243-2026")</f>
        <v/>
      </c>
      <c r="W94">
        <f>HYPERLINK("https://klasma.github.io/Logging_2031/kartor/A 19243-2026 karta.png", "A 19243-2026")</f>
        <v/>
      </c>
      <c r="Y94">
        <f>HYPERLINK("https://klasma.github.io/Logging_2031/klagomål/A 19243-2026 FSC-klagomål.docx", "A 19243-2026")</f>
        <v/>
      </c>
      <c r="Z94">
        <f>HYPERLINK("https://klasma.github.io/Logging_2031/klagomålsmail/A 19243-2026 FSC-klagomål mail.docx", "A 19243-2026")</f>
        <v/>
      </c>
      <c r="AA94">
        <f>HYPERLINK("https://klasma.github.io/Logging_2031/tillsyn/A 19243-2026 tillsynsbegäran.docx", "A 19243-2026")</f>
        <v/>
      </c>
      <c r="AB94">
        <f>HYPERLINK("https://klasma.github.io/Logging_2031/tillsynsmail/A 19243-2026 tillsynsbegäran mail.docx", "A 19243-2026")</f>
        <v/>
      </c>
      <c r="AC94">
        <f>HYPERLINK("https://klasma.github.io/Logging_2031/fåglar/A 19243-2026 prioriterade fågelarter.docx", "A 19243-2026")</f>
        <v/>
      </c>
    </row>
    <row r="95" ht="15" customHeight="1">
      <c r="A95" t="inlineStr">
        <is>
          <t>A 58233-2025</t>
        </is>
      </c>
      <c r="B95" t="inlineStr">
        <is>
          <t>avverkningsanmälan</t>
        </is>
      </c>
      <c r="C95" t="inlineStr">
        <is>
          <t>Föryngringsavverkning</t>
        </is>
      </c>
      <c r="D95" s="1" t="n">
        <v>45985</v>
      </c>
      <c r="E95" s="1" t="n">
        <v>46218</v>
      </c>
      <c r="F95" t="inlineStr">
        <is>
          <t>DALARNAS LÄN</t>
        </is>
      </c>
      <c r="G95" t="inlineStr">
        <is>
          <t>RÄTTVIK</t>
        </is>
      </c>
      <c r="I95" t="n">
        <v>1.7</v>
      </c>
      <c r="J95" t="n">
        <v>0</v>
      </c>
      <c r="K95" t="n">
        <v>0</v>
      </c>
      <c r="L95" t="n">
        <v>1</v>
      </c>
      <c r="M95" t="n">
        <v>0</v>
      </c>
      <c r="N95" t="n">
        <v>0</v>
      </c>
      <c r="O95" t="n">
        <v>0</v>
      </c>
      <c r="P95" t="n">
        <v>0</v>
      </c>
      <c r="Q95" t="n">
        <v>1</v>
      </c>
      <c r="R95" t="n">
        <v>0</v>
      </c>
      <c r="S95" t="n">
        <v>1</v>
      </c>
      <c r="T95" t="n">
        <v>1</v>
      </c>
      <c r="U95" s="2" t="inlineStr">
        <is>
          <t>Rynkskinn</t>
        </is>
      </c>
      <c r="V95">
        <f>HYPERLINK("https://klasma.github.io/Logging_2031/artfynd/A 58233-2025 artfynd.xlsx", "A 58233-2025")</f>
        <v/>
      </c>
      <c r="W95">
        <f>HYPERLINK("https://klasma.github.io/Logging_2031/kartor/A 58233-2025 karta.png", "A 58233-2025")</f>
        <v/>
      </c>
      <c r="Y95">
        <f>HYPERLINK("https://klasma.github.io/Logging_2031/klagomål/A 58233-2025 FSC-klagomål.docx", "A 58233-2025")</f>
        <v/>
      </c>
      <c r="Z95">
        <f>HYPERLINK("https://klasma.github.io/Logging_2031/klagomålsmail/A 58233-2025 FSC-klagomål mail.docx", "A 58233-2025")</f>
        <v/>
      </c>
      <c r="AA95">
        <f>HYPERLINK("https://klasma.github.io/Logging_2031/tillsyn/A 58233-2025 tillsynsbegäran.docx", "A 58233-2025")</f>
        <v/>
      </c>
      <c r="AB95">
        <f>HYPERLINK("https://klasma.github.io/Logging_2031/tillsynsmail/A 58233-2025 tillsynsbegäran mail.docx", "A 58233-2025")</f>
        <v/>
      </c>
    </row>
    <row r="96" ht="15" customHeight="1">
      <c r="A96" t="inlineStr">
        <is>
          <t>A 19775-2026</t>
        </is>
      </c>
      <c r="B96" t="inlineStr">
        <is>
          <t>avverkningsanmälan</t>
        </is>
      </c>
      <c r="C96" t="inlineStr">
        <is>
          <t>Föryngringsavverkning</t>
        </is>
      </c>
      <c r="D96" s="1" t="n">
        <v>46135</v>
      </c>
      <c r="E96" s="1" t="n">
        <v>46218</v>
      </c>
      <c r="F96" t="inlineStr">
        <is>
          <t>DALARNAS LÄN</t>
        </is>
      </c>
      <c r="G96" t="inlineStr">
        <is>
          <t>RÄTTVIK</t>
        </is>
      </c>
      <c r="I96" t="n">
        <v>1</v>
      </c>
      <c r="J96" t="n">
        <v>0</v>
      </c>
      <c r="K96" t="n">
        <v>0</v>
      </c>
      <c r="L96" t="n">
        <v>1</v>
      </c>
      <c r="M96" t="n">
        <v>0</v>
      </c>
      <c r="N96" t="n">
        <v>0</v>
      </c>
      <c r="O96" t="n">
        <v>0</v>
      </c>
      <c r="P96" t="n">
        <v>0</v>
      </c>
      <c r="Q96" t="n">
        <v>1</v>
      </c>
      <c r="R96" t="n">
        <v>0</v>
      </c>
      <c r="S96" t="n">
        <v>1</v>
      </c>
      <c r="T96" t="n">
        <v>1</v>
      </c>
      <c r="U96" s="2" t="inlineStr">
        <is>
          <t>Orange taggsvamp</t>
        </is>
      </c>
      <c r="V96">
        <f>HYPERLINK("https://klasma.github.io/Logging_2031/artfynd/A 19775-2026 artfynd.xlsx", "A 19775-2026")</f>
        <v/>
      </c>
      <c r="W96">
        <f>HYPERLINK("https://klasma.github.io/Logging_2031/kartor/A 19775-2026 karta.png", "A 19775-2026")</f>
        <v/>
      </c>
      <c r="Y96">
        <f>HYPERLINK("https://klasma.github.io/Logging_2031/klagomål/A 19775-2026 FSC-klagomål.docx", "A 19775-2026")</f>
        <v/>
      </c>
      <c r="Z96">
        <f>HYPERLINK("https://klasma.github.io/Logging_2031/klagomålsmail/A 19775-2026 FSC-klagomål mail.docx", "A 19775-2026")</f>
        <v/>
      </c>
      <c r="AA96">
        <f>HYPERLINK("https://klasma.github.io/Logging_2031/tillsyn/A 19775-2026 tillsynsbegäran.docx", "A 19775-2026")</f>
        <v/>
      </c>
      <c r="AB96">
        <f>HYPERLINK("https://klasma.github.io/Logging_2031/tillsynsmail/A 19775-2026 tillsynsbegäran mail.docx", "A 19775-2026")</f>
        <v/>
      </c>
    </row>
    <row r="97" ht="15" customHeight="1">
      <c r="A97" t="inlineStr">
        <is>
          <t>S 2756-2020</t>
        </is>
      </c>
      <c r="B97" t="inlineStr">
        <is>
          <t>samrådsanmälan</t>
        </is>
      </c>
      <c r="C97" t="inlineStr">
        <is>
          <t>Åtgärd i nyckelbiotop</t>
        </is>
      </c>
      <c r="D97" s="1" t="n">
        <v>44098</v>
      </c>
      <c r="E97" s="1" t="n">
        <v>46218</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46218</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46218</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46218</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60205-2021</t>
        </is>
      </c>
      <c r="B101" t="inlineStr">
        <is>
          <t>avverkningsanmälan</t>
        </is>
      </c>
      <c r="C101" t="inlineStr">
        <is>
          <t>Föryngringsavverkning</t>
        </is>
      </c>
      <c r="D101" s="1" t="n">
        <v>44495</v>
      </c>
      <c r="E101" s="1" t="n">
        <v>46218</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60206-2021</t>
        </is>
      </c>
      <c r="B102" t="inlineStr">
        <is>
          <t>avverkningsanmälan</t>
        </is>
      </c>
      <c r="C102" t="inlineStr">
        <is>
          <t>Föryngringsavverkning</t>
        </is>
      </c>
      <c r="D102" s="1" t="n">
        <v>44495</v>
      </c>
      <c r="E102" s="1" t="n">
        <v>46218</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60207-2021</t>
        </is>
      </c>
      <c r="B103" t="inlineStr">
        <is>
          <t>avverkningsanmälan</t>
        </is>
      </c>
      <c r="C103" t="inlineStr">
        <is>
          <t>Föryngringsavverkning</t>
        </is>
      </c>
      <c r="D103" s="1" t="n">
        <v>44495</v>
      </c>
      <c r="E103" s="1" t="n">
        <v>46218</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61083-2021</t>
        </is>
      </c>
      <c r="B104" t="inlineStr">
        <is>
          <t>avverkningsanmälan</t>
        </is>
      </c>
      <c r="C104" t="inlineStr">
        <is>
          <t>Föryngringsavverkning</t>
        </is>
      </c>
      <c r="D104" s="1" t="n">
        <v>44497</v>
      </c>
      <c r="E104" s="1" t="n">
        <v>46218</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70472-2021</t>
        </is>
      </c>
      <c r="B105" t="inlineStr">
        <is>
          <t>avverkningsanmälan</t>
        </is>
      </c>
      <c r="C105" t="inlineStr">
        <is>
          <t>Föryngringsavverkning</t>
        </is>
      </c>
      <c r="D105" s="1" t="n">
        <v>44536</v>
      </c>
      <c r="E105" s="1" t="n">
        <v>46218</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46218</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37560-2021</t>
        </is>
      </c>
      <c r="B107" t="inlineStr">
        <is>
          <t>avverkningsanmälan</t>
        </is>
      </c>
      <c r="C107" t="inlineStr">
        <is>
          <t>Föryngringsavverkning</t>
        </is>
      </c>
      <c r="D107" s="1" t="n">
        <v>44399</v>
      </c>
      <c r="E107" s="1" t="n">
        <v>46218</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40791-2021</t>
        </is>
      </c>
      <c r="B108" t="inlineStr">
        <is>
          <t>avverkningsanmälan</t>
        </is>
      </c>
      <c r="C108" t="inlineStr">
        <is>
          <t>Föryngringsavverkning</t>
        </is>
      </c>
      <c r="D108" s="1" t="n">
        <v>44421</v>
      </c>
      <c r="E108" s="1" t="n">
        <v>46218</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46218</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46218</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46218</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46218</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46218</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46218</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46218</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46218</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54182-2021</t>
        </is>
      </c>
      <c r="B117" t="inlineStr">
        <is>
          <t>avverkningsanmälan</t>
        </is>
      </c>
      <c r="C117" t="inlineStr">
        <is>
          <t>Föryngringsavverkning</t>
        </is>
      </c>
      <c r="D117" s="1" t="n">
        <v>44470</v>
      </c>
      <c r="E117" s="1" t="n">
        <v>46218</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44434-2021</t>
        </is>
      </c>
      <c r="B118" t="inlineStr">
        <is>
          <t>avverkningsanmälan</t>
        </is>
      </c>
      <c r="C118" t="inlineStr">
        <is>
          <t>Föryngringsavverkning</t>
        </is>
      </c>
      <c r="D118" s="1" t="n">
        <v>44435</v>
      </c>
      <c r="E118" s="1" t="n">
        <v>46218</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12477-2022</t>
        </is>
      </c>
      <c r="B119" t="inlineStr">
        <is>
          <t>avverkningsanmälan</t>
        </is>
      </c>
      <c r="C119" t="inlineStr">
        <is>
          <t>Föryngringsavverkning</t>
        </is>
      </c>
      <c r="D119" s="1" t="n">
        <v>44638</v>
      </c>
      <c r="E119" s="1" t="n">
        <v>46218</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46218</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46218</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46218</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46218</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46218</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46218</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46218</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46218</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46218</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46218</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46218</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369-2022</t>
        </is>
      </c>
      <c r="B131" t="inlineStr">
        <is>
          <t>avverkningsanmälan</t>
        </is>
      </c>
      <c r="C131" t="inlineStr">
        <is>
          <t>Föryngringsavverkning</t>
        </is>
      </c>
      <c r="D131" s="1" t="n">
        <v>44565</v>
      </c>
      <c r="E131" s="1" t="n">
        <v>46218</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25797-2022</t>
        </is>
      </c>
      <c r="B132" t="inlineStr">
        <is>
          <t>avverkningsanmälan</t>
        </is>
      </c>
      <c r="C132" t="inlineStr">
        <is>
          <t>Föryngringsavverkning</t>
        </is>
      </c>
      <c r="D132" s="1" t="n">
        <v>44733</v>
      </c>
      <c r="E132" s="1" t="n">
        <v>46218</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37774-2021</t>
        </is>
      </c>
      <c r="B133" t="inlineStr">
        <is>
          <t>avverkningsanmälan</t>
        </is>
      </c>
      <c r="C133" t="inlineStr">
        <is>
          <t>Föryngringsavverkning</t>
        </is>
      </c>
      <c r="D133" s="1" t="n">
        <v>44400</v>
      </c>
      <c r="E133" s="1" t="n">
        <v>46218</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50531-2021</t>
        </is>
      </c>
      <c r="B134" t="inlineStr">
        <is>
          <t>avverkningsanmälan</t>
        </is>
      </c>
      <c r="C134" t="inlineStr">
        <is>
          <t>Föryngringsavverkning</t>
        </is>
      </c>
      <c r="D134" s="1" t="n">
        <v>44459</v>
      </c>
      <c r="E134" s="1" t="n">
        <v>46218</v>
      </c>
      <c r="F134" t="inlineStr">
        <is>
          <t>DALARNAS LÄN</t>
        </is>
      </c>
      <c r="G134" t="inlineStr">
        <is>
          <t>RÄTTVIK</t>
        </is>
      </c>
      <c r="H134" t="inlineStr">
        <is>
          <t>Sveaskog</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52660-2022</t>
        </is>
      </c>
      <c r="B135" t="inlineStr">
        <is>
          <t>avverkningsanmälan</t>
        </is>
      </c>
      <c r="C135" t="inlineStr">
        <is>
          <t>Föryngringsavverkning</t>
        </is>
      </c>
      <c r="D135" s="1" t="n">
        <v>44874</v>
      </c>
      <c r="E135" s="1" t="n">
        <v>46218</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s="2" t="inlineStr"/>
    </row>
    <row r="136" ht="15" customHeight="1">
      <c r="A136" t="inlineStr">
        <is>
          <t>A 57834-2021</t>
        </is>
      </c>
      <c r="B136" t="inlineStr">
        <is>
          <t>avverkningsanmälan</t>
        </is>
      </c>
      <c r="C136" t="inlineStr">
        <is>
          <t>Föryngringsavverkning</t>
        </is>
      </c>
      <c r="D136" s="1" t="n">
        <v>44484</v>
      </c>
      <c r="E136" s="1" t="n">
        <v>46218</v>
      </c>
      <c r="F136" t="inlineStr">
        <is>
          <t>DALARNAS LÄN</t>
        </is>
      </c>
      <c r="G136" t="inlineStr">
        <is>
          <t>RÄTTVIK</t>
        </is>
      </c>
      <c r="H136" t="inlineStr">
        <is>
          <t>Sveaskog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48382-2021</t>
        </is>
      </c>
      <c r="B137" t="inlineStr">
        <is>
          <t>avverkningsanmälan</t>
        </is>
      </c>
      <c r="C137" t="inlineStr">
        <is>
          <t>Föryngringsavverkning</t>
        </is>
      </c>
      <c r="D137" s="1" t="n">
        <v>44451</v>
      </c>
      <c r="E137" s="1" t="n">
        <v>46218</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1042-2022</t>
        </is>
      </c>
      <c r="B138" t="inlineStr">
        <is>
          <t>avverkningsanmälan</t>
        </is>
      </c>
      <c r="C138" t="inlineStr">
        <is>
          <t>Föryngringsavverkning</t>
        </is>
      </c>
      <c r="D138" s="1" t="n">
        <v>44571</v>
      </c>
      <c r="E138" s="1" t="n">
        <v>46218</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53544-2021</t>
        </is>
      </c>
      <c r="B139" t="inlineStr">
        <is>
          <t>avverkningsanmälan</t>
        </is>
      </c>
      <c r="C139" t="inlineStr">
        <is>
          <t>Föryngringsavverkning</t>
        </is>
      </c>
      <c r="D139" s="1" t="n">
        <v>44469</v>
      </c>
      <c r="E139" s="1" t="n">
        <v>46218</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55969-2021</t>
        </is>
      </c>
      <c r="B140" t="inlineStr">
        <is>
          <t>avverkningsanmälan</t>
        </is>
      </c>
      <c r="C140" t="inlineStr">
        <is>
          <t>Föryngringsavverkning</t>
        </is>
      </c>
      <c r="D140" s="1" t="n">
        <v>44477</v>
      </c>
      <c r="E140" s="1" t="n">
        <v>46218</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19216-2022</t>
        </is>
      </c>
      <c r="B141" t="inlineStr">
        <is>
          <t>avverkningsanmälan</t>
        </is>
      </c>
      <c r="C141" t="inlineStr">
        <is>
          <t>Föryngringsavverkning</t>
        </is>
      </c>
      <c r="D141" s="1" t="n">
        <v>44692</v>
      </c>
      <c r="E141" s="1" t="n">
        <v>46218</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39489-2021</t>
        </is>
      </c>
      <c r="B142" t="inlineStr">
        <is>
          <t>avverkningsanmälan</t>
        </is>
      </c>
      <c r="C142" t="inlineStr">
        <is>
          <t>Föryngringsavverkning</t>
        </is>
      </c>
      <c r="D142" s="1" t="n">
        <v>44414</v>
      </c>
      <c r="E142" s="1" t="n">
        <v>46218</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43417-2021</t>
        </is>
      </c>
      <c r="B143" t="inlineStr">
        <is>
          <t>avverkningsanmälan</t>
        </is>
      </c>
      <c r="C143" t="inlineStr">
        <is>
          <t>Föryngringsavverkning</t>
        </is>
      </c>
      <c r="D143" s="1" t="n">
        <v>44432</v>
      </c>
      <c r="E143" s="1" t="n">
        <v>46218</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31407-2022</t>
        </is>
      </c>
      <c r="B144" t="inlineStr">
        <is>
          <t>avverkningsanmälan</t>
        </is>
      </c>
      <c r="C144" t="inlineStr">
        <is>
          <t>Föryngringsavverkning</t>
        </is>
      </c>
      <c r="D144" s="1" t="n">
        <v>44774</v>
      </c>
      <c r="E144" s="1" t="n">
        <v>46218</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43804-2022</t>
        </is>
      </c>
      <c r="B145" t="inlineStr">
        <is>
          <t>avverkningsanmälan</t>
        </is>
      </c>
      <c r="C145" t="inlineStr">
        <is>
          <t>Föryngringsavverkning</t>
        </is>
      </c>
      <c r="D145" s="1" t="n">
        <v>44838</v>
      </c>
      <c r="E145" s="1" t="n">
        <v>46218</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73899-2021</t>
        </is>
      </c>
      <c r="B146" t="inlineStr">
        <is>
          <t>avverkningsanmälan</t>
        </is>
      </c>
      <c r="C146" t="inlineStr">
        <is>
          <t>Föryngringsavverkning</t>
        </is>
      </c>
      <c r="D146" s="1" t="n">
        <v>44552</v>
      </c>
      <c r="E146" s="1" t="n">
        <v>46218</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s="2" t="inlineStr"/>
    </row>
    <row r="147" ht="15" customHeight="1">
      <c r="A147" t="inlineStr">
        <is>
          <t>A 24595-2022</t>
        </is>
      </c>
      <c r="B147" t="inlineStr">
        <is>
          <t>avverkningsanmälan</t>
        </is>
      </c>
      <c r="C147" t="inlineStr">
        <is>
          <t>Föryngringsavverkning</t>
        </is>
      </c>
      <c r="D147" s="1" t="n">
        <v>44727</v>
      </c>
      <c r="E147" s="1" t="n">
        <v>46218</v>
      </c>
      <c r="F147" t="inlineStr">
        <is>
          <t>DALARNAS LÄN</t>
        </is>
      </c>
      <c r="G147" t="inlineStr">
        <is>
          <t>RÄTTVIK</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74333-2021</t>
        </is>
      </c>
      <c r="B148" t="inlineStr">
        <is>
          <t>avverkningsanmälan</t>
        </is>
      </c>
      <c r="C148" t="inlineStr">
        <is>
          <t>Föryngringsavverkning</t>
        </is>
      </c>
      <c r="D148" s="1" t="n">
        <v>44559</v>
      </c>
      <c r="E148" s="1" t="n">
        <v>46218</v>
      </c>
      <c r="F148" t="inlineStr">
        <is>
          <t>DALARNAS LÄN</t>
        </is>
      </c>
      <c r="G148" t="inlineStr">
        <is>
          <t>RÄTTVIK</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35706-2022</t>
        </is>
      </c>
      <c r="B149" t="inlineStr">
        <is>
          <t>avverkningsanmälan</t>
        </is>
      </c>
      <c r="C149" t="inlineStr">
        <is>
          <t>Föryngringsavverkning</t>
        </is>
      </c>
      <c r="D149" s="1" t="n">
        <v>44799</v>
      </c>
      <c r="E149" s="1" t="n">
        <v>46218</v>
      </c>
      <c r="F149" t="inlineStr">
        <is>
          <t>DALARNAS LÄN</t>
        </is>
      </c>
      <c r="G149" t="inlineStr">
        <is>
          <t>RÄTTVIK</t>
        </is>
      </c>
      <c r="H149" t="inlineStr">
        <is>
          <t>Sveaskog</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49707-2022</t>
        </is>
      </c>
      <c r="B150" t="inlineStr">
        <is>
          <t>avverkningsanmälan</t>
        </is>
      </c>
      <c r="C150" t="inlineStr">
        <is>
          <t>Föryngringsavverkning</t>
        </is>
      </c>
      <c r="D150" s="1" t="n">
        <v>44862</v>
      </c>
      <c r="E150" s="1" t="n">
        <v>46218</v>
      </c>
      <c r="F150" t="inlineStr">
        <is>
          <t>DALARNAS LÄN</t>
        </is>
      </c>
      <c r="G150" t="inlineStr">
        <is>
          <t>RÄTTVIK</t>
        </is>
      </c>
      <c r="H150" t="inlineStr">
        <is>
          <t>Sveaskog</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70544-2021</t>
        </is>
      </c>
      <c r="B151" t="inlineStr">
        <is>
          <t>avverkningsanmälan</t>
        </is>
      </c>
      <c r="C151" t="inlineStr">
        <is>
          <t>Föryngringsavverkning</t>
        </is>
      </c>
      <c r="D151" s="1" t="n">
        <v>44537</v>
      </c>
      <c r="E151" s="1" t="n">
        <v>46218</v>
      </c>
      <c r="F151" t="inlineStr">
        <is>
          <t>DALARNAS LÄN</t>
        </is>
      </c>
      <c r="G151" t="inlineStr">
        <is>
          <t>RÄTTVIK</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12504-2022</t>
        </is>
      </c>
      <c r="B152" t="inlineStr">
        <is>
          <t>avverkningsanmälan</t>
        </is>
      </c>
      <c r="C152" t="inlineStr">
        <is>
          <t>Avverkning för annat ändamål</t>
        </is>
      </c>
      <c r="D152" s="1" t="n">
        <v>44638</v>
      </c>
      <c r="E152" s="1" t="n">
        <v>46218</v>
      </c>
      <c r="F152" t="inlineStr">
        <is>
          <t>DALARNAS LÄN</t>
        </is>
      </c>
      <c r="G152" t="inlineStr">
        <is>
          <t>RÄTTVIK</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30583-2022</t>
        </is>
      </c>
      <c r="B153" t="inlineStr">
        <is>
          <t>avverkningsanmälan</t>
        </is>
      </c>
      <c r="C153" t="inlineStr">
        <is>
          <t>Föryngringsavverkning</t>
        </is>
      </c>
      <c r="D153" s="1" t="n">
        <v>44762</v>
      </c>
      <c r="E153" s="1" t="n">
        <v>46218</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58829-2021</t>
        </is>
      </c>
      <c r="B154" t="inlineStr">
        <is>
          <t>avverkningsanmälan</t>
        </is>
      </c>
      <c r="C154" t="inlineStr">
        <is>
          <t>Föryngringsavverkning</t>
        </is>
      </c>
      <c r="D154" s="1" t="n">
        <v>44489</v>
      </c>
      <c r="E154" s="1" t="n">
        <v>46218</v>
      </c>
      <c r="F154" t="inlineStr">
        <is>
          <t>DALARNAS LÄN</t>
        </is>
      </c>
      <c r="G154" t="inlineStr">
        <is>
          <t>RÄTTVIK</t>
        </is>
      </c>
      <c r="H154" t="inlineStr">
        <is>
          <t>Sveaskog</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73350-2021</t>
        </is>
      </c>
      <c r="B155" t="inlineStr">
        <is>
          <t>avverkningsanmälan</t>
        </is>
      </c>
      <c r="C155" t="inlineStr">
        <is>
          <t>Föryngringsavverkning</t>
        </is>
      </c>
      <c r="D155" s="1" t="n">
        <v>44551</v>
      </c>
      <c r="E155" s="1" t="n">
        <v>46218</v>
      </c>
      <c r="F155" t="inlineStr">
        <is>
          <t>DALARNAS LÄN</t>
        </is>
      </c>
      <c r="G155" t="inlineStr">
        <is>
          <t>RÄTTVIK</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44985-2022</t>
        </is>
      </c>
      <c r="B156" t="inlineStr">
        <is>
          <t>avverkningsanmälan</t>
        </is>
      </c>
      <c r="C156" t="inlineStr">
        <is>
          <t>Avverkning för annat ändamål</t>
        </is>
      </c>
      <c r="D156" s="1" t="n">
        <v>44841</v>
      </c>
      <c r="E156" s="1" t="n">
        <v>46218</v>
      </c>
      <c r="F156" t="inlineStr">
        <is>
          <t>DALARNAS LÄN</t>
        </is>
      </c>
      <c r="G156" t="inlineStr">
        <is>
          <t>RÄTTVIK</t>
        </is>
      </c>
      <c r="H156" t="inlineStr">
        <is>
          <t>Bergvik skog väst AB</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70730-2021</t>
        </is>
      </c>
      <c r="B157" t="inlineStr">
        <is>
          <t>avverkningsanmälan</t>
        </is>
      </c>
      <c r="C157" t="inlineStr">
        <is>
          <t>Föryngringsavverkning</t>
        </is>
      </c>
      <c r="D157" s="1" t="n">
        <v>44537</v>
      </c>
      <c r="E157" s="1" t="n">
        <v>46218</v>
      </c>
      <c r="F157" t="inlineStr">
        <is>
          <t>DALARNAS LÄN</t>
        </is>
      </c>
      <c r="G157" t="inlineStr">
        <is>
          <t>RÄTTVIK</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70737-2021</t>
        </is>
      </c>
      <c r="B158" t="inlineStr">
        <is>
          <t>avverkningsanmälan</t>
        </is>
      </c>
      <c r="C158" t="inlineStr">
        <is>
          <t>Föryngringsavverkning</t>
        </is>
      </c>
      <c r="D158" s="1" t="n">
        <v>44537</v>
      </c>
      <c r="E158" s="1" t="n">
        <v>46218</v>
      </c>
      <c r="F158" t="inlineStr">
        <is>
          <t>DALARNAS LÄN</t>
        </is>
      </c>
      <c r="G158" t="inlineStr">
        <is>
          <t>RÄTTVIK</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34569-2022</t>
        </is>
      </c>
      <c r="B159" t="inlineStr">
        <is>
          <t>avverkningsanmälan</t>
        </is>
      </c>
      <c r="C159" t="inlineStr">
        <is>
          <t>Föryngringsavverkning</t>
        </is>
      </c>
      <c r="D159" s="1" t="n">
        <v>44795</v>
      </c>
      <c r="E159" s="1" t="n">
        <v>46218</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17461-2022</t>
        </is>
      </c>
      <c r="B160" t="inlineStr">
        <is>
          <t>avverkningsanmälan</t>
        </is>
      </c>
      <c r="C160" t="inlineStr">
        <is>
          <t>Föryngringsavverkning</t>
        </is>
      </c>
      <c r="D160" s="1" t="n">
        <v>44679</v>
      </c>
      <c r="E160" s="1" t="n">
        <v>46218</v>
      </c>
      <c r="F160" t="inlineStr">
        <is>
          <t>DALARNAS LÄN</t>
        </is>
      </c>
      <c r="G160" t="inlineStr">
        <is>
          <t>RÄTTVIK</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17462-2022</t>
        </is>
      </c>
      <c r="B161" t="inlineStr">
        <is>
          <t>avverkningsanmälan</t>
        </is>
      </c>
      <c r="C161" t="inlineStr">
        <is>
          <t>Föryngringsavverkning</t>
        </is>
      </c>
      <c r="D161" s="1" t="n">
        <v>44679</v>
      </c>
      <c r="E161" s="1" t="n">
        <v>46218</v>
      </c>
      <c r="F161" t="inlineStr">
        <is>
          <t>DALARNAS LÄN</t>
        </is>
      </c>
      <c r="G161" t="inlineStr">
        <is>
          <t>RÄTTVIK</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41199-2021</t>
        </is>
      </c>
      <c r="B162" t="inlineStr">
        <is>
          <t>avverkningsanmälan</t>
        </is>
      </c>
      <c r="C162" t="inlineStr">
        <is>
          <t>Föryngringsavverkning</t>
        </is>
      </c>
      <c r="D162" s="1" t="n">
        <v>44424</v>
      </c>
      <c r="E162" s="1" t="n">
        <v>46218</v>
      </c>
      <c r="F162" t="inlineStr">
        <is>
          <t>DALARNAS LÄN</t>
        </is>
      </c>
      <c r="G162" t="inlineStr">
        <is>
          <t>RÄTTVIK</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45623-2022</t>
        </is>
      </c>
      <c r="B163" t="inlineStr">
        <is>
          <t>avverkningsanmälan</t>
        </is>
      </c>
      <c r="C163" t="inlineStr">
        <is>
          <t>Föryngringsavverkning</t>
        </is>
      </c>
      <c r="D163" s="1" t="n">
        <v>44845</v>
      </c>
      <c r="E163" s="1" t="n">
        <v>46218</v>
      </c>
      <c r="F163" t="inlineStr">
        <is>
          <t>DALARNAS LÄN</t>
        </is>
      </c>
      <c r="G163" t="inlineStr">
        <is>
          <t>RÄTTVIK</t>
        </is>
      </c>
      <c r="H163" t="inlineStr">
        <is>
          <t>Sveaskog</t>
        </is>
      </c>
      <c r="I163" t="n">
        <v>3.9</v>
      </c>
      <c r="J163" t="n">
        <v>0</v>
      </c>
      <c r="K163" t="n">
        <v>0</v>
      </c>
      <c r="L163" t="n">
        <v>0</v>
      </c>
      <c r="M163" t="n">
        <v>0</v>
      </c>
      <c r="N163" t="n">
        <v>0</v>
      </c>
      <c r="O163" t="n">
        <v>0</v>
      </c>
      <c r="P163" t="n">
        <v>0</v>
      </c>
      <c r="Q163" t="n">
        <v>0</v>
      </c>
      <c r="R163" t="n">
        <v>0</v>
      </c>
      <c r="S163" t="n">
        <v>0</v>
      </c>
      <c r="T163" t="n">
        <v>0</v>
      </c>
      <c r="U163" s="2" t="inlineStr"/>
    </row>
    <row r="164" ht="15" customHeight="1">
      <c r="A164" t="inlineStr">
        <is>
          <t>A 33530-2022</t>
        </is>
      </c>
      <c r="B164" t="inlineStr">
        <is>
          <t>avverkningsanmälan</t>
        </is>
      </c>
      <c r="C164" t="inlineStr">
        <is>
          <t>Föryngringsavverkning</t>
        </is>
      </c>
      <c r="D164" s="1" t="n">
        <v>44789</v>
      </c>
      <c r="E164" s="1" t="n">
        <v>46218</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s="2" t="inlineStr"/>
    </row>
    <row r="165" ht="15" customHeight="1">
      <c r="A165" t="inlineStr">
        <is>
          <t>A 2181-2022</t>
        </is>
      </c>
      <c r="B165" t="inlineStr">
        <is>
          <t>avverkningsanmälan</t>
        </is>
      </c>
      <c r="C165" t="inlineStr">
        <is>
          <t>Föryngringsavverkning</t>
        </is>
      </c>
      <c r="D165" s="1" t="n">
        <v>44578</v>
      </c>
      <c r="E165" s="1" t="n">
        <v>46218</v>
      </c>
      <c r="F165" t="inlineStr">
        <is>
          <t>DALARNAS LÄN</t>
        </is>
      </c>
      <c r="G165" t="inlineStr">
        <is>
          <t>RÄTTVIK</t>
        </is>
      </c>
      <c r="I165" t="n">
        <v>2.8</v>
      </c>
      <c r="J165" t="n">
        <v>0</v>
      </c>
      <c r="K165" t="n">
        <v>0</v>
      </c>
      <c r="L165" t="n">
        <v>0</v>
      </c>
      <c r="M165" t="n">
        <v>0</v>
      </c>
      <c r="N165" t="n">
        <v>0</v>
      </c>
      <c r="O165" t="n">
        <v>0</v>
      </c>
      <c r="P165" t="n">
        <v>0</v>
      </c>
      <c r="Q165" t="n">
        <v>0</v>
      </c>
      <c r="R165" t="n">
        <v>0</v>
      </c>
      <c r="S165" t="n">
        <v>0</v>
      </c>
      <c r="T165" t="n">
        <v>0</v>
      </c>
      <c r="U165" s="2" t="inlineStr"/>
    </row>
    <row r="166" ht="15" customHeight="1">
      <c r="A166" t="inlineStr">
        <is>
          <t>A 70115-2021</t>
        </is>
      </c>
      <c r="B166" t="inlineStr">
        <is>
          <t>avverkningsanmälan</t>
        </is>
      </c>
      <c r="C166" t="inlineStr">
        <is>
          <t>Föryngringsavverkning</t>
        </is>
      </c>
      <c r="D166" s="1" t="n">
        <v>44533</v>
      </c>
      <c r="E166" s="1" t="n">
        <v>46218</v>
      </c>
      <c r="F166" t="inlineStr">
        <is>
          <t>DALARNAS LÄN</t>
        </is>
      </c>
      <c r="G166" t="inlineStr">
        <is>
          <t>RÄTTVIK</t>
        </is>
      </c>
      <c r="I166" t="n">
        <v>3.8</v>
      </c>
      <c r="J166" t="n">
        <v>0</v>
      </c>
      <c r="K166" t="n">
        <v>0</v>
      </c>
      <c r="L166" t="n">
        <v>0</v>
      </c>
      <c r="M166" t="n">
        <v>0</v>
      </c>
      <c r="N166" t="n">
        <v>0</v>
      </c>
      <c r="O166" t="n">
        <v>0</v>
      </c>
      <c r="P166" t="n">
        <v>0</v>
      </c>
      <c r="Q166" t="n">
        <v>0</v>
      </c>
      <c r="R166" t="n">
        <v>0</v>
      </c>
      <c r="S166" t="n">
        <v>0</v>
      </c>
      <c r="T166" t="n">
        <v>0</v>
      </c>
      <c r="U166" s="2" t="inlineStr"/>
    </row>
    <row r="167" ht="15" customHeight="1">
      <c r="A167" t="inlineStr">
        <is>
          <t>A 64315-2021</t>
        </is>
      </c>
      <c r="B167" t="inlineStr">
        <is>
          <t>avverkningsanmälan</t>
        </is>
      </c>
      <c r="C167" t="inlineStr">
        <is>
          <t>Föryngringsavverkning</t>
        </is>
      </c>
      <c r="D167" s="1" t="n">
        <v>44511</v>
      </c>
      <c r="E167" s="1" t="n">
        <v>46218</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2390-2022</t>
        </is>
      </c>
      <c r="B168" t="inlineStr">
        <is>
          <t>avverkningsanmälan</t>
        </is>
      </c>
      <c r="C168" t="inlineStr">
        <is>
          <t>Föryngringsavverkning</t>
        </is>
      </c>
      <c r="D168" s="1" t="n">
        <v>44579</v>
      </c>
      <c r="E168" s="1" t="n">
        <v>46218</v>
      </c>
      <c r="F168" t="inlineStr">
        <is>
          <t>DALARNAS LÄN</t>
        </is>
      </c>
      <c r="G168" t="inlineStr">
        <is>
          <t>RÄTTVIK</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49232-2021</t>
        </is>
      </c>
      <c r="B169" t="inlineStr">
        <is>
          <t>avverkningsanmälan</t>
        </is>
      </c>
      <c r="C169" t="inlineStr">
        <is>
          <t>Föryngringsavverkning</t>
        </is>
      </c>
      <c r="D169" s="1" t="n">
        <v>44454</v>
      </c>
      <c r="E169" s="1" t="n">
        <v>46218</v>
      </c>
      <c r="F169" t="inlineStr">
        <is>
          <t>DALARNAS LÄN</t>
        </is>
      </c>
      <c r="G169" t="inlineStr">
        <is>
          <t>RÄTTVIK</t>
        </is>
      </c>
      <c r="I169" t="n">
        <v>2.4</v>
      </c>
      <c r="J169" t="n">
        <v>0</v>
      </c>
      <c r="K169" t="n">
        <v>0</v>
      </c>
      <c r="L169" t="n">
        <v>0</v>
      </c>
      <c r="M169" t="n">
        <v>0</v>
      </c>
      <c r="N169" t="n">
        <v>0</v>
      </c>
      <c r="O169" t="n">
        <v>0</v>
      </c>
      <c r="P169" t="n">
        <v>0</v>
      </c>
      <c r="Q169" t="n">
        <v>0</v>
      </c>
      <c r="R169" t="n">
        <v>0</v>
      </c>
      <c r="S169" t="n">
        <v>0</v>
      </c>
      <c r="T169" t="n">
        <v>0</v>
      </c>
      <c r="U169" s="2" t="inlineStr"/>
    </row>
    <row r="170" ht="15" customHeight="1">
      <c r="A170" t="inlineStr">
        <is>
          <t>A 25697-2022</t>
        </is>
      </c>
      <c r="B170" t="inlineStr">
        <is>
          <t>avverkningsanmälan</t>
        </is>
      </c>
      <c r="C170" t="inlineStr">
        <is>
          <t>Föryngringsavverkning</t>
        </is>
      </c>
      <c r="D170" s="1" t="n">
        <v>44732</v>
      </c>
      <c r="E170" s="1" t="n">
        <v>46218</v>
      </c>
      <c r="F170" t="inlineStr">
        <is>
          <t>DALARNAS LÄN</t>
        </is>
      </c>
      <c r="G170" t="inlineStr">
        <is>
          <t>RÄTTVIK</t>
        </is>
      </c>
      <c r="I170" t="n">
        <v>8.9</v>
      </c>
      <c r="J170" t="n">
        <v>0</v>
      </c>
      <c r="K170" t="n">
        <v>0</v>
      </c>
      <c r="L170" t="n">
        <v>0</v>
      </c>
      <c r="M170" t="n">
        <v>0</v>
      </c>
      <c r="N170" t="n">
        <v>0</v>
      </c>
      <c r="O170" t="n">
        <v>0</v>
      </c>
      <c r="P170" t="n">
        <v>0</v>
      </c>
      <c r="Q170" t="n">
        <v>0</v>
      </c>
      <c r="R170" t="n">
        <v>0</v>
      </c>
      <c r="S170" t="n">
        <v>0</v>
      </c>
      <c r="T170" t="n">
        <v>0</v>
      </c>
      <c r="U170" s="2" t="inlineStr"/>
    </row>
    <row r="171" ht="15" customHeight="1">
      <c r="A171" t="inlineStr">
        <is>
          <t>A 60165-2023</t>
        </is>
      </c>
      <c r="B171" t="inlineStr">
        <is>
          <t>avverkningsanmälan</t>
        </is>
      </c>
      <c r="C171" t="inlineStr">
        <is>
          <t>Föryngringsavverkning</t>
        </is>
      </c>
      <c r="D171" s="1" t="n">
        <v>45258</v>
      </c>
      <c r="E171" s="1" t="n">
        <v>46218</v>
      </c>
      <c r="F171" t="inlineStr">
        <is>
          <t>DALARNAS LÄN</t>
        </is>
      </c>
      <c r="G171" t="inlineStr">
        <is>
          <t>RÄTTVIK</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28567-2022</t>
        </is>
      </c>
      <c r="B172" t="inlineStr">
        <is>
          <t>avverkningsanmälan</t>
        </is>
      </c>
      <c r="C172" t="inlineStr">
        <is>
          <t>Föryngringsavverkning</t>
        </is>
      </c>
      <c r="D172" s="1" t="n">
        <v>44748</v>
      </c>
      <c r="E172" s="1" t="n">
        <v>46218</v>
      </c>
      <c r="F172" t="inlineStr">
        <is>
          <t>DALARNAS LÄN</t>
        </is>
      </c>
      <c r="G172" t="inlineStr">
        <is>
          <t>RÄTTVIK</t>
        </is>
      </c>
      <c r="I172" t="n">
        <v>3.6</v>
      </c>
      <c r="J172" t="n">
        <v>0</v>
      </c>
      <c r="K172" t="n">
        <v>0</v>
      </c>
      <c r="L172" t="n">
        <v>0</v>
      </c>
      <c r="M172" t="n">
        <v>0</v>
      </c>
      <c r="N172" t="n">
        <v>0</v>
      </c>
      <c r="O172" t="n">
        <v>0</v>
      </c>
      <c r="P172" t="n">
        <v>0</v>
      </c>
      <c r="Q172" t="n">
        <v>0</v>
      </c>
      <c r="R172" t="n">
        <v>0</v>
      </c>
      <c r="S172" t="n">
        <v>0</v>
      </c>
      <c r="T172" t="n">
        <v>0</v>
      </c>
      <c r="U172" s="2" t="inlineStr"/>
    </row>
    <row r="173" ht="15" customHeight="1">
      <c r="A173" t="inlineStr">
        <is>
          <t>A 37852-2021</t>
        </is>
      </c>
      <c r="B173" t="inlineStr">
        <is>
          <t>avverkningsanmälan</t>
        </is>
      </c>
      <c r="C173" t="inlineStr">
        <is>
          <t>Föryngringsavverkning</t>
        </is>
      </c>
      <c r="D173" s="1" t="n">
        <v>44403</v>
      </c>
      <c r="E173" s="1" t="n">
        <v>46218</v>
      </c>
      <c r="F173" t="inlineStr">
        <is>
          <t>DALARNAS LÄN</t>
        </is>
      </c>
      <c r="G173" t="inlineStr">
        <is>
          <t>RÄTTVIK</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1601-2022</t>
        </is>
      </c>
      <c r="B174" t="inlineStr">
        <is>
          <t>avverkningsanmälan</t>
        </is>
      </c>
      <c r="C174" t="inlineStr">
        <is>
          <t>Föryngringsavverkning</t>
        </is>
      </c>
      <c r="D174" s="1" t="n">
        <v>44573</v>
      </c>
      <c r="E174" s="1" t="n">
        <v>46218</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19619-2024</t>
        </is>
      </c>
      <c r="B175" t="inlineStr">
        <is>
          <t>avverkningsanmälan</t>
        </is>
      </c>
      <c r="C175" t="inlineStr">
        <is>
          <t>Föryngringsavverkning</t>
        </is>
      </c>
      <c r="D175" s="1" t="n">
        <v>45432</v>
      </c>
      <c r="E175" s="1" t="n">
        <v>46218</v>
      </c>
      <c r="F175" t="inlineStr">
        <is>
          <t>DALARNAS LÄN</t>
        </is>
      </c>
      <c r="G175" t="inlineStr">
        <is>
          <t>RÄTTVIK</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490-2023</t>
        </is>
      </c>
      <c r="B176" t="inlineStr">
        <is>
          <t>avverkningsanmälan</t>
        </is>
      </c>
      <c r="C176" t="inlineStr">
        <is>
          <t>Föryngringsavverkning</t>
        </is>
      </c>
      <c r="D176" s="1" t="n">
        <v>44930</v>
      </c>
      <c r="E176" s="1" t="n">
        <v>46218</v>
      </c>
      <c r="F176" t="inlineStr">
        <is>
          <t>DALARNAS LÄN</t>
        </is>
      </c>
      <c r="G176" t="inlineStr">
        <is>
          <t>RÄTTVIK</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492-2023</t>
        </is>
      </c>
      <c r="B177" t="inlineStr">
        <is>
          <t>avverkningsanmälan</t>
        </is>
      </c>
      <c r="C177" t="inlineStr">
        <is>
          <t>Föryngringsavverkning</t>
        </is>
      </c>
      <c r="D177" s="1" t="n">
        <v>44930</v>
      </c>
      <c r="E177" s="1" t="n">
        <v>46218</v>
      </c>
      <c r="F177" t="inlineStr">
        <is>
          <t>DALARNAS LÄN</t>
        </is>
      </c>
      <c r="G177" t="inlineStr">
        <is>
          <t>RÄTTVIK</t>
        </is>
      </c>
      <c r="I177" t="n">
        <v>7.1</v>
      </c>
      <c r="J177" t="n">
        <v>0</v>
      </c>
      <c r="K177" t="n">
        <v>0</v>
      </c>
      <c r="L177" t="n">
        <v>0</v>
      </c>
      <c r="M177" t="n">
        <v>0</v>
      </c>
      <c r="N177" t="n">
        <v>0</v>
      </c>
      <c r="O177" t="n">
        <v>0</v>
      </c>
      <c r="P177" t="n">
        <v>0</v>
      </c>
      <c r="Q177" t="n">
        <v>0</v>
      </c>
      <c r="R177" t="n">
        <v>0</v>
      </c>
      <c r="S177" t="n">
        <v>0</v>
      </c>
      <c r="T177" t="n">
        <v>0</v>
      </c>
      <c r="U177" s="2" t="inlineStr"/>
    </row>
    <row r="178" ht="15" customHeight="1">
      <c r="A178" t="inlineStr">
        <is>
          <t>A 493-2023</t>
        </is>
      </c>
      <c r="B178" t="inlineStr">
        <is>
          <t>avverkningsanmälan</t>
        </is>
      </c>
      <c r="C178" t="inlineStr">
        <is>
          <t>Föryngringsavverkning</t>
        </is>
      </c>
      <c r="D178" s="1" t="n">
        <v>44930</v>
      </c>
      <c r="E178" s="1" t="n">
        <v>46218</v>
      </c>
      <c r="F178" t="inlineStr">
        <is>
          <t>DALARNAS LÄN</t>
        </is>
      </c>
      <c r="G178" t="inlineStr">
        <is>
          <t>RÄTTVIK</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14193-2022</t>
        </is>
      </c>
      <c r="B179" t="inlineStr">
        <is>
          <t>avverkningsanmälan</t>
        </is>
      </c>
      <c r="C179" t="inlineStr">
        <is>
          <t>Föryngringsavverkning</t>
        </is>
      </c>
      <c r="D179" s="1" t="n">
        <v>44651</v>
      </c>
      <c r="E179" s="1" t="n">
        <v>46218</v>
      </c>
      <c r="F179" t="inlineStr">
        <is>
          <t>DALARNAS LÄN</t>
        </is>
      </c>
      <c r="G179" t="inlineStr">
        <is>
          <t>RÄTTVIK</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62207-2023</t>
        </is>
      </c>
      <c r="B180" t="inlineStr">
        <is>
          <t>avverkningsanmälan</t>
        </is>
      </c>
      <c r="C180" t="inlineStr">
        <is>
          <t>Föryngringsavverkning</t>
        </is>
      </c>
      <c r="D180" s="1" t="n">
        <v>45267</v>
      </c>
      <c r="E180" s="1" t="n">
        <v>46218</v>
      </c>
      <c r="F180" t="inlineStr">
        <is>
          <t>DALARNAS LÄN</t>
        </is>
      </c>
      <c r="G180" t="inlineStr">
        <is>
          <t>RÄTTVIK</t>
        </is>
      </c>
      <c r="I180" t="n">
        <v>2</v>
      </c>
      <c r="J180" t="n">
        <v>0</v>
      </c>
      <c r="K180" t="n">
        <v>0</v>
      </c>
      <c r="L180" t="n">
        <v>0</v>
      </c>
      <c r="M180" t="n">
        <v>0</v>
      </c>
      <c r="N180" t="n">
        <v>0</v>
      </c>
      <c r="O180" t="n">
        <v>0</v>
      </c>
      <c r="P180" t="n">
        <v>0</v>
      </c>
      <c r="Q180" t="n">
        <v>0</v>
      </c>
      <c r="R180" t="n">
        <v>0</v>
      </c>
      <c r="S180" t="n">
        <v>0</v>
      </c>
      <c r="T180" t="n">
        <v>0</v>
      </c>
      <c r="U180" s="2" t="inlineStr"/>
    </row>
    <row r="181" ht="15" customHeight="1">
      <c r="A181" t="inlineStr">
        <is>
          <t>A 45983-2021</t>
        </is>
      </c>
      <c r="B181" t="inlineStr">
        <is>
          <t>avverkningsanmälan</t>
        </is>
      </c>
      <c r="C181" t="inlineStr">
        <is>
          <t>Föryngringsavverkning</t>
        </is>
      </c>
      <c r="D181" s="1" t="n">
        <v>44441</v>
      </c>
      <c r="E181" s="1" t="n">
        <v>46218</v>
      </c>
      <c r="F181" t="inlineStr">
        <is>
          <t>DALARNAS LÄN</t>
        </is>
      </c>
      <c r="G181" t="inlineStr">
        <is>
          <t>RÄTTVIK</t>
        </is>
      </c>
      <c r="H181" t="inlineStr">
        <is>
          <t>Sveaskog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39770-2022</t>
        </is>
      </c>
      <c r="B182" t="inlineStr">
        <is>
          <t>avverkningsanmälan</t>
        </is>
      </c>
      <c r="C182" t="inlineStr">
        <is>
          <t>Föryngringsavverkning</t>
        </is>
      </c>
      <c r="D182" s="1" t="n">
        <v>44819</v>
      </c>
      <c r="E182" s="1" t="n">
        <v>46218</v>
      </c>
      <c r="F182" t="inlineStr">
        <is>
          <t>DALARNAS LÄN</t>
        </is>
      </c>
      <c r="G182" t="inlineStr">
        <is>
          <t>RÄTTVIK</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3722-2024</t>
        </is>
      </c>
      <c r="B183" t="inlineStr">
        <is>
          <t>avverkningsanmälan</t>
        </is>
      </c>
      <c r="C183" t="inlineStr">
        <is>
          <t>Föryngringsavverkning</t>
        </is>
      </c>
      <c r="D183" s="1" t="n">
        <v>45321</v>
      </c>
      <c r="E183" s="1" t="n">
        <v>46218</v>
      </c>
      <c r="F183" t="inlineStr">
        <is>
          <t>DALARNAS LÄN</t>
        </is>
      </c>
      <c r="G183" t="inlineStr">
        <is>
          <t>RÄTTVIK</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57827-2021</t>
        </is>
      </c>
      <c r="B184" t="inlineStr">
        <is>
          <t>avverkningsanmälan</t>
        </is>
      </c>
      <c r="C184" t="inlineStr">
        <is>
          <t>Föryngringsavverkning</t>
        </is>
      </c>
      <c r="D184" s="1" t="n">
        <v>44484</v>
      </c>
      <c r="E184" s="1" t="n">
        <v>46218</v>
      </c>
      <c r="F184" t="inlineStr">
        <is>
          <t>DALARNAS LÄN</t>
        </is>
      </c>
      <c r="G184" t="inlineStr">
        <is>
          <t>RÄTTVIK</t>
        </is>
      </c>
      <c r="H184" t="inlineStr">
        <is>
          <t>Sveaskog</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20403-2025</t>
        </is>
      </c>
      <c r="B185" t="inlineStr">
        <is>
          <t>avverkningsanmälan</t>
        </is>
      </c>
      <c r="C185" t="inlineStr">
        <is>
          <t>Föryngringsavverkning</t>
        </is>
      </c>
      <c r="D185" s="1" t="n">
        <v>45775</v>
      </c>
      <c r="E185" s="1" t="n">
        <v>46218</v>
      </c>
      <c r="F185" t="inlineStr">
        <is>
          <t>DALARNAS LÄN</t>
        </is>
      </c>
      <c r="G185" t="inlineStr">
        <is>
          <t>RÄTTVIK</t>
        </is>
      </c>
      <c r="H185" t="inlineStr">
        <is>
          <t>Övriga statliga verk och myndigheter</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44142-2022</t>
        </is>
      </c>
      <c r="B186" t="inlineStr">
        <is>
          <t>avverkningsanmälan</t>
        </is>
      </c>
      <c r="C186" t="inlineStr">
        <is>
          <t>Föryngringsavverkning</t>
        </is>
      </c>
      <c r="D186" s="1" t="n">
        <v>44839</v>
      </c>
      <c r="E186" s="1" t="n">
        <v>46218</v>
      </c>
      <c r="F186" t="inlineStr">
        <is>
          <t>DALARNAS LÄN</t>
        </is>
      </c>
      <c r="G186" t="inlineStr">
        <is>
          <t>RÄTTVIK</t>
        </is>
      </c>
      <c r="H186" t="inlineStr">
        <is>
          <t>Sveaskog</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44148-2022</t>
        </is>
      </c>
      <c r="B187" t="inlineStr">
        <is>
          <t>avverkningsanmälan</t>
        </is>
      </c>
      <c r="C187" t="inlineStr">
        <is>
          <t>Föryngringsavverkning</t>
        </is>
      </c>
      <c r="D187" s="1" t="n">
        <v>44839</v>
      </c>
      <c r="E187" s="1" t="n">
        <v>46218</v>
      </c>
      <c r="F187" t="inlineStr">
        <is>
          <t>DALARNAS LÄN</t>
        </is>
      </c>
      <c r="G187" t="inlineStr">
        <is>
          <t>RÄTTVIK</t>
        </is>
      </c>
      <c r="H187" t="inlineStr">
        <is>
          <t>Sveaskog</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27921-2023</t>
        </is>
      </c>
      <c r="B188" t="inlineStr">
        <is>
          <t>avverkningsanmälan</t>
        </is>
      </c>
      <c r="C188" t="inlineStr">
        <is>
          <t>Föryngringsavverkning</t>
        </is>
      </c>
      <c r="D188" s="1" t="n">
        <v>45098</v>
      </c>
      <c r="E188" s="1" t="n">
        <v>46218</v>
      </c>
      <c r="F188" t="inlineStr">
        <is>
          <t>DALARNAS LÄN</t>
        </is>
      </c>
      <c r="G188" t="inlineStr">
        <is>
          <t>RÄTTVIK</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18487-2024</t>
        </is>
      </c>
      <c r="B189" t="inlineStr">
        <is>
          <t>avverkningsanmälan</t>
        </is>
      </c>
      <c r="C189" t="inlineStr">
        <is>
          <t>Föryngringsavverkning</t>
        </is>
      </c>
      <c r="D189" s="1" t="n">
        <v>45425</v>
      </c>
      <c r="E189" s="1" t="n">
        <v>46218</v>
      </c>
      <c r="F189" t="inlineStr">
        <is>
          <t>DALARNAS LÄN</t>
        </is>
      </c>
      <c r="G189" t="inlineStr">
        <is>
          <t>RÄTTVIK</t>
        </is>
      </c>
      <c r="H189" t="inlineStr">
        <is>
          <t>Sveaskog</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39433-2021</t>
        </is>
      </c>
      <c r="B190" t="inlineStr">
        <is>
          <t>avverkningsanmälan</t>
        </is>
      </c>
      <c r="C190" t="inlineStr">
        <is>
          <t>Föryngringsavverkning</t>
        </is>
      </c>
      <c r="D190" s="1" t="n">
        <v>44414</v>
      </c>
      <c r="E190" s="1" t="n">
        <v>46218</v>
      </c>
      <c r="F190" t="inlineStr">
        <is>
          <t>DALARNAS LÄN</t>
        </is>
      </c>
      <c r="G190" t="inlineStr">
        <is>
          <t>RÄTTVIK</t>
        </is>
      </c>
      <c r="H190" t="inlineStr">
        <is>
          <t>Kyrkan</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72010-2021</t>
        </is>
      </c>
      <c r="B191" t="inlineStr">
        <is>
          <t>avverkningsanmälan</t>
        </is>
      </c>
      <c r="C191" t="inlineStr">
        <is>
          <t>Föryngringsavverkning</t>
        </is>
      </c>
      <c r="D191" s="1" t="n">
        <v>44544</v>
      </c>
      <c r="E191" s="1" t="n">
        <v>46218</v>
      </c>
      <c r="F191" t="inlineStr">
        <is>
          <t>DALARNAS LÄN</t>
        </is>
      </c>
      <c r="G191" t="inlineStr">
        <is>
          <t>RÄTTVIK</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50591-2021</t>
        </is>
      </c>
      <c r="B192" t="inlineStr">
        <is>
          <t>avverkningsanmälan</t>
        </is>
      </c>
      <c r="C192" t="inlineStr">
        <is>
          <t>Föryngringsavverkning</t>
        </is>
      </c>
      <c r="D192" s="1" t="n">
        <v>44459</v>
      </c>
      <c r="E192" s="1" t="n">
        <v>46218</v>
      </c>
      <c r="F192" t="inlineStr">
        <is>
          <t>DALARNAS LÄN</t>
        </is>
      </c>
      <c r="G192" t="inlineStr">
        <is>
          <t>RÄTTVIK</t>
        </is>
      </c>
      <c r="H192" t="inlineStr">
        <is>
          <t>Sveaskog</t>
        </is>
      </c>
      <c r="I192" t="n">
        <v>4.6</v>
      </c>
      <c r="J192" t="n">
        <v>0</v>
      </c>
      <c r="K192" t="n">
        <v>0</v>
      </c>
      <c r="L192" t="n">
        <v>0</v>
      </c>
      <c r="M192" t="n">
        <v>0</v>
      </c>
      <c r="N192" t="n">
        <v>0</v>
      </c>
      <c r="O192" t="n">
        <v>0</v>
      </c>
      <c r="P192" t="n">
        <v>0</v>
      </c>
      <c r="Q192" t="n">
        <v>0</v>
      </c>
      <c r="R192" t="n">
        <v>0</v>
      </c>
      <c r="S192" t="n">
        <v>0</v>
      </c>
      <c r="T192" t="n">
        <v>0</v>
      </c>
      <c r="U192" s="2" t="inlineStr"/>
    </row>
    <row r="193" ht="15" customHeight="1">
      <c r="A193" t="inlineStr">
        <is>
          <t>A 41212-2022</t>
        </is>
      </c>
      <c r="B193" t="inlineStr">
        <is>
          <t>avverkningsanmälan</t>
        </is>
      </c>
      <c r="C193" t="inlineStr">
        <is>
          <t>Föryngringsavverkning</t>
        </is>
      </c>
      <c r="D193" s="1" t="n">
        <v>44826</v>
      </c>
      <c r="E193" s="1" t="n">
        <v>46218</v>
      </c>
      <c r="F193" t="inlineStr">
        <is>
          <t>DALARNAS LÄN</t>
        </is>
      </c>
      <c r="G193" t="inlineStr">
        <is>
          <t>RÄTTVIK</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35123-2022</t>
        </is>
      </c>
      <c r="B194" t="inlineStr">
        <is>
          <t>avverkningsanmälan</t>
        </is>
      </c>
      <c r="C194" t="inlineStr">
        <is>
          <t>Föryngringsavverkning</t>
        </is>
      </c>
      <c r="D194" s="1" t="n">
        <v>44797</v>
      </c>
      <c r="E194" s="1" t="n">
        <v>46218</v>
      </c>
      <c r="F194" t="inlineStr">
        <is>
          <t>DALARNAS LÄN</t>
        </is>
      </c>
      <c r="G194" t="inlineStr">
        <is>
          <t>RÄTTVIK</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40458-2024</t>
        </is>
      </c>
      <c r="B195" t="inlineStr">
        <is>
          <t>avverkningsanmälan</t>
        </is>
      </c>
      <c r="C195" t="inlineStr">
        <is>
          <t>Föryngringsavverkning</t>
        </is>
      </c>
      <c r="D195" s="1" t="n">
        <v>45555</v>
      </c>
      <c r="E195" s="1" t="n">
        <v>46218</v>
      </c>
      <c r="F195" t="inlineStr">
        <is>
          <t>DALARNAS LÄN</t>
        </is>
      </c>
      <c r="G195" t="inlineStr">
        <is>
          <t>RÄTTVIK</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54816-2024</t>
        </is>
      </c>
      <c r="B196" t="inlineStr">
        <is>
          <t>avverkningsanmälan</t>
        </is>
      </c>
      <c r="C196" t="inlineStr">
        <is>
          <t>Föryngringsavverkning</t>
        </is>
      </c>
      <c r="D196" s="1" t="n">
        <v>45618</v>
      </c>
      <c r="E196" s="1" t="n">
        <v>46218</v>
      </c>
      <c r="F196" t="inlineStr">
        <is>
          <t>DALARNAS LÄN</t>
        </is>
      </c>
      <c r="G196" t="inlineStr">
        <is>
          <t>RÄTTVIK</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43011-2024</t>
        </is>
      </c>
      <c r="B197" t="inlineStr">
        <is>
          <t>avverkningsanmälan</t>
        </is>
      </c>
      <c r="C197" t="inlineStr">
        <is>
          <t>Föryngringsavverkning</t>
        </is>
      </c>
      <c r="D197" s="1" t="n">
        <v>45567</v>
      </c>
      <c r="E197" s="1" t="n">
        <v>46218</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2098-2025</t>
        </is>
      </c>
      <c r="B198" t="inlineStr">
        <is>
          <t>avverkningsanmälan</t>
        </is>
      </c>
      <c r="C198" t="inlineStr">
        <is>
          <t>Föryngringsavverkning</t>
        </is>
      </c>
      <c r="D198" s="1" t="n">
        <v>45672</v>
      </c>
      <c r="E198" s="1" t="n">
        <v>46218</v>
      </c>
      <c r="F198" t="inlineStr">
        <is>
          <t>DALARNAS LÄN</t>
        </is>
      </c>
      <c r="G198" t="inlineStr">
        <is>
          <t>RÄTTVIK</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44017-2023</t>
        </is>
      </c>
      <c r="B199" t="inlineStr">
        <is>
          <t>avverkningsanmälan</t>
        </is>
      </c>
      <c r="C199" t="inlineStr">
        <is>
          <t>Föryngringsavverkning</t>
        </is>
      </c>
      <c r="D199" s="1" t="n">
        <v>45182</v>
      </c>
      <c r="E199" s="1" t="n">
        <v>46218</v>
      </c>
      <c r="F199" t="inlineStr">
        <is>
          <t>DALARNAS LÄN</t>
        </is>
      </c>
      <c r="G199" t="inlineStr">
        <is>
          <t>RÄTTVIK</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46707-2023</t>
        </is>
      </c>
      <c r="B200" t="inlineStr">
        <is>
          <t>avverkningsanmälan</t>
        </is>
      </c>
      <c r="C200" t="inlineStr">
        <is>
          <t>Föryngringsavverkning</t>
        </is>
      </c>
      <c r="D200" s="1" t="n">
        <v>45194</v>
      </c>
      <c r="E200" s="1" t="n">
        <v>46218</v>
      </c>
      <c r="F200" t="inlineStr">
        <is>
          <t>DALARNAS LÄN</t>
        </is>
      </c>
      <c r="G200" t="inlineStr">
        <is>
          <t>RÄTTVIK</t>
        </is>
      </c>
      <c r="H200" t="inlineStr">
        <is>
          <t>Allmännings- och besparingsskogar</t>
        </is>
      </c>
      <c r="I200" t="n">
        <v>3.9</v>
      </c>
      <c r="J200" t="n">
        <v>0</v>
      </c>
      <c r="K200" t="n">
        <v>0</v>
      </c>
      <c r="L200" t="n">
        <v>0</v>
      </c>
      <c r="M200" t="n">
        <v>0</v>
      </c>
      <c r="N200" t="n">
        <v>0</v>
      </c>
      <c r="O200" t="n">
        <v>0</v>
      </c>
      <c r="P200" t="n">
        <v>0</v>
      </c>
      <c r="Q200" t="n">
        <v>0</v>
      </c>
      <c r="R200" t="n">
        <v>0</v>
      </c>
      <c r="S200" t="n">
        <v>0</v>
      </c>
      <c r="T200" t="n">
        <v>0</v>
      </c>
      <c r="U200" s="2" t="inlineStr"/>
    </row>
    <row r="201" ht="15" customHeight="1">
      <c r="A201" t="inlineStr">
        <is>
          <t>A 35403-2022</t>
        </is>
      </c>
      <c r="B201" t="inlineStr">
        <is>
          <t>avverkningsanmälan</t>
        </is>
      </c>
      <c r="C201" t="inlineStr">
        <is>
          <t>Föryngringsavverkning</t>
        </is>
      </c>
      <c r="D201" s="1" t="n">
        <v>44798</v>
      </c>
      <c r="E201" s="1" t="n">
        <v>46218</v>
      </c>
      <c r="F201" t="inlineStr">
        <is>
          <t>DALARNAS LÄN</t>
        </is>
      </c>
      <c r="G201" t="inlineStr">
        <is>
          <t>RÄTTVIK</t>
        </is>
      </c>
      <c r="I201" t="n">
        <v>4.2</v>
      </c>
      <c r="J201" t="n">
        <v>0</v>
      </c>
      <c r="K201" t="n">
        <v>0</v>
      </c>
      <c r="L201" t="n">
        <v>0</v>
      </c>
      <c r="M201" t="n">
        <v>0</v>
      </c>
      <c r="N201" t="n">
        <v>0</v>
      </c>
      <c r="O201" t="n">
        <v>0</v>
      </c>
      <c r="P201" t="n">
        <v>0</v>
      </c>
      <c r="Q201" t="n">
        <v>0</v>
      </c>
      <c r="R201" t="n">
        <v>0</v>
      </c>
      <c r="S201" t="n">
        <v>0</v>
      </c>
      <c r="T201" t="n">
        <v>0</v>
      </c>
      <c r="U201" s="2" t="inlineStr"/>
    </row>
    <row r="202" ht="15" customHeight="1">
      <c r="A202" t="inlineStr">
        <is>
          <t>A 23041-2022</t>
        </is>
      </c>
      <c r="B202" t="inlineStr">
        <is>
          <t>avverkningsanmälan</t>
        </is>
      </c>
      <c r="C202" t="inlineStr">
        <is>
          <t>Föryngringsavverkning</t>
        </is>
      </c>
      <c r="D202" s="1" t="n">
        <v>44719</v>
      </c>
      <c r="E202" s="1" t="n">
        <v>46218</v>
      </c>
      <c r="F202" t="inlineStr">
        <is>
          <t>DALARNAS LÄN</t>
        </is>
      </c>
      <c r="G202" t="inlineStr">
        <is>
          <t>RÄTTVIK</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359-2025</t>
        </is>
      </c>
      <c r="B203" t="inlineStr">
        <is>
          <t>avverkningsanmälan</t>
        </is>
      </c>
      <c r="C203" t="inlineStr">
        <is>
          <t>Föryngringsavverkning</t>
        </is>
      </c>
      <c r="D203" s="1" t="n">
        <v>45659</v>
      </c>
      <c r="E203" s="1" t="n">
        <v>46218</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29360-2023</t>
        </is>
      </c>
      <c r="B204" t="inlineStr">
        <is>
          <t>avverkningsanmälan</t>
        </is>
      </c>
      <c r="C204" t="inlineStr">
        <is>
          <t>Föryngringsavverkning</t>
        </is>
      </c>
      <c r="D204" s="1" t="n">
        <v>45106</v>
      </c>
      <c r="E204" s="1" t="n">
        <v>46218</v>
      </c>
      <c r="F204" t="inlineStr">
        <is>
          <t>DALARNAS LÄN</t>
        </is>
      </c>
      <c r="G204" t="inlineStr">
        <is>
          <t>RÄTTVIK</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43729-2023</t>
        </is>
      </c>
      <c r="B205" t="inlineStr">
        <is>
          <t>avverkningsanmälan</t>
        </is>
      </c>
      <c r="C205" t="inlineStr">
        <is>
          <t>Föryngringsavverkning</t>
        </is>
      </c>
      <c r="D205" s="1" t="n">
        <v>45187</v>
      </c>
      <c r="E205" s="1" t="n">
        <v>46218</v>
      </c>
      <c r="F205" t="inlineStr">
        <is>
          <t>DALARNAS LÄN</t>
        </is>
      </c>
      <c r="G205" t="inlineStr">
        <is>
          <t>RÄTTVIK</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69058-2021</t>
        </is>
      </c>
      <c r="B206" t="inlineStr">
        <is>
          <t>avverkningsanmälan</t>
        </is>
      </c>
      <c r="C206" t="inlineStr">
        <is>
          <t>Föryngringsavverkning</t>
        </is>
      </c>
      <c r="D206" s="1" t="n">
        <v>44529</v>
      </c>
      <c r="E206" s="1" t="n">
        <v>46218</v>
      </c>
      <c r="F206" t="inlineStr">
        <is>
          <t>DALARNAS LÄN</t>
        </is>
      </c>
      <c r="G206" t="inlineStr">
        <is>
          <t>RÄTTVIK</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61347-2023</t>
        </is>
      </c>
      <c r="B207" t="inlineStr">
        <is>
          <t>avverkningsanmälan</t>
        </is>
      </c>
      <c r="C207" t="inlineStr">
        <is>
          <t>Föryngringsavverkning</t>
        </is>
      </c>
      <c r="D207" s="1" t="n">
        <v>45264</v>
      </c>
      <c r="E207" s="1" t="n">
        <v>46218</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23478-2023</t>
        </is>
      </c>
      <c r="B208" t="inlineStr">
        <is>
          <t>avverkningsanmälan</t>
        </is>
      </c>
      <c r="C208" t="inlineStr">
        <is>
          <t>Föryngringsavverkning</t>
        </is>
      </c>
      <c r="D208" s="1" t="n">
        <v>45072</v>
      </c>
      <c r="E208" s="1" t="n">
        <v>46218</v>
      </c>
      <c r="F208" t="inlineStr">
        <is>
          <t>DALARNAS LÄN</t>
        </is>
      </c>
      <c r="G208" t="inlineStr">
        <is>
          <t>RÄTTVIK</t>
        </is>
      </c>
      <c r="H208" t="inlineStr">
        <is>
          <t>Övriga statliga verk och myndigheter</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58835-2024</t>
        </is>
      </c>
      <c r="B209" t="inlineStr">
        <is>
          <t>avverkningsanmälan</t>
        </is>
      </c>
      <c r="C209" t="inlineStr">
        <is>
          <t>Föryngringsavverkning</t>
        </is>
      </c>
      <c r="D209" s="1" t="n">
        <v>45636</v>
      </c>
      <c r="E209" s="1" t="n">
        <v>46218</v>
      </c>
      <c r="F209" t="inlineStr">
        <is>
          <t>DALARNAS LÄN</t>
        </is>
      </c>
      <c r="G209" t="inlineStr">
        <is>
          <t>RÄTTVIK</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4841-2024</t>
        </is>
      </c>
      <c r="B210" t="inlineStr">
        <is>
          <t>avverkningsanmälan</t>
        </is>
      </c>
      <c r="C210" t="inlineStr">
        <is>
          <t>Föryngringsavverkning</t>
        </is>
      </c>
      <c r="D210" s="1" t="n">
        <v>45329</v>
      </c>
      <c r="E210" s="1" t="n">
        <v>46218</v>
      </c>
      <c r="F210" t="inlineStr">
        <is>
          <t>DALARNAS LÄN</t>
        </is>
      </c>
      <c r="G210" t="inlineStr">
        <is>
          <t>RÄTTVIK</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38671-2025</t>
        </is>
      </c>
      <c r="B211" t="inlineStr">
        <is>
          <t>avverkningsanmälan</t>
        </is>
      </c>
      <c r="C211" t="inlineStr">
        <is>
          <t>Föryngringsavverkning</t>
        </is>
      </c>
      <c r="D211" s="1" t="n">
        <v>45884</v>
      </c>
      <c r="E211" s="1" t="n">
        <v>46218</v>
      </c>
      <c r="F211" t="inlineStr">
        <is>
          <t>DALARNAS LÄN</t>
        </is>
      </c>
      <c r="G211" t="inlineStr">
        <is>
          <t>RÄTTVIK</t>
        </is>
      </c>
      <c r="H211" t="inlineStr">
        <is>
          <t>Sveaskog</t>
        </is>
      </c>
      <c r="I211" t="n">
        <v>3.4</v>
      </c>
      <c r="J211" t="n">
        <v>0</v>
      </c>
      <c r="K211" t="n">
        <v>0</v>
      </c>
      <c r="L211" t="n">
        <v>0</v>
      </c>
      <c r="M211" t="n">
        <v>0</v>
      </c>
      <c r="N211" t="n">
        <v>0</v>
      </c>
      <c r="O211" t="n">
        <v>0</v>
      </c>
      <c r="P211" t="n">
        <v>0</v>
      </c>
      <c r="Q211" t="n">
        <v>0</v>
      </c>
      <c r="R211" t="n">
        <v>0</v>
      </c>
      <c r="S211" t="n">
        <v>0</v>
      </c>
      <c r="T211" t="n">
        <v>0</v>
      </c>
      <c r="U211" s="2" t="inlineStr"/>
    </row>
    <row r="212" ht="15" customHeight="1">
      <c r="A212" t="inlineStr">
        <is>
          <t>A 11298-2025</t>
        </is>
      </c>
      <c r="B212" t="inlineStr">
        <is>
          <t>avverkningsanmälan</t>
        </is>
      </c>
      <c r="C212" t="inlineStr">
        <is>
          <t>Föryngringsavverkning</t>
        </is>
      </c>
      <c r="D212" s="1" t="n">
        <v>45726</v>
      </c>
      <c r="E212" s="1" t="n">
        <v>46218</v>
      </c>
      <c r="F212" t="inlineStr">
        <is>
          <t>DALARNAS LÄN</t>
        </is>
      </c>
      <c r="G212" t="inlineStr">
        <is>
          <t>RÄTTVIK</t>
        </is>
      </c>
      <c r="I212" t="n">
        <v>2.8</v>
      </c>
      <c r="J212" t="n">
        <v>0</v>
      </c>
      <c r="K212" t="n">
        <v>0</v>
      </c>
      <c r="L212" t="n">
        <v>0</v>
      </c>
      <c r="M212" t="n">
        <v>0</v>
      </c>
      <c r="N212" t="n">
        <v>0</v>
      </c>
      <c r="O212" t="n">
        <v>0</v>
      </c>
      <c r="P212" t="n">
        <v>0</v>
      </c>
      <c r="Q212" t="n">
        <v>0</v>
      </c>
      <c r="R212" t="n">
        <v>0</v>
      </c>
      <c r="S212" t="n">
        <v>0</v>
      </c>
      <c r="T212" t="n">
        <v>0</v>
      </c>
      <c r="U212" s="2" t="inlineStr"/>
    </row>
    <row r="213" ht="15" customHeight="1">
      <c r="A213" t="inlineStr">
        <is>
          <t>A 43592-2023</t>
        </is>
      </c>
      <c r="B213" t="inlineStr">
        <is>
          <t>avverkningsanmälan</t>
        </is>
      </c>
      <c r="C213" t="inlineStr">
        <is>
          <t>Föryngringsavverkning</t>
        </is>
      </c>
      <c r="D213" s="1" t="n">
        <v>45181</v>
      </c>
      <c r="E213" s="1" t="n">
        <v>46218</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60619-2022</t>
        </is>
      </c>
      <c r="B214" t="inlineStr">
        <is>
          <t>avverkningsanmälan</t>
        </is>
      </c>
      <c r="C214" t="inlineStr">
        <is>
          <t>Föryngringsavverkning</t>
        </is>
      </c>
      <c r="D214" s="1" t="n">
        <v>44911</v>
      </c>
      <c r="E214" s="1" t="n">
        <v>46218</v>
      </c>
      <c r="F214" t="inlineStr">
        <is>
          <t>DALARNAS LÄN</t>
        </is>
      </c>
      <c r="G214" t="inlineStr">
        <is>
          <t>RÄTTVIK</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38551-2025</t>
        </is>
      </c>
      <c r="B215" t="inlineStr">
        <is>
          <t>avverkningsanmälan</t>
        </is>
      </c>
      <c r="C215" t="inlineStr">
        <is>
          <t>Föryngringsavverkning</t>
        </is>
      </c>
      <c r="D215" s="1" t="n">
        <v>45884</v>
      </c>
      <c r="E215" s="1" t="n">
        <v>46218</v>
      </c>
      <c r="F215" t="inlineStr">
        <is>
          <t>DALARNAS LÄN</t>
        </is>
      </c>
      <c r="G215" t="inlineStr">
        <is>
          <t>RÄTTVIK</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47825-2023</t>
        </is>
      </c>
      <c r="B216" t="inlineStr">
        <is>
          <t>avverkningsanmälan</t>
        </is>
      </c>
      <c r="C216" t="inlineStr">
        <is>
          <t>Föryngringsavverkning</t>
        </is>
      </c>
      <c r="D216" s="1" t="n">
        <v>45204</v>
      </c>
      <c r="E216" s="1" t="n">
        <v>46218</v>
      </c>
      <c r="F216" t="inlineStr">
        <is>
          <t>DALARNAS LÄN</t>
        </is>
      </c>
      <c r="G216" t="inlineStr">
        <is>
          <t>RÄTTVIK</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38658-2025</t>
        </is>
      </c>
      <c r="B217" t="inlineStr">
        <is>
          <t>avverkningsanmälan</t>
        </is>
      </c>
      <c r="C217" t="inlineStr">
        <is>
          <t>Föryngringsavverkning</t>
        </is>
      </c>
      <c r="D217" s="1" t="n">
        <v>45884</v>
      </c>
      <c r="E217" s="1" t="n">
        <v>46218</v>
      </c>
      <c r="F217" t="inlineStr">
        <is>
          <t>DALARNAS LÄN</t>
        </is>
      </c>
      <c r="G217" t="inlineStr">
        <is>
          <t>RÄTTVIK</t>
        </is>
      </c>
      <c r="H217" t="inlineStr">
        <is>
          <t>Sveaskog</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32814-2024</t>
        </is>
      </c>
      <c r="B218" t="inlineStr">
        <is>
          <t>avverkningsanmälan</t>
        </is>
      </c>
      <c r="C218" t="inlineStr">
        <is>
          <t>Avverkning för annat ändamål</t>
        </is>
      </c>
      <c r="D218" s="1" t="n">
        <v>45516</v>
      </c>
      <c r="E218" s="1" t="n">
        <v>46218</v>
      </c>
      <c r="F218" t="inlineStr">
        <is>
          <t>DALARNAS LÄN</t>
        </is>
      </c>
      <c r="G218" t="inlineStr">
        <is>
          <t>RÄTTVIK</t>
        </is>
      </c>
      <c r="H218" t="inlineStr">
        <is>
          <t>Sveaskog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56459-2022</t>
        </is>
      </c>
      <c r="B219" t="inlineStr">
        <is>
          <t>avverkningsanmälan</t>
        </is>
      </c>
      <c r="C219" t="inlineStr">
        <is>
          <t>Föryngringsavverkning</t>
        </is>
      </c>
      <c r="D219" s="1" t="n">
        <v>44893</v>
      </c>
      <c r="E219" s="1" t="n">
        <v>46218</v>
      </c>
      <c r="F219" t="inlineStr">
        <is>
          <t>DALARNAS LÄN</t>
        </is>
      </c>
      <c r="G219" t="inlineStr">
        <is>
          <t>RÄTTVIK</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39098-2025</t>
        </is>
      </c>
      <c r="B220" t="inlineStr">
        <is>
          <t>avverkningsanmälan</t>
        </is>
      </c>
      <c r="C220" t="inlineStr">
        <is>
          <t>Avverkning för annat ändamål</t>
        </is>
      </c>
      <c r="D220" s="1" t="n">
        <v>45888</v>
      </c>
      <c r="E220" s="1" t="n">
        <v>46218</v>
      </c>
      <c r="F220" t="inlineStr">
        <is>
          <t>DALARNAS LÄN</t>
        </is>
      </c>
      <c r="G220" t="inlineStr">
        <is>
          <t>RÄTTVIK</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60483-2023</t>
        </is>
      </c>
      <c r="B221" t="inlineStr">
        <is>
          <t>avverkningsanmälan</t>
        </is>
      </c>
      <c r="C221" t="inlineStr">
        <is>
          <t>Föryngringsavverkning</t>
        </is>
      </c>
      <c r="D221" s="1" t="n">
        <v>45259</v>
      </c>
      <c r="E221" s="1" t="n">
        <v>46218</v>
      </c>
      <c r="F221" t="inlineStr">
        <is>
          <t>DALARNAS LÄN</t>
        </is>
      </c>
      <c r="G221" t="inlineStr">
        <is>
          <t>RÄTTVIK</t>
        </is>
      </c>
      <c r="I221" t="n">
        <v>5.1</v>
      </c>
      <c r="J221" t="n">
        <v>0</v>
      </c>
      <c r="K221" t="n">
        <v>0</v>
      </c>
      <c r="L221" t="n">
        <v>0</v>
      </c>
      <c r="M221" t="n">
        <v>0</v>
      </c>
      <c r="N221" t="n">
        <v>0</v>
      </c>
      <c r="O221" t="n">
        <v>0</v>
      </c>
      <c r="P221" t="n">
        <v>0</v>
      </c>
      <c r="Q221" t="n">
        <v>0</v>
      </c>
      <c r="R221" t="n">
        <v>0</v>
      </c>
      <c r="S221" t="n">
        <v>0</v>
      </c>
      <c r="T221" t="n">
        <v>0</v>
      </c>
      <c r="U221" s="2" t="inlineStr"/>
    </row>
    <row r="222" ht="15" customHeight="1">
      <c r="A222" t="inlineStr">
        <is>
          <t>A 49496-2024</t>
        </is>
      </c>
      <c r="B222" t="inlineStr">
        <is>
          <t>avverkningsanmälan</t>
        </is>
      </c>
      <c r="C222" t="inlineStr">
        <is>
          <t>Föryngringsavverkning</t>
        </is>
      </c>
      <c r="D222" s="1" t="n">
        <v>45596</v>
      </c>
      <c r="E222" s="1" t="n">
        <v>46218</v>
      </c>
      <c r="F222" t="inlineStr">
        <is>
          <t>DALARNAS LÄN</t>
        </is>
      </c>
      <c r="G222" t="inlineStr">
        <is>
          <t>RÄTTVIK</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59272-2024</t>
        </is>
      </c>
      <c r="B223" t="inlineStr">
        <is>
          <t>avverkningsanmälan</t>
        </is>
      </c>
      <c r="C223" t="inlineStr">
        <is>
          <t>Föryngringsavverkning</t>
        </is>
      </c>
      <c r="D223" s="1" t="n">
        <v>45637</v>
      </c>
      <c r="E223" s="1" t="n">
        <v>46218</v>
      </c>
      <c r="F223" t="inlineStr">
        <is>
          <t>DALARNAS LÄN</t>
        </is>
      </c>
      <c r="G223" t="inlineStr">
        <is>
          <t>RÄTTVIK</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6699-2025</t>
        </is>
      </c>
      <c r="B224" t="inlineStr">
        <is>
          <t>avverkningsanmälan</t>
        </is>
      </c>
      <c r="C224" t="inlineStr">
        <is>
          <t>Föryngringsavverkning</t>
        </is>
      </c>
      <c r="D224" s="1" t="n">
        <v>45700</v>
      </c>
      <c r="E224" s="1" t="n">
        <v>46218</v>
      </c>
      <c r="F224" t="inlineStr">
        <is>
          <t>DALARNAS LÄN</t>
        </is>
      </c>
      <c r="G224" t="inlineStr">
        <is>
          <t>RÄTTVIK</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32894-2023</t>
        </is>
      </c>
      <c r="B225" t="inlineStr">
        <is>
          <t>avverkningsanmälan</t>
        </is>
      </c>
      <c r="C225" t="inlineStr">
        <is>
          <t>Föryngringsavverkning</t>
        </is>
      </c>
      <c r="D225" s="1" t="n">
        <v>45124</v>
      </c>
      <c r="E225" s="1" t="n">
        <v>46218</v>
      </c>
      <c r="F225" t="inlineStr">
        <is>
          <t>DALARNAS LÄN</t>
        </is>
      </c>
      <c r="G225" t="inlineStr">
        <is>
          <t>RÄTTVIK</t>
        </is>
      </c>
      <c r="I225" t="n">
        <v>4.3</v>
      </c>
      <c r="J225" t="n">
        <v>0</v>
      </c>
      <c r="K225" t="n">
        <v>0</v>
      </c>
      <c r="L225" t="n">
        <v>0</v>
      </c>
      <c r="M225" t="n">
        <v>0</v>
      </c>
      <c r="N225" t="n">
        <v>0</v>
      </c>
      <c r="O225" t="n">
        <v>0</v>
      </c>
      <c r="P225" t="n">
        <v>0</v>
      </c>
      <c r="Q225" t="n">
        <v>0</v>
      </c>
      <c r="R225" t="n">
        <v>0</v>
      </c>
      <c r="S225" t="n">
        <v>0</v>
      </c>
      <c r="T225" t="n">
        <v>0</v>
      </c>
      <c r="U225" s="2" t="inlineStr"/>
    </row>
    <row r="226" ht="15" customHeight="1">
      <c r="A226" t="inlineStr">
        <is>
          <t>A 40381-2025</t>
        </is>
      </c>
      <c r="B226" t="inlineStr">
        <is>
          <t>avverkningsanmälan</t>
        </is>
      </c>
      <c r="C226" t="inlineStr">
        <is>
          <t>Föryngringsavverkning</t>
        </is>
      </c>
      <c r="D226" s="1" t="n">
        <v>45895</v>
      </c>
      <c r="E226" s="1" t="n">
        <v>46218</v>
      </c>
      <c r="F226" t="inlineStr">
        <is>
          <t>DALARNAS LÄN</t>
        </is>
      </c>
      <c r="G226" t="inlineStr">
        <is>
          <t>RÄTTVIK</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34030-2024</t>
        </is>
      </c>
      <c r="B227" t="inlineStr">
        <is>
          <t>avverkningsanmälan</t>
        </is>
      </c>
      <c r="C227" t="inlineStr">
        <is>
          <t>Avverkning för annat ändamål</t>
        </is>
      </c>
      <c r="D227" s="1" t="n">
        <v>45523</v>
      </c>
      <c r="E227" s="1" t="n">
        <v>46218</v>
      </c>
      <c r="F227" t="inlineStr">
        <is>
          <t>DALARNAS LÄN</t>
        </is>
      </c>
      <c r="G227" t="inlineStr">
        <is>
          <t>RÄTTVIK</t>
        </is>
      </c>
      <c r="H227" t="inlineStr">
        <is>
          <t>Bergvik skog väst AB</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40399-2025</t>
        </is>
      </c>
      <c r="B228" t="inlineStr">
        <is>
          <t>avverkningsanmälan</t>
        </is>
      </c>
      <c r="C228" t="inlineStr">
        <is>
          <t>Föryngringsavverkning</t>
        </is>
      </c>
      <c r="D228" s="1" t="n">
        <v>45895</v>
      </c>
      <c r="E228" s="1" t="n">
        <v>46218</v>
      </c>
      <c r="F228" t="inlineStr">
        <is>
          <t>DALARNAS LÄN</t>
        </is>
      </c>
      <c r="G228" t="inlineStr">
        <is>
          <t>RÄTTVIK</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40216-2025</t>
        </is>
      </c>
      <c r="B229" t="inlineStr">
        <is>
          <t>avverkningsanmälan</t>
        </is>
      </c>
      <c r="C229" t="inlineStr">
        <is>
          <t>Föryngringsavverkning</t>
        </is>
      </c>
      <c r="D229" s="1" t="n">
        <v>45894</v>
      </c>
      <c r="E229" s="1" t="n">
        <v>46218</v>
      </c>
      <c r="F229" t="inlineStr">
        <is>
          <t>DALARNAS LÄN</t>
        </is>
      </c>
      <c r="G229" t="inlineStr">
        <is>
          <t>RÄTTVIK</t>
        </is>
      </c>
      <c r="H229" t="inlineStr">
        <is>
          <t>Sveaskog</t>
        </is>
      </c>
      <c r="I229" t="n">
        <v>4.9</v>
      </c>
      <c r="J229" t="n">
        <v>0</v>
      </c>
      <c r="K229" t="n">
        <v>0</v>
      </c>
      <c r="L229" t="n">
        <v>0</v>
      </c>
      <c r="M229" t="n">
        <v>0</v>
      </c>
      <c r="N229" t="n">
        <v>0</v>
      </c>
      <c r="O229" t="n">
        <v>0</v>
      </c>
      <c r="P229" t="n">
        <v>0</v>
      </c>
      <c r="Q229" t="n">
        <v>0</v>
      </c>
      <c r="R229" t="n">
        <v>0</v>
      </c>
      <c r="S229" t="n">
        <v>0</v>
      </c>
      <c r="T229" t="n">
        <v>0</v>
      </c>
      <c r="U229" s="2" t="inlineStr"/>
    </row>
    <row r="230" ht="15" customHeight="1">
      <c r="A230" t="inlineStr">
        <is>
          <t>A 2722-2024</t>
        </is>
      </c>
      <c r="B230" t="inlineStr">
        <is>
          <t>avverkningsanmälan</t>
        </is>
      </c>
      <c r="C230" t="inlineStr">
        <is>
          <t>Föryngringsavverkning</t>
        </is>
      </c>
      <c r="D230" s="1" t="n">
        <v>45314</v>
      </c>
      <c r="E230" s="1" t="n">
        <v>46218</v>
      </c>
      <c r="F230" t="inlineStr">
        <is>
          <t>DALARNAS LÄN</t>
        </is>
      </c>
      <c r="G230" t="inlineStr">
        <is>
          <t>RÄTTVIK</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49944-2023</t>
        </is>
      </c>
      <c r="B231" t="inlineStr">
        <is>
          <t>avverkningsanmälan</t>
        </is>
      </c>
      <c r="C231" t="inlineStr">
        <is>
          <t>Föryngringsavverkning</t>
        </is>
      </c>
      <c r="D231" s="1" t="n">
        <v>45215</v>
      </c>
      <c r="E231" s="1" t="n">
        <v>46218</v>
      </c>
      <c r="F231" t="inlineStr">
        <is>
          <t>DALARNAS LÄN</t>
        </is>
      </c>
      <c r="G231" t="inlineStr">
        <is>
          <t>RÄTTVIK</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36040-2023</t>
        </is>
      </c>
      <c r="B232" t="inlineStr">
        <is>
          <t>avverkningsanmälan</t>
        </is>
      </c>
      <c r="C232" t="inlineStr">
        <is>
          <t>Föryngringsavverkning</t>
        </is>
      </c>
      <c r="D232" s="1" t="n">
        <v>45148</v>
      </c>
      <c r="E232" s="1" t="n">
        <v>46218</v>
      </c>
      <c r="F232" t="inlineStr">
        <is>
          <t>DALARNAS LÄN</t>
        </is>
      </c>
      <c r="G232" t="inlineStr">
        <is>
          <t>RÄTTVIK</t>
        </is>
      </c>
      <c r="I232" t="n">
        <v>3.3</v>
      </c>
      <c r="J232" t="n">
        <v>0</v>
      </c>
      <c r="K232" t="n">
        <v>0</v>
      </c>
      <c r="L232" t="n">
        <v>0</v>
      </c>
      <c r="M232" t="n">
        <v>0</v>
      </c>
      <c r="N232" t="n">
        <v>0</v>
      </c>
      <c r="O232" t="n">
        <v>0</v>
      </c>
      <c r="P232" t="n">
        <v>0</v>
      </c>
      <c r="Q232" t="n">
        <v>0</v>
      </c>
      <c r="R232" t="n">
        <v>0</v>
      </c>
      <c r="S232" t="n">
        <v>0</v>
      </c>
      <c r="T232" t="n">
        <v>0</v>
      </c>
      <c r="U232" s="2" t="inlineStr"/>
    </row>
    <row r="233" ht="15" customHeight="1">
      <c r="A233" t="inlineStr">
        <is>
          <t>A 23667-2023</t>
        </is>
      </c>
      <c r="B233" t="inlineStr">
        <is>
          <t>avverkningsanmälan</t>
        </is>
      </c>
      <c r="C233" t="inlineStr">
        <is>
          <t>Föryngringsavverkning</t>
        </is>
      </c>
      <c r="D233" s="1" t="n">
        <v>45077</v>
      </c>
      <c r="E233" s="1" t="n">
        <v>46218</v>
      </c>
      <c r="F233" t="inlineStr">
        <is>
          <t>DALARNAS LÄN</t>
        </is>
      </c>
      <c r="G233" t="inlineStr">
        <is>
          <t>RÄTTVIK</t>
        </is>
      </c>
      <c r="I233" t="n">
        <v>7</v>
      </c>
      <c r="J233" t="n">
        <v>0</v>
      </c>
      <c r="K233" t="n">
        <v>0</v>
      </c>
      <c r="L233" t="n">
        <v>0</v>
      </c>
      <c r="M233" t="n">
        <v>0</v>
      </c>
      <c r="N233" t="n">
        <v>0</v>
      </c>
      <c r="O233" t="n">
        <v>0</v>
      </c>
      <c r="P233" t="n">
        <v>0</v>
      </c>
      <c r="Q233" t="n">
        <v>0</v>
      </c>
      <c r="R233" t="n">
        <v>0</v>
      </c>
      <c r="S233" t="n">
        <v>0</v>
      </c>
      <c r="T233" t="n">
        <v>0</v>
      </c>
      <c r="U233" s="2" t="inlineStr"/>
    </row>
    <row r="234" ht="15" customHeight="1">
      <c r="A234" t="inlineStr">
        <is>
          <t>A 40493-2025</t>
        </is>
      </c>
      <c r="B234" t="inlineStr">
        <is>
          <t>avverkningsanmälan</t>
        </is>
      </c>
      <c r="C234" t="inlineStr">
        <is>
          <t>Föryngringsavverkning</t>
        </is>
      </c>
      <c r="D234" s="1" t="n">
        <v>45896</v>
      </c>
      <c r="E234" s="1" t="n">
        <v>46218</v>
      </c>
      <c r="F234" t="inlineStr">
        <is>
          <t>DALARNAS LÄN</t>
        </is>
      </c>
      <c r="G234" t="inlineStr">
        <is>
          <t>RÄTTVIK</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40981-2025</t>
        </is>
      </c>
      <c r="B235" t="inlineStr">
        <is>
          <t>avverkningsanmälan</t>
        </is>
      </c>
      <c r="C235" t="inlineStr">
        <is>
          <t>Föryngringsavverkning</t>
        </is>
      </c>
      <c r="D235" s="1" t="n">
        <v>45898</v>
      </c>
      <c r="E235" s="1" t="n">
        <v>46218</v>
      </c>
      <c r="F235" t="inlineStr">
        <is>
          <t>DALARNAS LÄN</t>
        </is>
      </c>
      <c r="G235" t="inlineStr">
        <is>
          <t>RÄTTVIK</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45493-2023</t>
        </is>
      </c>
      <c r="B236" t="inlineStr">
        <is>
          <t>avverkningsanmälan</t>
        </is>
      </c>
      <c r="C236" t="inlineStr">
        <is>
          <t>Föryngringsavverkning</t>
        </is>
      </c>
      <c r="D236" s="1" t="n">
        <v>45194</v>
      </c>
      <c r="E236" s="1" t="n">
        <v>46218</v>
      </c>
      <c r="F236" t="inlineStr">
        <is>
          <t>DALARNAS LÄN</t>
        </is>
      </c>
      <c r="G236" t="inlineStr">
        <is>
          <t>RÄTTVIK</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7752-2024</t>
        </is>
      </c>
      <c r="B237" t="inlineStr">
        <is>
          <t>avverkningsanmälan</t>
        </is>
      </c>
      <c r="C237" t="inlineStr">
        <is>
          <t>Avverkning för annat ändamål</t>
        </is>
      </c>
      <c r="D237" s="1" t="n">
        <v>45349</v>
      </c>
      <c r="E237" s="1" t="n">
        <v>46218</v>
      </c>
      <c r="F237" t="inlineStr">
        <is>
          <t>DALARNAS LÄN</t>
        </is>
      </c>
      <c r="G237" t="inlineStr">
        <is>
          <t>RÄTTVIK</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57185-2023</t>
        </is>
      </c>
      <c r="B238" t="inlineStr">
        <is>
          <t>avverkningsanmälan</t>
        </is>
      </c>
      <c r="C238" t="inlineStr">
        <is>
          <t>Föryngringsavverkning</t>
        </is>
      </c>
      <c r="D238" s="1" t="n">
        <v>45245</v>
      </c>
      <c r="E238" s="1" t="n">
        <v>46218</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47616-2024</t>
        </is>
      </c>
      <c r="B239" t="inlineStr">
        <is>
          <t>avverkningsanmälan</t>
        </is>
      </c>
      <c r="C239" t="inlineStr">
        <is>
          <t>Föryngringsavverkning</t>
        </is>
      </c>
      <c r="D239" s="1" t="n">
        <v>45588</v>
      </c>
      <c r="E239" s="1" t="n">
        <v>46218</v>
      </c>
      <c r="F239" t="inlineStr">
        <is>
          <t>DALARNAS LÄN</t>
        </is>
      </c>
      <c r="G239" t="inlineStr">
        <is>
          <t>RÄTTVIK</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43756-2024</t>
        </is>
      </c>
      <c r="B240" t="inlineStr">
        <is>
          <t>avverkningsanmälan</t>
        </is>
      </c>
      <c r="C240" t="inlineStr">
        <is>
          <t>Föryngringsavverkning</t>
        </is>
      </c>
      <c r="D240" s="1" t="n">
        <v>45569</v>
      </c>
      <c r="E240" s="1" t="n">
        <v>46218</v>
      </c>
      <c r="F240" t="inlineStr">
        <is>
          <t>DALARNAS LÄN</t>
        </is>
      </c>
      <c r="G240" t="inlineStr">
        <is>
          <t>RÄTTVIK</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463-2024</t>
        </is>
      </c>
      <c r="B241" t="inlineStr">
        <is>
          <t>avverkningsanmälan</t>
        </is>
      </c>
      <c r="C241" t="inlineStr">
        <is>
          <t>Föryngringsavverkning</t>
        </is>
      </c>
      <c r="D241" s="1" t="n">
        <v>45297</v>
      </c>
      <c r="E241" s="1" t="n">
        <v>46218</v>
      </c>
      <c r="F241" t="inlineStr">
        <is>
          <t>DALARNAS LÄN</t>
        </is>
      </c>
      <c r="G241" t="inlineStr">
        <is>
          <t>RÄTTVIK</t>
        </is>
      </c>
      <c r="H241" t="inlineStr">
        <is>
          <t>Övriga statliga verk och myndigheter</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46060-2022</t>
        </is>
      </c>
      <c r="B242" t="inlineStr">
        <is>
          <t>avverkningsanmälan</t>
        </is>
      </c>
      <c r="C242" t="inlineStr">
        <is>
          <t>Föryngringsavverkning</t>
        </is>
      </c>
      <c r="D242" s="1" t="n">
        <v>44847</v>
      </c>
      <c r="E242" s="1" t="n">
        <v>46218</v>
      </c>
      <c r="F242" t="inlineStr">
        <is>
          <t>DALARNAS LÄN</t>
        </is>
      </c>
      <c r="G242" t="inlineStr">
        <is>
          <t>RÄTTVIK</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22677-2023</t>
        </is>
      </c>
      <c r="B243" t="inlineStr">
        <is>
          <t>avverkningsanmälan</t>
        </is>
      </c>
      <c r="C243" t="inlineStr">
        <is>
          <t>Föryngringsavverkning</t>
        </is>
      </c>
      <c r="D243" s="1" t="n">
        <v>45071</v>
      </c>
      <c r="E243" s="1" t="n">
        <v>46218</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37120-2024</t>
        </is>
      </c>
      <c r="B244" t="inlineStr">
        <is>
          <t>avverkningsanmälan</t>
        </is>
      </c>
      <c r="C244" t="inlineStr">
        <is>
          <t>Föryngringsavverkning</t>
        </is>
      </c>
      <c r="D244" s="1" t="n">
        <v>45539</v>
      </c>
      <c r="E244" s="1" t="n">
        <v>46218</v>
      </c>
      <c r="F244" t="inlineStr">
        <is>
          <t>DALARNAS LÄN</t>
        </is>
      </c>
      <c r="G244" t="inlineStr">
        <is>
          <t>RÄTTVIK</t>
        </is>
      </c>
      <c r="I244" t="n">
        <v>13.6</v>
      </c>
      <c r="J244" t="n">
        <v>0</v>
      </c>
      <c r="K244" t="n">
        <v>0</v>
      </c>
      <c r="L244" t="n">
        <v>0</v>
      </c>
      <c r="M244" t="n">
        <v>0</v>
      </c>
      <c r="N244" t="n">
        <v>0</v>
      </c>
      <c r="O244" t="n">
        <v>0</v>
      </c>
      <c r="P244" t="n">
        <v>0</v>
      </c>
      <c r="Q244" t="n">
        <v>0</v>
      </c>
      <c r="R244" t="n">
        <v>0</v>
      </c>
      <c r="S244" t="n">
        <v>0</v>
      </c>
      <c r="T244" t="n">
        <v>0</v>
      </c>
      <c r="U244" s="2" t="inlineStr"/>
    </row>
    <row r="245" ht="15" customHeight="1">
      <c r="A245" t="inlineStr">
        <is>
          <t>A 3655-2024</t>
        </is>
      </c>
      <c r="B245" t="inlineStr">
        <is>
          <t>avverkningsanmälan</t>
        </is>
      </c>
      <c r="C245" t="inlineStr">
        <is>
          <t>Föryngringsavverkning</t>
        </is>
      </c>
      <c r="D245" s="1" t="n">
        <v>45321</v>
      </c>
      <c r="E245" s="1" t="n">
        <v>46218</v>
      </c>
      <c r="F245" t="inlineStr">
        <is>
          <t>DALARNAS LÄN</t>
        </is>
      </c>
      <c r="G245" t="inlineStr">
        <is>
          <t>RÄTTVIK</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13568-2025</t>
        </is>
      </c>
      <c r="B246" t="inlineStr">
        <is>
          <t>avverkningsanmälan</t>
        </is>
      </c>
      <c r="C246" t="inlineStr">
        <is>
          <t>Föryngringsavverkning</t>
        </is>
      </c>
      <c r="D246" s="1" t="n">
        <v>45736</v>
      </c>
      <c r="E246" s="1" t="n">
        <v>46218</v>
      </c>
      <c r="F246" t="inlineStr">
        <is>
          <t>DALARNAS LÄN</t>
        </is>
      </c>
      <c r="G246" t="inlineStr">
        <is>
          <t>RÄTTVIK</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48230-2024</t>
        </is>
      </c>
      <c r="B247" t="inlineStr">
        <is>
          <t>avverkningsanmälan</t>
        </is>
      </c>
      <c r="C247" t="inlineStr">
        <is>
          <t>Föryngringsavverkning</t>
        </is>
      </c>
      <c r="D247" s="1" t="n">
        <v>45590</v>
      </c>
      <c r="E247" s="1" t="n">
        <v>46218</v>
      </c>
      <c r="F247" t="inlineStr">
        <is>
          <t>DALARNAS LÄN</t>
        </is>
      </c>
      <c r="G247" t="inlineStr">
        <is>
          <t>RÄTTVIK</t>
        </is>
      </c>
      <c r="H247" t="inlineStr">
        <is>
          <t>Bergvik skog väst AB</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26717-2023</t>
        </is>
      </c>
      <c r="B248" t="inlineStr">
        <is>
          <t>avverkningsanmälan</t>
        </is>
      </c>
      <c r="C248" t="inlineStr">
        <is>
          <t>Föryngringsavverkning</t>
        </is>
      </c>
      <c r="D248" s="1" t="n">
        <v>45093</v>
      </c>
      <c r="E248" s="1" t="n">
        <v>46218</v>
      </c>
      <c r="F248" t="inlineStr">
        <is>
          <t>DALARNAS LÄN</t>
        </is>
      </c>
      <c r="G248" t="inlineStr">
        <is>
          <t>RÄTTVIK</t>
        </is>
      </c>
      <c r="H248" t="inlineStr">
        <is>
          <t>Bergvik skog väst AB</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7021-2022</t>
        </is>
      </c>
      <c r="B249" t="inlineStr">
        <is>
          <t>avverkningsanmälan</t>
        </is>
      </c>
      <c r="C249" t="inlineStr">
        <is>
          <t>Föryngringsavverkning</t>
        </is>
      </c>
      <c r="D249" s="1" t="n">
        <v>44602</v>
      </c>
      <c r="E249" s="1" t="n">
        <v>46218</v>
      </c>
      <c r="F249" t="inlineStr">
        <is>
          <t>DALARNAS LÄN</t>
        </is>
      </c>
      <c r="G249" t="inlineStr">
        <is>
          <t>RÄTTVIK</t>
        </is>
      </c>
      <c r="I249" t="n">
        <v>5.5</v>
      </c>
      <c r="J249" t="n">
        <v>0</v>
      </c>
      <c r="K249" t="n">
        <v>0</v>
      </c>
      <c r="L249" t="n">
        <v>0</v>
      </c>
      <c r="M249" t="n">
        <v>0</v>
      </c>
      <c r="N249" t="n">
        <v>0</v>
      </c>
      <c r="O249" t="n">
        <v>0</v>
      </c>
      <c r="P249" t="n">
        <v>0</v>
      </c>
      <c r="Q249" t="n">
        <v>0</v>
      </c>
      <c r="R249" t="n">
        <v>0</v>
      </c>
      <c r="S249" t="n">
        <v>0</v>
      </c>
      <c r="T249" t="n">
        <v>0</v>
      </c>
      <c r="U249" s="2" t="inlineStr"/>
    </row>
    <row r="250" ht="15" customHeight="1">
      <c r="A250" t="inlineStr">
        <is>
          <t>A 57094-2023</t>
        </is>
      </c>
      <c r="B250" t="inlineStr">
        <is>
          <t>avverkningsanmälan</t>
        </is>
      </c>
      <c r="C250" t="inlineStr">
        <is>
          <t>Föryngringsavverkning</t>
        </is>
      </c>
      <c r="D250" s="1" t="n">
        <v>45245</v>
      </c>
      <c r="E250" s="1" t="n">
        <v>46218</v>
      </c>
      <c r="F250" t="inlineStr">
        <is>
          <t>DALARNAS LÄN</t>
        </is>
      </c>
      <c r="G250" t="inlineStr">
        <is>
          <t>RÄTTVIK</t>
        </is>
      </c>
      <c r="H250" t="inlineStr">
        <is>
          <t>Kyrkan</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54212-2023</t>
        </is>
      </c>
      <c r="B251" t="inlineStr">
        <is>
          <t>avverkningsanmälan</t>
        </is>
      </c>
      <c r="C251" t="inlineStr">
        <is>
          <t>Föryngringsavverkning</t>
        </is>
      </c>
      <c r="D251" s="1" t="n">
        <v>45225</v>
      </c>
      <c r="E251" s="1" t="n">
        <v>46218</v>
      </c>
      <c r="F251" t="inlineStr">
        <is>
          <t>DALARNAS LÄN</t>
        </is>
      </c>
      <c r="G251" t="inlineStr">
        <is>
          <t>RÄTTVIK</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2042-2025</t>
        </is>
      </c>
      <c r="B252" t="inlineStr">
        <is>
          <t>avverkningsanmälan</t>
        </is>
      </c>
      <c r="C252" t="inlineStr">
        <is>
          <t>Föryngringsavverkning</t>
        </is>
      </c>
      <c r="D252" s="1" t="n">
        <v>45671</v>
      </c>
      <c r="E252" s="1" t="n">
        <v>46218</v>
      </c>
      <c r="F252" t="inlineStr">
        <is>
          <t>DALARNAS LÄN</t>
        </is>
      </c>
      <c r="G252" t="inlineStr">
        <is>
          <t>RÄTTVIK</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48947-2023</t>
        </is>
      </c>
      <c r="B253" t="inlineStr">
        <is>
          <t>avverkningsanmälan</t>
        </is>
      </c>
      <c r="C253" t="inlineStr">
        <is>
          <t>Avverkning för annat ändamål</t>
        </is>
      </c>
      <c r="D253" s="1" t="n">
        <v>45209</v>
      </c>
      <c r="E253" s="1" t="n">
        <v>46218</v>
      </c>
      <c r="F253" t="inlineStr">
        <is>
          <t>DALARNAS LÄN</t>
        </is>
      </c>
      <c r="G253" t="inlineStr">
        <is>
          <t>RÄTTVIK</t>
        </is>
      </c>
      <c r="H253" t="inlineStr">
        <is>
          <t>Sveaskog</t>
        </is>
      </c>
      <c r="I253" t="n">
        <v>0.1</v>
      </c>
      <c r="J253" t="n">
        <v>0</v>
      </c>
      <c r="K253" t="n">
        <v>0</v>
      </c>
      <c r="L253" t="n">
        <v>0</v>
      </c>
      <c r="M253" t="n">
        <v>0</v>
      </c>
      <c r="N253" t="n">
        <v>0</v>
      </c>
      <c r="O253" t="n">
        <v>0</v>
      </c>
      <c r="P253" t="n">
        <v>0</v>
      </c>
      <c r="Q253" t="n">
        <v>0</v>
      </c>
      <c r="R253" t="n">
        <v>0</v>
      </c>
      <c r="S253" t="n">
        <v>0</v>
      </c>
      <c r="T253" t="n">
        <v>0</v>
      </c>
      <c r="U253" s="2" t="inlineStr"/>
    </row>
    <row r="254" ht="15" customHeight="1">
      <c r="A254" t="inlineStr">
        <is>
          <t>A 36172-2024</t>
        </is>
      </c>
      <c r="B254" t="inlineStr">
        <is>
          <t>avverkningsanmälan</t>
        </is>
      </c>
      <c r="C254" t="inlineStr">
        <is>
          <t>Föryngringsavverkning</t>
        </is>
      </c>
      <c r="D254" s="1" t="n">
        <v>45534</v>
      </c>
      <c r="E254" s="1" t="n">
        <v>46218</v>
      </c>
      <c r="F254" t="inlineStr">
        <is>
          <t>DALARNAS LÄN</t>
        </is>
      </c>
      <c r="G254" t="inlineStr">
        <is>
          <t>RÄTTVIK</t>
        </is>
      </c>
      <c r="I254" t="n">
        <v>3.2</v>
      </c>
      <c r="J254" t="n">
        <v>0</v>
      </c>
      <c r="K254" t="n">
        <v>0</v>
      </c>
      <c r="L254" t="n">
        <v>0</v>
      </c>
      <c r="M254" t="n">
        <v>0</v>
      </c>
      <c r="N254" t="n">
        <v>0</v>
      </c>
      <c r="O254" t="n">
        <v>0</v>
      </c>
      <c r="P254" t="n">
        <v>0</v>
      </c>
      <c r="Q254" t="n">
        <v>0</v>
      </c>
      <c r="R254" t="n">
        <v>0</v>
      </c>
      <c r="S254" t="n">
        <v>0</v>
      </c>
      <c r="T254" t="n">
        <v>0</v>
      </c>
      <c r="U254" s="2" t="inlineStr"/>
    </row>
    <row r="255" ht="15" customHeight="1">
      <c r="A255" t="inlineStr">
        <is>
          <t>A 41879-2025</t>
        </is>
      </c>
      <c r="B255" t="inlineStr">
        <is>
          <t>avverkningsanmälan</t>
        </is>
      </c>
      <c r="C255" t="inlineStr">
        <is>
          <t>Föryngringsavverkning</t>
        </is>
      </c>
      <c r="D255" s="1" t="n">
        <v>45903</v>
      </c>
      <c r="E255" s="1" t="n">
        <v>46218</v>
      </c>
      <c r="F255" t="inlineStr">
        <is>
          <t>DALARNAS LÄN</t>
        </is>
      </c>
      <c r="G255" t="inlineStr">
        <is>
          <t>RÄTTVIK</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42079-2025</t>
        </is>
      </c>
      <c r="B256" t="inlineStr">
        <is>
          <t>avverkningsanmälan</t>
        </is>
      </c>
      <c r="C256" t="inlineStr">
        <is>
          <t>Föryngringsavverkning</t>
        </is>
      </c>
      <c r="D256" s="1" t="n">
        <v>45902</v>
      </c>
      <c r="E256" s="1" t="n">
        <v>46218</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23747-2024</t>
        </is>
      </c>
      <c r="B257" t="inlineStr">
        <is>
          <t>avverkningsanmälan</t>
        </is>
      </c>
      <c r="C257" t="inlineStr">
        <is>
          <t>Föryngringsavverkning</t>
        </is>
      </c>
      <c r="D257" s="1" t="n">
        <v>45455</v>
      </c>
      <c r="E257" s="1" t="n">
        <v>46218</v>
      </c>
      <c r="F257" t="inlineStr">
        <is>
          <t>DALARNAS LÄN</t>
        </is>
      </c>
      <c r="G257" t="inlineStr">
        <is>
          <t>RÄTTVIK</t>
        </is>
      </c>
      <c r="H257" t="inlineStr">
        <is>
          <t>Allmännings- och besparingsskogar</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33082-2024</t>
        </is>
      </c>
      <c r="B258" t="inlineStr">
        <is>
          <t>avverkningsanmälan</t>
        </is>
      </c>
      <c r="C258" t="inlineStr">
        <is>
          <t>Föryngringsavverkning</t>
        </is>
      </c>
      <c r="D258" s="1" t="n">
        <v>45517</v>
      </c>
      <c r="E258" s="1" t="n">
        <v>46218</v>
      </c>
      <c r="F258" t="inlineStr">
        <is>
          <t>DALARNAS LÄN</t>
        </is>
      </c>
      <c r="G258" t="inlineStr">
        <is>
          <t>RÄTTVIK</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651-2023</t>
        </is>
      </c>
      <c r="B259" t="inlineStr">
        <is>
          <t>avverkningsanmälan</t>
        </is>
      </c>
      <c r="C259" t="inlineStr">
        <is>
          <t>Föryngringsavverkning</t>
        </is>
      </c>
      <c r="D259" s="1" t="n">
        <v>44930</v>
      </c>
      <c r="E259" s="1" t="n">
        <v>46218</v>
      </c>
      <c r="F259" t="inlineStr">
        <is>
          <t>DALARNAS LÄN</t>
        </is>
      </c>
      <c r="G259" t="inlineStr">
        <is>
          <t>RÄTTVIK</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8126-2024</t>
        </is>
      </c>
      <c r="B260" t="inlineStr">
        <is>
          <t>avverkningsanmälan</t>
        </is>
      </c>
      <c r="C260" t="inlineStr">
        <is>
          <t>Föryngringsavverkning</t>
        </is>
      </c>
      <c r="D260" s="1" t="n">
        <v>45351</v>
      </c>
      <c r="E260" s="1" t="n">
        <v>46218</v>
      </c>
      <c r="F260" t="inlineStr">
        <is>
          <t>DALARNAS LÄN</t>
        </is>
      </c>
      <c r="G260" t="inlineStr">
        <is>
          <t>RÄTTVIK</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65967-2021</t>
        </is>
      </c>
      <c r="B261" t="inlineStr">
        <is>
          <t>avverkningsanmälan</t>
        </is>
      </c>
      <c r="C261" t="inlineStr">
        <is>
          <t>Föryngringsavverkning</t>
        </is>
      </c>
      <c r="D261" s="1" t="n">
        <v>44517</v>
      </c>
      <c r="E261" s="1" t="n">
        <v>46218</v>
      </c>
      <c r="F261" t="inlineStr">
        <is>
          <t>DALARNAS LÄN</t>
        </is>
      </c>
      <c r="G261" t="inlineStr">
        <is>
          <t>RÄTTVIK</t>
        </is>
      </c>
      <c r="I261" t="n">
        <v>4.7</v>
      </c>
      <c r="J261" t="n">
        <v>0</v>
      </c>
      <c r="K261" t="n">
        <v>0</v>
      </c>
      <c r="L261" t="n">
        <v>0</v>
      </c>
      <c r="M261" t="n">
        <v>0</v>
      </c>
      <c r="N261" t="n">
        <v>0</v>
      </c>
      <c r="O261" t="n">
        <v>0</v>
      </c>
      <c r="P261" t="n">
        <v>0</v>
      </c>
      <c r="Q261" t="n">
        <v>0</v>
      </c>
      <c r="R261" t="n">
        <v>0</v>
      </c>
      <c r="S261" t="n">
        <v>0</v>
      </c>
      <c r="T261" t="n">
        <v>0</v>
      </c>
      <c r="U261" s="2" t="inlineStr"/>
    </row>
    <row r="262" ht="15" customHeight="1">
      <c r="A262" t="inlineStr">
        <is>
          <t>A 34630-2023</t>
        </is>
      </c>
      <c r="B262" t="inlineStr">
        <is>
          <t>avverkningsanmälan</t>
        </is>
      </c>
      <c r="C262" t="inlineStr">
        <is>
          <t>Avverkning för att bevara och utveckla /försöksver</t>
        </is>
      </c>
      <c r="D262" s="1" t="n">
        <v>45139</v>
      </c>
      <c r="E262" s="1" t="n">
        <v>46218</v>
      </c>
      <c r="F262" t="inlineStr">
        <is>
          <t>DALARNAS LÄN</t>
        </is>
      </c>
      <c r="G262" t="inlineStr">
        <is>
          <t>RÄTTVIK</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8552-2023</t>
        </is>
      </c>
      <c r="B263" t="inlineStr">
        <is>
          <t>avverkningsanmälan</t>
        </is>
      </c>
      <c r="C263" t="inlineStr">
        <is>
          <t>Föryngringsavverkning</t>
        </is>
      </c>
      <c r="D263" s="1" t="n">
        <v>44977</v>
      </c>
      <c r="E263" s="1" t="n">
        <v>46218</v>
      </c>
      <c r="F263" t="inlineStr">
        <is>
          <t>DALARNAS LÄN</t>
        </is>
      </c>
      <c r="G263" t="inlineStr">
        <is>
          <t>RÄTTVIK</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42461-2025</t>
        </is>
      </c>
      <c r="B264" t="inlineStr">
        <is>
          <t>avverkningsanmälan</t>
        </is>
      </c>
      <c r="C264" t="inlineStr">
        <is>
          <t>Föryngringsavverkning</t>
        </is>
      </c>
      <c r="D264" s="1" t="n">
        <v>45905</v>
      </c>
      <c r="E264" s="1" t="n">
        <v>46218</v>
      </c>
      <c r="F264" t="inlineStr">
        <is>
          <t>DALARNAS LÄN</t>
        </is>
      </c>
      <c r="G264" t="inlineStr">
        <is>
          <t>RÄTTVIK</t>
        </is>
      </c>
      <c r="H264" t="inlineStr">
        <is>
          <t>Sveaskog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42447-2025</t>
        </is>
      </c>
      <c r="B265" t="inlineStr">
        <is>
          <t>avverkningsanmälan</t>
        </is>
      </c>
      <c r="C265" t="inlineStr">
        <is>
          <t>Föryngringsavverkning</t>
        </is>
      </c>
      <c r="D265" s="1" t="n">
        <v>45905</v>
      </c>
      <c r="E265" s="1" t="n">
        <v>46218</v>
      </c>
      <c r="F265" t="inlineStr">
        <is>
          <t>DALARNAS LÄN</t>
        </is>
      </c>
      <c r="G265" t="inlineStr">
        <is>
          <t>RÄTTVIK</t>
        </is>
      </c>
      <c r="H265" t="inlineStr">
        <is>
          <t>Sveaskog</t>
        </is>
      </c>
      <c r="I265" t="n">
        <v>4.6</v>
      </c>
      <c r="J265" t="n">
        <v>0</v>
      </c>
      <c r="K265" t="n">
        <v>0</v>
      </c>
      <c r="L265" t="n">
        <v>0</v>
      </c>
      <c r="M265" t="n">
        <v>0</v>
      </c>
      <c r="N265" t="n">
        <v>0</v>
      </c>
      <c r="O265" t="n">
        <v>0</v>
      </c>
      <c r="P265" t="n">
        <v>0</v>
      </c>
      <c r="Q265" t="n">
        <v>0</v>
      </c>
      <c r="R265" t="n">
        <v>0</v>
      </c>
      <c r="S265" t="n">
        <v>0</v>
      </c>
      <c r="T265" t="n">
        <v>0</v>
      </c>
      <c r="U265" s="2" t="inlineStr"/>
    </row>
    <row r="266" ht="15" customHeight="1">
      <c r="A266" t="inlineStr">
        <is>
          <t>A 562-2024</t>
        </is>
      </c>
      <c r="B266" t="inlineStr">
        <is>
          <t>avverkningsanmälan</t>
        </is>
      </c>
      <c r="C266" t="inlineStr">
        <is>
          <t>Föryngringsavverkning</t>
        </is>
      </c>
      <c r="D266" s="1" t="n">
        <v>45299</v>
      </c>
      <c r="E266" s="1" t="n">
        <v>46218</v>
      </c>
      <c r="F266" t="inlineStr">
        <is>
          <t>DALARNAS LÄN</t>
        </is>
      </c>
      <c r="G266" t="inlineStr">
        <is>
          <t>RÄTTVIK</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47620-2024</t>
        </is>
      </c>
      <c r="B267" t="inlineStr">
        <is>
          <t>avverkningsanmälan</t>
        </is>
      </c>
      <c r="C267" t="inlineStr">
        <is>
          <t>Föryngringsavverkning</t>
        </is>
      </c>
      <c r="D267" s="1" t="n">
        <v>45588</v>
      </c>
      <c r="E267" s="1" t="n">
        <v>46218</v>
      </c>
      <c r="F267" t="inlineStr">
        <is>
          <t>DALARNAS LÄN</t>
        </is>
      </c>
      <c r="G267" t="inlineStr">
        <is>
          <t>RÄTTVIK</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5651-2025</t>
        </is>
      </c>
      <c r="B268" t="inlineStr">
        <is>
          <t>avverkningsanmälan</t>
        </is>
      </c>
      <c r="C268" t="inlineStr">
        <is>
          <t>Föryngringsavverkning</t>
        </is>
      </c>
      <c r="D268" s="1" t="n">
        <v>45693</v>
      </c>
      <c r="E268" s="1" t="n">
        <v>46218</v>
      </c>
      <c r="F268" t="inlineStr">
        <is>
          <t>DALARNAS LÄN</t>
        </is>
      </c>
      <c r="G268" t="inlineStr">
        <is>
          <t>RÄTTVIK</t>
        </is>
      </c>
      <c r="H268" t="inlineStr">
        <is>
          <t>Bergvik skog väst AB</t>
        </is>
      </c>
      <c r="I268" t="n">
        <v>5.2</v>
      </c>
      <c r="J268" t="n">
        <v>0</v>
      </c>
      <c r="K268" t="n">
        <v>0</v>
      </c>
      <c r="L268" t="n">
        <v>0</v>
      </c>
      <c r="M268" t="n">
        <v>0</v>
      </c>
      <c r="N268" t="n">
        <v>0</v>
      </c>
      <c r="O268" t="n">
        <v>0</v>
      </c>
      <c r="P268" t="n">
        <v>0</v>
      </c>
      <c r="Q268" t="n">
        <v>0</v>
      </c>
      <c r="R268" t="n">
        <v>0</v>
      </c>
      <c r="S268" t="n">
        <v>0</v>
      </c>
      <c r="T268" t="n">
        <v>0</v>
      </c>
      <c r="U268" s="2" t="inlineStr"/>
    </row>
    <row r="269" ht="15" customHeight="1">
      <c r="A269" t="inlineStr">
        <is>
          <t>A 53874-2023</t>
        </is>
      </c>
      <c r="B269" t="inlineStr">
        <is>
          <t>avverkningsanmälan</t>
        </is>
      </c>
      <c r="C269" t="inlineStr">
        <is>
          <t>Föryngringsavverkning</t>
        </is>
      </c>
      <c r="D269" s="1" t="n">
        <v>45231</v>
      </c>
      <c r="E269" s="1" t="n">
        <v>46218</v>
      </c>
      <c r="F269" t="inlineStr">
        <is>
          <t>DALARNAS LÄN</t>
        </is>
      </c>
      <c r="G269" t="inlineStr">
        <is>
          <t>RÄTTVIK</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53876-2023</t>
        </is>
      </c>
      <c r="B270" t="inlineStr">
        <is>
          <t>avverkningsanmälan</t>
        </is>
      </c>
      <c r="C270" t="inlineStr">
        <is>
          <t>Föryngringsavverkning</t>
        </is>
      </c>
      <c r="D270" s="1" t="n">
        <v>45231</v>
      </c>
      <c r="E270" s="1" t="n">
        <v>46218</v>
      </c>
      <c r="F270" t="inlineStr">
        <is>
          <t>DALARNAS LÄN</t>
        </is>
      </c>
      <c r="G270" t="inlineStr">
        <is>
          <t>RÄTTVIK</t>
        </is>
      </c>
      <c r="I270" t="n">
        <v>6.7</v>
      </c>
      <c r="J270" t="n">
        <v>0</v>
      </c>
      <c r="K270" t="n">
        <v>0</v>
      </c>
      <c r="L270" t="n">
        <v>0</v>
      </c>
      <c r="M270" t="n">
        <v>0</v>
      </c>
      <c r="N270" t="n">
        <v>0</v>
      </c>
      <c r="O270" t="n">
        <v>0</v>
      </c>
      <c r="P270" t="n">
        <v>0</v>
      </c>
      <c r="Q270" t="n">
        <v>0</v>
      </c>
      <c r="R270" t="n">
        <v>0</v>
      </c>
      <c r="S270" t="n">
        <v>0</v>
      </c>
      <c r="T270" t="n">
        <v>0</v>
      </c>
      <c r="U270" s="2" t="inlineStr"/>
    </row>
    <row r="271" ht="15" customHeight="1">
      <c r="A271" t="inlineStr">
        <is>
          <t>A 42735-2025</t>
        </is>
      </c>
      <c r="B271" t="inlineStr">
        <is>
          <t>avverkningsanmälan</t>
        </is>
      </c>
      <c r="C271" t="inlineStr">
        <is>
          <t>Avverkning för annat ändamål</t>
        </is>
      </c>
      <c r="D271" s="1" t="n">
        <v>45908</v>
      </c>
      <c r="E271" s="1" t="n">
        <v>46218</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34813-2022</t>
        </is>
      </c>
      <c r="B272" t="inlineStr">
        <is>
          <t>avverkningsanmälan</t>
        </is>
      </c>
      <c r="C272" t="inlineStr">
        <is>
          <t>Föryngringsavverkning</t>
        </is>
      </c>
      <c r="D272" s="1" t="n">
        <v>44796</v>
      </c>
      <c r="E272" s="1" t="n">
        <v>46218</v>
      </c>
      <c r="F272" t="inlineStr">
        <is>
          <t>DALARNAS LÄN</t>
        </is>
      </c>
      <c r="G272" t="inlineStr">
        <is>
          <t>RÄTTVIK</t>
        </is>
      </c>
      <c r="I272" t="n">
        <v>1.5</v>
      </c>
      <c r="J272" t="n">
        <v>0</v>
      </c>
      <c r="K272" t="n">
        <v>0</v>
      </c>
      <c r="L272" t="n">
        <v>0</v>
      </c>
      <c r="M272" t="n">
        <v>0</v>
      </c>
      <c r="N272" t="n">
        <v>0</v>
      </c>
      <c r="O272" t="n">
        <v>0</v>
      </c>
      <c r="P272" t="n">
        <v>0</v>
      </c>
      <c r="Q272" t="n">
        <v>0</v>
      </c>
      <c r="R272" t="n">
        <v>0</v>
      </c>
      <c r="S272" t="n">
        <v>0</v>
      </c>
      <c r="T272" t="n">
        <v>0</v>
      </c>
      <c r="U272" s="2" t="inlineStr"/>
    </row>
    <row r="273" ht="15" customHeight="1">
      <c r="A273" t="inlineStr">
        <is>
          <t>A 36169-2024</t>
        </is>
      </c>
      <c r="B273" t="inlineStr">
        <is>
          <t>avverkningsanmälan</t>
        </is>
      </c>
      <c r="C273" t="inlineStr">
        <is>
          <t>Föryngringsavverkning</t>
        </is>
      </c>
      <c r="D273" s="1" t="n">
        <v>45534</v>
      </c>
      <c r="E273" s="1" t="n">
        <v>46218</v>
      </c>
      <c r="F273" t="inlineStr">
        <is>
          <t>DALARNAS LÄN</t>
        </is>
      </c>
      <c r="G273" t="inlineStr">
        <is>
          <t>RÄTTVIK</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13994-2024</t>
        </is>
      </c>
      <c r="B274" t="inlineStr">
        <is>
          <t>avverkningsanmälan</t>
        </is>
      </c>
      <c r="C274" t="inlineStr">
        <is>
          <t>Föryngringsavverkning</t>
        </is>
      </c>
      <c r="D274" s="1" t="n">
        <v>45392</v>
      </c>
      <c r="E274" s="1" t="n">
        <v>46218</v>
      </c>
      <c r="F274" t="inlineStr">
        <is>
          <t>DALARNAS LÄN</t>
        </is>
      </c>
      <c r="G274" t="inlineStr">
        <is>
          <t>RÄTTVIK</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12069-2023</t>
        </is>
      </c>
      <c r="B275" t="inlineStr">
        <is>
          <t>avverkningsanmälan</t>
        </is>
      </c>
      <c r="C275" t="inlineStr">
        <is>
          <t>Föryngringsavverkning</t>
        </is>
      </c>
      <c r="D275" s="1" t="n">
        <v>44997</v>
      </c>
      <c r="E275" s="1" t="n">
        <v>46218</v>
      </c>
      <c r="F275" t="inlineStr">
        <is>
          <t>DALARNAS LÄN</t>
        </is>
      </c>
      <c r="G275" t="inlineStr">
        <is>
          <t>RÄTTVIK</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7140-2024</t>
        </is>
      </c>
      <c r="B276" t="inlineStr">
        <is>
          <t>avverkningsanmälan</t>
        </is>
      </c>
      <c r="C276" t="inlineStr">
        <is>
          <t>Föryngringsavverkning</t>
        </is>
      </c>
      <c r="D276" s="1" t="n">
        <v>45344</v>
      </c>
      <c r="E276" s="1" t="n">
        <v>46218</v>
      </c>
      <c r="F276" t="inlineStr">
        <is>
          <t>DALARNAS LÄN</t>
        </is>
      </c>
      <c r="G276" t="inlineStr">
        <is>
          <t>RÄTTVIK</t>
        </is>
      </c>
      <c r="I276" t="n">
        <v>5.9</v>
      </c>
      <c r="J276" t="n">
        <v>0</v>
      </c>
      <c r="K276" t="n">
        <v>0</v>
      </c>
      <c r="L276" t="n">
        <v>0</v>
      </c>
      <c r="M276" t="n">
        <v>0</v>
      </c>
      <c r="N276" t="n">
        <v>0</v>
      </c>
      <c r="O276" t="n">
        <v>0</v>
      </c>
      <c r="P276" t="n">
        <v>0</v>
      </c>
      <c r="Q276" t="n">
        <v>0</v>
      </c>
      <c r="R276" t="n">
        <v>0</v>
      </c>
      <c r="S276" t="n">
        <v>0</v>
      </c>
      <c r="T276" t="n">
        <v>0</v>
      </c>
      <c r="U276" s="2" t="inlineStr"/>
    </row>
    <row r="277" ht="15" customHeight="1">
      <c r="A277" t="inlineStr">
        <is>
          <t>A 9211-2024</t>
        </is>
      </c>
      <c r="B277" t="inlineStr">
        <is>
          <t>avverkningsanmälan</t>
        </is>
      </c>
      <c r="C277" t="inlineStr">
        <is>
          <t>Föryngringsavverkning</t>
        </is>
      </c>
      <c r="D277" s="1" t="n">
        <v>45358</v>
      </c>
      <c r="E277" s="1" t="n">
        <v>46218</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13032-2023</t>
        </is>
      </c>
      <c r="B278" t="inlineStr">
        <is>
          <t>avverkningsanmälan</t>
        </is>
      </c>
      <c r="C278" t="inlineStr">
        <is>
          <t>Föryngringsavverkning</t>
        </is>
      </c>
      <c r="D278" s="1" t="n">
        <v>45002</v>
      </c>
      <c r="E278" s="1" t="n">
        <v>46218</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36442-2024</t>
        </is>
      </c>
      <c r="B279" t="inlineStr">
        <is>
          <t>avverkningsanmälan</t>
        </is>
      </c>
      <c r="C279" t="inlineStr">
        <is>
          <t>Föryngringsavverkning</t>
        </is>
      </c>
      <c r="D279" s="1" t="n">
        <v>45537</v>
      </c>
      <c r="E279" s="1" t="n">
        <v>46218</v>
      </c>
      <c r="F279" t="inlineStr">
        <is>
          <t>DALARNAS LÄN</t>
        </is>
      </c>
      <c r="G279" t="inlineStr">
        <is>
          <t>RÄTTVIK</t>
        </is>
      </c>
      <c r="I279" t="n">
        <v>1.7</v>
      </c>
      <c r="J279" t="n">
        <v>0</v>
      </c>
      <c r="K279" t="n">
        <v>0</v>
      </c>
      <c r="L279" t="n">
        <v>0</v>
      </c>
      <c r="M279" t="n">
        <v>0</v>
      </c>
      <c r="N279" t="n">
        <v>0</v>
      </c>
      <c r="O279" t="n">
        <v>0</v>
      </c>
      <c r="P279" t="n">
        <v>0</v>
      </c>
      <c r="Q279" t="n">
        <v>0</v>
      </c>
      <c r="R279" t="n">
        <v>0</v>
      </c>
      <c r="S279" t="n">
        <v>0</v>
      </c>
      <c r="T279" t="n">
        <v>0</v>
      </c>
      <c r="U279" s="2" t="inlineStr"/>
    </row>
    <row r="280" ht="15" customHeight="1">
      <c r="A280" t="inlineStr">
        <is>
          <t>A 43258-2025</t>
        </is>
      </c>
      <c r="B280" t="inlineStr">
        <is>
          <t>avverkningsanmälan</t>
        </is>
      </c>
      <c r="C280" t="inlineStr">
        <is>
          <t>Föryngringsavverkning</t>
        </is>
      </c>
      <c r="D280" s="1" t="n">
        <v>45910</v>
      </c>
      <c r="E280" s="1" t="n">
        <v>46218</v>
      </c>
      <c r="F280" t="inlineStr">
        <is>
          <t>DALARNAS LÄN</t>
        </is>
      </c>
      <c r="G280" t="inlineStr">
        <is>
          <t>RÄTTVIK</t>
        </is>
      </c>
      <c r="H280" t="inlineStr">
        <is>
          <t>Bergvik skog väst AB</t>
        </is>
      </c>
      <c r="I280" t="n">
        <v>5.8</v>
      </c>
      <c r="J280" t="n">
        <v>0</v>
      </c>
      <c r="K280" t="n">
        <v>0</v>
      </c>
      <c r="L280" t="n">
        <v>0</v>
      </c>
      <c r="M280" t="n">
        <v>0</v>
      </c>
      <c r="N280" t="n">
        <v>0</v>
      </c>
      <c r="O280" t="n">
        <v>0</v>
      </c>
      <c r="P280" t="n">
        <v>0</v>
      </c>
      <c r="Q280" t="n">
        <v>0</v>
      </c>
      <c r="R280" t="n">
        <v>0</v>
      </c>
      <c r="S280" t="n">
        <v>0</v>
      </c>
      <c r="T280" t="n">
        <v>0</v>
      </c>
      <c r="U280" s="2" t="inlineStr"/>
    </row>
    <row r="281" ht="15" customHeight="1">
      <c r="A281" t="inlineStr">
        <is>
          <t>A 43282-2025</t>
        </is>
      </c>
      <c r="B281" t="inlineStr">
        <is>
          <t>avverkningsanmälan</t>
        </is>
      </c>
      <c r="C281" t="inlineStr">
        <is>
          <t>Föryngringsavverkning</t>
        </is>
      </c>
      <c r="D281" s="1" t="n">
        <v>45910</v>
      </c>
      <c r="E281" s="1" t="n">
        <v>46218</v>
      </c>
      <c r="F281" t="inlineStr">
        <is>
          <t>DALARNAS LÄN</t>
        </is>
      </c>
      <c r="G281" t="inlineStr">
        <is>
          <t>RÄTTVIK</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60958-2023</t>
        </is>
      </c>
      <c r="B282" t="inlineStr">
        <is>
          <t>avverkningsanmälan</t>
        </is>
      </c>
      <c r="C282" t="inlineStr">
        <is>
          <t>Föryngringsavverkning</t>
        </is>
      </c>
      <c r="D282" s="1" t="n">
        <v>45259</v>
      </c>
      <c r="E282" s="1" t="n">
        <v>46218</v>
      </c>
      <c r="F282" t="inlineStr">
        <is>
          <t>DALARNAS LÄN</t>
        </is>
      </c>
      <c r="G282" t="inlineStr">
        <is>
          <t>RÄTTVIK</t>
        </is>
      </c>
      <c r="I282" t="n">
        <v>7.5</v>
      </c>
      <c r="J282" t="n">
        <v>0</v>
      </c>
      <c r="K282" t="n">
        <v>0</v>
      </c>
      <c r="L282" t="n">
        <v>0</v>
      </c>
      <c r="M282" t="n">
        <v>0</v>
      </c>
      <c r="N282" t="n">
        <v>0</v>
      </c>
      <c r="O282" t="n">
        <v>0</v>
      </c>
      <c r="P282" t="n">
        <v>0</v>
      </c>
      <c r="Q282" t="n">
        <v>0</v>
      </c>
      <c r="R282" t="n">
        <v>0</v>
      </c>
      <c r="S282" t="n">
        <v>0</v>
      </c>
      <c r="T282" t="n">
        <v>0</v>
      </c>
      <c r="U282" s="2" t="inlineStr"/>
    </row>
    <row r="283" ht="15" customHeight="1">
      <c r="A283" t="inlineStr">
        <is>
          <t>A 60-2023</t>
        </is>
      </c>
      <c r="B283" t="inlineStr">
        <is>
          <t>avverkningsanmälan</t>
        </is>
      </c>
      <c r="C283" t="inlineStr">
        <is>
          <t>Föryngringsavverkning</t>
        </is>
      </c>
      <c r="D283" s="1" t="n">
        <v>44928</v>
      </c>
      <c r="E283" s="1" t="n">
        <v>46218</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56383-2024</t>
        </is>
      </c>
      <c r="B284" t="inlineStr">
        <is>
          <t>avverkningsanmälan</t>
        </is>
      </c>
      <c r="C284" t="inlineStr">
        <is>
          <t>Föryngringsavverkning</t>
        </is>
      </c>
      <c r="D284" s="1" t="n">
        <v>45625</v>
      </c>
      <c r="E284" s="1" t="n">
        <v>46218</v>
      </c>
      <c r="F284" t="inlineStr">
        <is>
          <t>DALARNAS LÄN</t>
        </is>
      </c>
      <c r="G284" t="inlineStr">
        <is>
          <t>RÄTTVIK</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55263-2023</t>
        </is>
      </c>
      <c r="B285" t="inlineStr">
        <is>
          <t>avverkningsanmälan</t>
        </is>
      </c>
      <c r="C285" t="inlineStr">
        <is>
          <t>Föryngringsavverkning</t>
        </is>
      </c>
      <c r="D285" s="1" t="n">
        <v>45231</v>
      </c>
      <c r="E285" s="1" t="n">
        <v>46218</v>
      </c>
      <c r="F285" t="inlineStr">
        <is>
          <t>DALARNAS LÄN</t>
        </is>
      </c>
      <c r="G285" t="inlineStr">
        <is>
          <t>RÄTTVIK</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55270-2023</t>
        </is>
      </c>
      <c r="B286" t="inlineStr">
        <is>
          <t>avverkningsanmälan</t>
        </is>
      </c>
      <c r="C286" t="inlineStr">
        <is>
          <t>Föryngringsavverkning</t>
        </is>
      </c>
      <c r="D286" s="1" t="n">
        <v>45231</v>
      </c>
      <c r="E286" s="1" t="n">
        <v>46218</v>
      </c>
      <c r="F286" t="inlineStr">
        <is>
          <t>DALARNAS LÄN</t>
        </is>
      </c>
      <c r="G286" t="inlineStr">
        <is>
          <t>RÄTTVIK</t>
        </is>
      </c>
      <c r="I286" t="n">
        <v>5.9</v>
      </c>
      <c r="J286" t="n">
        <v>0</v>
      </c>
      <c r="K286" t="n">
        <v>0</v>
      </c>
      <c r="L286" t="n">
        <v>0</v>
      </c>
      <c r="M286" t="n">
        <v>0</v>
      </c>
      <c r="N286" t="n">
        <v>0</v>
      </c>
      <c r="O286" t="n">
        <v>0</v>
      </c>
      <c r="P286" t="n">
        <v>0</v>
      </c>
      <c r="Q286" t="n">
        <v>0</v>
      </c>
      <c r="R286" t="n">
        <v>0</v>
      </c>
      <c r="S286" t="n">
        <v>0</v>
      </c>
      <c r="T286" t="n">
        <v>0</v>
      </c>
      <c r="U286" s="2" t="inlineStr"/>
    </row>
    <row r="287" ht="15" customHeight="1">
      <c r="A287" t="inlineStr">
        <is>
          <t>A 6189-2023</t>
        </is>
      </c>
      <c r="B287" t="inlineStr">
        <is>
          <t>avverkningsanmälan</t>
        </is>
      </c>
      <c r="C287" t="inlineStr">
        <is>
          <t>Föryngringsavverkning</t>
        </is>
      </c>
      <c r="D287" s="1" t="n">
        <v>44964</v>
      </c>
      <c r="E287" s="1" t="n">
        <v>46218</v>
      </c>
      <c r="F287" t="inlineStr">
        <is>
          <t>DALARNAS LÄN</t>
        </is>
      </c>
      <c r="G287" t="inlineStr">
        <is>
          <t>RÄTTVIK</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15767-2023</t>
        </is>
      </c>
      <c r="B288" t="inlineStr">
        <is>
          <t>avverkningsanmälan</t>
        </is>
      </c>
      <c r="C288" t="inlineStr">
        <is>
          <t>Föryngringsavverkning</t>
        </is>
      </c>
      <c r="D288" s="1" t="n">
        <v>45021</v>
      </c>
      <c r="E288" s="1" t="n">
        <v>46218</v>
      </c>
      <c r="F288" t="inlineStr">
        <is>
          <t>DALARNAS LÄN</t>
        </is>
      </c>
      <c r="G288" t="inlineStr">
        <is>
          <t>RÄTTVIK</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28013-2022</t>
        </is>
      </c>
      <c r="B289" t="inlineStr">
        <is>
          <t>avverkningsanmälan</t>
        </is>
      </c>
      <c r="C289" t="inlineStr">
        <is>
          <t>Föryngringsavverkning</t>
        </is>
      </c>
      <c r="D289" s="1" t="n">
        <v>44746</v>
      </c>
      <c r="E289" s="1" t="n">
        <v>46218</v>
      </c>
      <c r="F289" t="inlineStr">
        <is>
          <t>DALARNAS LÄN</t>
        </is>
      </c>
      <c r="G289" t="inlineStr">
        <is>
          <t>RÄTTVIK</t>
        </is>
      </c>
      <c r="I289" t="n">
        <v>3.6</v>
      </c>
      <c r="J289" t="n">
        <v>0</v>
      </c>
      <c r="K289" t="n">
        <v>0</v>
      </c>
      <c r="L289" t="n">
        <v>0</v>
      </c>
      <c r="M289" t="n">
        <v>0</v>
      </c>
      <c r="N289" t="n">
        <v>0</v>
      </c>
      <c r="O289" t="n">
        <v>0</v>
      </c>
      <c r="P289" t="n">
        <v>0</v>
      </c>
      <c r="Q289" t="n">
        <v>0</v>
      </c>
      <c r="R289" t="n">
        <v>0</v>
      </c>
      <c r="S289" t="n">
        <v>0</v>
      </c>
      <c r="T289" t="n">
        <v>0</v>
      </c>
      <c r="U289" s="2" t="inlineStr"/>
    </row>
    <row r="290" ht="15" customHeight="1">
      <c r="A290" t="inlineStr">
        <is>
          <t>A 65176-2021</t>
        </is>
      </c>
      <c r="B290" t="inlineStr">
        <is>
          <t>avverkningsanmälan</t>
        </is>
      </c>
      <c r="C290" t="inlineStr">
        <is>
          <t>Föryngringsavverkning</t>
        </is>
      </c>
      <c r="D290" s="1" t="n">
        <v>44515</v>
      </c>
      <c r="E290" s="1" t="n">
        <v>46218</v>
      </c>
      <c r="F290" t="inlineStr">
        <is>
          <t>DALARNAS LÄN</t>
        </is>
      </c>
      <c r="G290" t="inlineStr">
        <is>
          <t>RÄTTVIK</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3643-2024</t>
        </is>
      </c>
      <c r="B291" t="inlineStr">
        <is>
          <t>avverkningsanmälan</t>
        </is>
      </c>
      <c r="C291" t="inlineStr">
        <is>
          <t>Föryngringsavverkning</t>
        </is>
      </c>
      <c r="D291" s="1" t="n">
        <v>45321</v>
      </c>
      <c r="E291" s="1" t="n">
        <v>46218</v>
      </c>
      <c r="F291" t="inlineStr">
        <is>
          <t>DALARNAS LÄN</t>
        </is>
      </c>
      <c r="G291" t="inlineStr">
        <is>
          <t>RÄTTVIK</t>
        </is>
      </c>
      <c r="I291" t="n">
        <v>0.2</v>
      </c>
      <c r="J291" t="n">
        <v>0</v>
      </c>
      <c r="K291" t="n">
        <v>0</v>
      </c>
      <c r="L291" t="n">
        <v>0</v>
      </c>
      <c r="M291" t="n">
        <v>0</v>
      </c>
      <c r="N291" t="n">
        <v>0</v>
      </c>
      <c r="O291" t="n">
        <v>0</v>
      </c>
      <c r="P291" t="n">
        <v>0</v>
      </c>
      <c r="Q291" t="n">
        <v>0</v>
      </c>
      <c r="R291" t="n">
        <v>0</v>
      </c>
      <c r="S291" t="n">
        <v>0</v>
      </c>
      <c r="T291" t="n">
        <v>0</v>
      </c>
      <c r="U291" s="2" t="inlineStr"/>
    </row>
    <row r="292" ht="15" customHeight="1">
      <c r="A292" t="inlineStr">
        <is>
          <t>A 43935-2025</t>
        </is>
      </c>
      <c r="B292" t="inlineStr">
        <is>
          <t>avverkningsanmälan</t>
        </is>
      </c>
      <c r="C292" t="inlineStr">
        <is>
          <t>Föryngringsavverkning</t>
        </is>
      </c>
      <c r="D292" s="1" t="n">
        <v>45915</v>
      </c>
      <c r="E292" s="1" t="n">
        <v>46218</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43941-2025</t>
        </is>
      </c>
      <c r="B293" t="inlineStr">
        <is>
          <t>avverkningsanmälan</t>
        </is>
      </c>
      <c r="C293" t="inlineStr">
        <is>
          <t>Föryngringsavverkning</t>
        </is>
      </c>
      <c r="D293" s="1" t="n">
        <v>45915</v>
      </c>
      <c r="E293" s="1" t="n">
        <v>46218</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43937-2025</t>
        </is>
      </c>
      <c r="B294" t="inlineStr">
        <is>
          <t>avverkningsanmälan</t>
        </is>
      </c>
      <c r="C294" t="inlineStr">
        <is>
          <t>Föryngringsavverkning</t>
        </is>
      </c>
      <c r="D294" s="1" t="n">
        <v>45915</v>
      </c>
      <c r="E294" s="1" t="n">
        <v>46218</v>
      </c>
      <c r="F294" t="inlineStr">
        <is>
          <t>DALARNAS LÄN</t>
        </is>
      </c>
      <c r="G294" t="inlineStr">
        <is>
          <t>RÄTTVIK</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43945-2025</t>
        </is>
      </c>
      <c r="B295" t="inlineStr">
        <is>
          <t>avverkningsanmälan</t>
        </is>
      </c>
      <c r="C295" t="inlineStr">
        <is>
          <t>Föryngringsavverkning</t>
        </is>
      </c>
      <c r="D295" s="1" t="n">
        <v>45915</v>
      </c>
      <c r="E295" s="1" t="n">
        <v>46218</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44264-2025</t>
        </is>
      </c>
      <c r="B296" t="inlineStr">
        <is>
          <t>avverkningsanmälan</t>
        </is>
      </c>
      <c r="C296" t="inlineStr">
        <is>
          <t>Föryngringsavverkning</t>
        </is>
      </c>
      <c r="D296" s="1" t="n">
        <v>45916</v>
      </c>
      <c r="E296" s="1" t="n">
        <v>46218</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46905-2023</t>
        </is>
      </c>
      <c r="B297" t="inlineStr">
        <is>
          <t>avverkningsanmälan</t>
        </is>
      </c>
      <c r="C297" t="inlineStr">
        <is>
          <t>Föryngringsavverkning</t>
        </is>
      </c>
      <c r="D297" s="1" t="n">
        <v>45201</v>
      </c>
      <c r="E297" s="1" t="n">
        <v>46218</v>
      </c>
      <c r="F297" t="inlineStr">
        <is>
          <t>DALARNAS LÄN</t>
        </is>
      </c>
      <c r="G297" t="inlineStr">
        <is>
          <t>RÄTTVIK</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28660-2024</t>
        </is>
      </c>
      <c r="B298" t="inlineStr">
        <is>
          <t>avverkningsanmälan</t>
        </is>
      </c>
      <c r="C298" t="inlineStr">
        <is>
          <t>Föryngringsavverkning</t>
        </is>
      </c>
      <c r="D298" s="1" t="n">
        <v>45478</v>
      </c>
      <c r="E298" s="1" t="n">
        <v>46218</v>
      </c>
      <c r="F298" t="inlineStr">
        <is>
          <t>DALARNAS LÄN</t>
        </is>
      </c>
      <c r="G298" t="inlineStr">
        <is>
          <t>RÄTTVIK</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40994-2024</t>
        </is>
      </c>
      <c r="B299" t="inlineStr">
        <is>
          <t>avverkningsanmälan</t>
        </is>
      </c>
      <c r="C299" t="inlineStr">
        <is>
          <t>Föryngringsavverkning</t>
        </is>
      </c>
      <c r="D299" s="1" t="n">
        <v>45558</v>
      </c>
      <c r="E299" s="1" t="n">
        <v>46218</v>
      </c>
      <c r="F299" t="inlineStr">
        <is>
          <t>DALARNAS LÄN</t>
        </is>
      </c>
      <c r="G299" t="inlineStr">
        <is>
          <t>RÄTTVIK</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3686-2024</t>
        </is>
      </c>
      <c r="B300" t="inlineStr">
        <is>
          <t>avverkningsanmälan</t>
        </is>
      </c>
      <c r="C300" t="inlineStr">
        <is>
          <t>Föryngringsavverkning</t>
        </is>
      </c>
      <c r="D300" s="1" t="n">
        <v>45321</v>
      </c>
      <c r="E300" s="1" t="n">
        <v>46218</v>
      </c>
      <c r="F300" t="inlineStr">
        <is>
          <t>DALARNAS LÄN</t>
        </is>
      </c>
      <c r="G300" t="inlineStr">
        <is>
          <t>RÄTTVIK</t>
        </is>
      </c>
      <c r="I300" t="n">
        <v>0.2</v>
      </c>
      <c r="J300" t="n">
        <v>0</v>
      </c>
      <c r="K300" t="n">
        <v>0</v>
      </c>
      <c r="L300" t="n">
        <v>0</v>
      </c>
      <c r="M300" t="n">
        <v>0</v>
      </c>
      <c r="N300" t="n">
        <v>0</v>
      </c>
      <c r="O300" t="n">
        <v>0</v>
      </c>
      <c r="P300" t="n">
        <v>0</v>
      </c>
      <c r="Q300" t="n">
        <v>0</v>
      </c>
      <c r="R300" t="n">
        <v>0</v>
      </c>
      <c r="S300" t="n">
        <v>0</v>
      </c>
      <c r="T300" t="n">
        <v>0</v>
      </c>
      <c r="U300" s="2" t="inlineStr"/>
    </row>
    <row r="301" ht="15" customHeight="1">
      <c r="A301" t="inlineStr">
        <is>
          <t>A 7146-2024</t>
        </is>
      </c>
      <c r="B301" t="inlineStr">
        <is>
          <t>avverkningsanmälan</t>
        </is>
      </c>
      <c r="C301" t="inlineStr">
        <is>
          <t>Föryngringsavverkning</t>
        </is>
      </c>
      <c r="D301" s="1" t="n">
        <v>45344</v>
      </c>
      <c r="E301" s="1" t="n">
        <v>46218</v>
      </c>
      <c r="F301" t="inlineStr">
        <is>
          <t>DALARNAS LÄN</t>
        </is>
      </c>
      <c r="G301" t="inlineStr">
        <is>
          <t>RÄTTVIK</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12617-2022</t>
        </is>
      </c>
      <c r="B302" t="inlineStr">
        <is>
          <t>avverkningsanmälan</t>
        </is>
      </c>
      <c r="C302" t="inlineStr">
        <is>
          <t>Föryngringsavverkning</t>
        </is>
      </c>
      <c r="D302" s="1" t="n">
        <v>44641</v>
      </c>
      <c r="E302" s="1" t="n">
        <v>46218</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33140-2024</t>
        </is>
      </c>
      <c r="B303" t="inlineStr">
        <is>
          <t>avverkningsanmälan</t>
        </is>
      </c>
      <c r="C303" t="inlineStr">
        <is>
          <t>Föryngringsavverkning</t>
        </is>
      </c>
      <c r="D303" s="1" t="n">
        <v>45518</v>
      </c>
      <c r="E303" s="1" t="n">
        <v>46218</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13572-2025</t>
        </is>
      </c>
      <c r="B304" t="inlineStr">
        <is>
          <t>avverkningsanmälan</t>
        </is>
      </c>
      <c r="C304" t="inlineStr">
        <is>
          <t>Föryngringsavverkning</t>
        </is>
      </c>
      <c r="D304" s="1" t="n">
        <v>45736</v>
      </c>
      <c r="E304" s="1" t="n">
        <v>46218</v>
      </c>
      <c r="F304" t="inlineStr">
        <is>
          <t>DALARNAS LÄN</t>
        </is>
      </c>
      <c r="G304" t="inlineStr">
        <is>
          <t>RÄTTVIK</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50153-2024</t>
        </is>
      </c>
      <c r="B305" t="inlineStr">
        <is>
          <t>avverkningsanmälan</t>
        </is>
      </c>
      <c r="C305" t="inlineStr">
        <is>
          <t>Föryngringsavverkning</t>
        </is>
      </c>
      <c r="D305" s="1" t="n">
        <v>45600</v>
      </c>
      <c r="E305" s="1" t="n">
        <v>46218</v>
      </c>
      <c r="F305" t="inlineStr">
        <is>
          <t>DALARNAS LÄN</t>
        </is>
      </c>
      <c r="G305" t="inlineStr">
        <is>
          <t>RÄTTVIK</t>
        </is>
      </c>
      <c r="I305" t="n">
        <v>9.800000000000001</v>
      </c>
      <c r="J305" t="n">
        <v>0</v>
      </c>
      <c r="K305" t="n">
        <v>0</v>
      </c>
      <c r="L305" t="n">
        <v>0</v>
      </c>
      <c r="M305" t="n">
        <v>0</v>
      </c>
      <c r="N305" t="n">
        <v>0</v>
      </c>
      <c r="O305" t="n">
        <v>0</v>
      </c>
      <c r="P305" t="n">
        <v>0</v>
      </c>
      <c r="Q305" t="n">
        <v>0</v>
      </c>
      <c r="R305" t="n">
        <v>0</v>
      </c>
      <c r="S305" t="n">
        <v>0</v>
      </c>
      <c r="T305" t="n">
        <v>0</v>
      </c>
      <c r="U305" s="2" t="inlineStr"/>
    </row>
    <row r="306" ht="15" customHeight="1">
      <c r="A306" t="inlineStr">
        <is>
          <t>A 37125-2024</t>
        </is>
      </c>
      <c r="B306" t="inlineStr">
        <is>
          <t>avverkningsanmälan</t>
        </is>
      </c>
      <c r="C306" t="inlineStr">
        <is>
          <t>Föryngringsavverkning</t>
        </is>
      </c>
      <c r="D306" s="1" t="n">
        <v>45539</v>
      </c>
      <c r="E306" s="1" t="n">
        <v>46218</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37034-2024</t>
        </is>
      </c>
      <c r="B307" t="inlineStr">
        <is>
          <t>avverkningsanmälan</t>
        </is>
      </c>
      <c r="C307" t="inlineStr">
        <is>
          <t>Föryngringsavverkning</t>
        </is>
      </c>
      <c r="D307" s="1" t="n">
        <v>45539</v>
      </c>
      <c r="E307" s="1" t="n">
        <v>46218</v>
      </c>
      <c r="F307" t="inlineStr">
        <is>
          <t>DALARNAS LÄN</t>
        </is>
      </c>
      <c r="G307" t="inlineStr">
        <is>
          <t>RÄTTVIK</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37050-2024</t>
        </is>
      </c>
      <c r="B308" t="inlineStr">
        <is>
          <t>avverkningsanmälan</t>
        </is>
      </c>
      <c r="C308" t="inlineStr">
        <is>
          <t>Föryngringsavverkning</t>
        </is>
      </c>
      <c r="D308" s="1" t="n">
        <v>45539</v>
      </c>
      <c r="E308" s="1" t="n">
        <v>46218</v>
      </c>
      <c r="F308" t="inlineStr">
        <is>
          <t>DALARNAS LÄN</t>
        </is>
      </c>
      <c r="G308" t="inlineStr">
        <is>
          <t>RÄTTVIK</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61814-2023</t>
        </is>
      </c>
      <c r="B309" t="inlineStr">
        <is>
          <t>avverkningsanmälan</t>
        </is>
      </c>
      <c r="C309" t="inlineStr">
        <is>
          <t>Föryngringsavverkning</t>
        </is>
      </c>
      <c r="D309" s="1" t="n">
        <v>45266</v>
      </c>
      <c r="E309" s="1" t="n">
        <v>46218</v>
      </c>
      <c r="F309" t="inlineStr">
        <is>
          <t>DALARNAS LÄN</t>
        </is>
      </c>
      <c r="G309" t="inlineStr">
        <is>
          <t>RÄTTVIK</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55696-2023</t>
        </is>
      </c>
      <c r="B310" t="inlineStr">
        <is>
          <t>avverkningsanmälan</t>
        </is>
      </c>
      <c r="C310" t="inlineStr">
        <is>
          <t>Föryngringsavverkning</t>
        </is>
      </c>
      <c r="D310" s="1" t="n">
        <v>45232</v>
      </c>
      <c r="E310" s="1" t="n">
        <v>46218</v>
      </c>
      <c r="F310" t="inlineStr">
        <is>
          <t>DALARNAS LÄN</t>
        </is>
      </c>
      <c r="G310" t="inlineStr">
        <is>
          <t>RÄTTVIK</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18064-2022</t>
        </is>
      </c>
      <c r="B311" t="inlineStr">
        <is>
          <t>avverkningsanmälan</t>
        </is>
      </c>
      <c r="C311" t="inlineStr">
        <is>
          <t>Föryngringsavverkning</t>
        </is>
      </c>
      <c r="D311" s="1" t="n">
        <v>44684</v>
      </c>
      <c r="E311" s="1" t="n">
        <v>46218</v>
      </c>
      <c r="F311" t="inlineStr">
        <is>
          <t>DALARNAS LÄN</t>
        </is>
      </c>
      <c r="G311" t="inlineStr">
        <is>
          <t>RÄTTVIK</t>
        </is>
      </c>
      <c r="I311" t="n">
        <v>4.2</v>
      </c>
      <c r="J311" t="n">
        <v>0</v>
      </c>
      <c r="K311" t="n">
        <v>0</v>
      </c>
      <c r="L311" t="n">
        <v>0</v>
      </c>
      <c r="M311" t="n">
        <v>0</v>
      </c>
      <c r="N311" t="n">
        <v>0</v>
      </c>
      <c r="O311" t="n">
        <v>0</v>
      </c>
      <c r="P311" t="n">
        <v>0</v>
      </c>
      <c r="Q311" t="n">
        <v>0</v>
      </c>
      <c r="R311" t="n">
        <v>0</v>
      </c>
      <c r="S311" t="n">
        <v>0</v>
      </c>
      <c r="T311" t="n">
        <v>0</v>
      </c>
      <c r="U311" s="2" t="inlineStr"/>
    </row>
    <row r="312" ht="15" customHeight="1">
      <c r="A312" t="inlineStr">
        <is>
          <t>A 45049-2025</t>
        </is>
      </c>
      <c r="B312" t="inlineStr">
        <is>
          <t>avverkningsanmälan</t>
        </is>
      </c>
      <c r="C312" t="inlineStr">
        <is>
          <t>Föryngringsavverkning</t>
        </is>
      </c>
      <c r="D312" s="1" t="n">
        <v>45919</v>
      </c>
      <c r="E312" s="1" t="n">
        <v>46218</v>
      </c>
      <c r="F312" t="inlineStr">
        <is>
          <t>DALARNAS LÄN</t>
        </is>
      </c>
      <c r="G312" t="inlineStr">
        <is>
          <t>RÄTTVIK</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56553-2023</t>
        </is>
      </c>
      <c r="B313" t="inlineStr">
        <is>
          <t>avverkningsanmälan</t>
        </is>
      </c>
      <c r="C313" t="inlineStr">
        <is>
          <t>Föryngringsavverkning</t>
        </is>
      </c>
      <c r="D313" s="1" t="n">
        <v>45243</v>
      </c>
      <c r="E313" s="1" t="n">
        <v>46218</v>
      </c>
      <c r="F313" t="inlineStr">
        <is>
          <t>DALARNAS LÄN</t>
        </is>
      </c>
      <c r="G313" t="inlineStr">
        <is>
          <t>RÄTTVIK</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37124-2024</t>
        </is>
      </c>
      <c r="B314" t="inlineStr">
        <is>
          <t>avverkningsanmälan</t>
        </is>
      </c>
      <c r="C314" t="inlineStr">
        <is>
          <t>Avverkning för annat ändamål</t>
        </is>
      </c>
      <c r="D314" s="1" t="n">
        <v>45539</v>
      </c>
      <c r="E314" s="1" t="n">
        <v>46218</v>
      </c>
      <c r="F314" t="inlineStr">
        <is>
          <t>DALARNAS LÄN</t>
        </is>
      </c>
      <c r="G314" t="inlineStr">
        <is>
          <t>RÄTTVIK</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45295-2025</t>
        </is>
      </c>
      <c r="B315" t="inlineStr">
        <is>
          <t>avverkningsanmälan</t>
        </is>
      </c>
      <c r="C315" t="inlineStr">
        <is>
          <t>Föryngringsavverkning</t>
        </is>
      </c>
      <c r="D315" s="1" t="n">
        <v>45920</v>
      </c>
      <c r="E315" s="1" t="n">
        <v>46218</v>
      </c>
      <c r="F315" t="inlineStr">
        <is>
          <t>DALARNAS LÄN</t>
        </is>
      </c>
      <c r="G315" t="inlineStr">
        <is>
          <t>RÄTTVIK</t>
        </is>
      </c>
      <c r="I315" t="n">
        <v>12.4</v>
      </c>
      <c r="J315" t="n">
        <v>0</v>
      </c>
      <c r="K315" t="n">
        <v>0</v>
      </c>
      <c r="L315" t="n">
        <v>0</v>
      </c>
      <c r="M315" t="n">
        <v>0</v>
      </c>
      <c r="N315" t="n">
        <v>0</v>
      </c>
      <c r="O315" t="n">
        <v>0</v>
      </c>
      <c r="P315" t="n">
        <v>0</v>
      </c>
      <c r="Q315" t="n">
        <v>0</v>
      </c>
      <c r="R315" t="n">
        <v>0</v>
      </c>
      <c r="S315" t="n">
        <v>0</v>
      </c>
      <c r="T315" t="n">
        <v>0</v>
      </c>
      <c r="U315" s="2" t="inlineStr"/>
    </row>
    <row r="316" ht="15" customHeight="1">
      <c r="A316" t="inlineStr">
        <is>
          <t>A 58700-2024</t>
        </is>
      </c>
      <c r="B316" t="inlineStr">
        <is>
          <t>avverkningsanmälan</t>
        </is>
      </c>
      <c r="C316" t="inlineStr">
        <is>
          <t>Föryngringsavverkning</t>
        </is>
      </c>
      <c r="D316" s="1" t="n">
        <v>45635</v>
      </c>
      <c r="E316" s="1" t="n">
        <v>46218</v>
      </c>
      <c r="F316" t="inlineStr">
        <is>
          <t>DALARNAS LÄN</t>
        </is>
      </c>
      <c r="G316" t="inlineStr">
        <is>
          <t>RÄTTVIK</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60984-2023</t>
        </is>
      </c>
      <c r="B317" t="inlineStr">
        <is>
          <t>avverkningsanmälan</t>
        </is>
      </c>
      <c r="C317" t="inlineStr">
        <is>
          <t>Föryngringsavverkning</t>
        </is>
      </c>
      <c r="D317" s="1" t="n">
        <v>45259</v>
      </c>
      <c r="E317" s="1" t="n">
        <v>46218</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s="2" t="inlineStr"/>
    </row>
    <row r="318" ht="15" customHeight="1">
      <c r="A318" t="inlineStr">
        <is>
          <t>A 29010-2022</t>
        </is>
      </c>
      <c r="B318" t="inlineStr">
        <is>
          <t>avverkningsanmälan</t>
        </is>
      </c>
      <c r="C318" t="inlineStr">
        <is>
          <t>Föryngringsavverkning</t>
        </is>
      </c>
      <c r="D318" s="1" t="n">
        <v>44747</v>
      </c>
      <c r="E318" s="1" t="n">
        <v>46218</v>
      </c>
      <c r="F318" t="inlineStr">
        <is>
          <t>DALARNAS LÄN</t>
        </is>
      </c>
      <c r="G318" t="inlineStr">
        <is>
          <t>RÄTTVIK</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2007-2025</t>
        </is>
      </c>
      <c r="B319" t="inlineStr">
        <is>
          <t>avverkningsanmälan</t>
        </is>
      </c>
      <c r="C319" t="inlineStr">
        <is>
          <t>Föryngringsavverkning</t>
        </is>
      </c>
      <c r="D319" s="1" t="n">
        <v>45672</v>
      </c>
      <c r="E319" s="1" t="n">
        <v>46218</v>
      </c>
      <c r="F319" t="inlineStr">
        <is>
          <t>DALARNAS LÄN</t>
        </is>
      </c>
      <c r="G319" t="inlineStr">
        <is>
          <t>RÄTTVIK</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8537-2023</t>
        </is>
      </c>
      <c r="B320" t="inlineStr">
        <is>
          <t>avverkningsanmälan</t>
        </is>
      </c>
      <c r="C320" t="inlineStr">
        <is>
          <t>Föryngringsavverkning</t>
        </is>
      </c>
      <c r="D320" s="1" t="n">
        <v>44977</v>
      </c>
      <c r="E320" s="1" t="n">
        <v>46218</v>
      </c>
      <c r="F320" t="inlineStr">
        <is>
          <t>DALARNAS LÄN</t>
        </is>
      </c>
      <c r="G320" t="inlineStr">
        <is>
          <t>RÄTTVIK</t>
        </is>
      </c>
      <c r="I320" t="n">
        <v>4</v>
      </c>
      <c r="J320" t="n">
        <v>0</v>
      </c>
      <c r="K320" t="n">
        <v>0</v>
      </c>
      <c r="L320" t="n">
        <v>0</v>
      </c>
      <c r="M320" t="n">
        <v>0</v>
      </c>
      <c r="N320" t="n">
        <v>0</v>
      </c>
      <c r="O320" t="n">
        <v>0</v>
      </c>
      <c r="P320" t="n">
        <v>0</v>
      </c>
      <c r="Q320" t="n">
        <v>0</v>
      </c>
      <c r="R320" t="n">
        <v>0</v>
      </c>
      <c r="S320" t="n">
        <v>0</v>
      </c>
      <c r="T320" t="n">
        <v>0</v>
      </c>
      <c r="U320" s="2" t="inlineStr"/>
    </row>
    <row r="321" ht="15" customHeight="1">
      <c r="A321" t="inlineStr">
        <is>
          <t>A 45806-2025</t>
        </is>
      </c>
      <c r="B321" t="inlineStr">
        <is>
          <t>avverkningsanmälan</t>
        </is>
      </c>
      <c r="C321" t="inlineStr">
        <is>
          <t>Föryngringsavverkning</t>
        </is>
      </c>
      <c r="D321" s="1" t="n">
        <v>45923</v>
      </c>
      <c r="E321" s="1" t="n">
        <v>46218</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45681-2025</t>
        </is>
      </c>
      <c r="B322" t="inlineStr">
        <is>
          <t>avverkningsanmälan</t>
        </is>
      </c>
      <c r="C322" t="inlineStr">
        <is>
          <t>Föryngringsavverkning</t>
        </is>
      </c>
      <c r="D322" s="1" t="n">
        <v>45923</v>
      </c>
      <c r="E322" s="1" t="n">
        <v>46218</v>
      </c>
      <c r="F322" t="inlineStr">
        <is>
          <t>DALARNAS LÄN</t>
        </is>
      </c>
      <c r="G322" t="inlineStr">
        <is>
          <t>RÄTTVIK</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43563-2024</t>
        </is>
      </c>
      <c r="B323" t="inlineStr">
        <is>
          <t>avverkningsanmälan</t>
        </is>
      </c>
      <c r="C323" t="inlineStr">
        <is>
          <t>Föryngringsavverkning</t>
        </is>
      </c>
      <c r="D323" s="1" t="n">
        <v>45569</v>
      </c>
      <c r="E323" s="1" t="n">
        <v>46218</v>
      </c>
      <c r="F323" t="inlineStr">
        <is>
          <t>DALARNAS LÄN</t>
        </is>
      </c>
      <c r="G323" t="inlineStr">
        <is>
          <t>RÄTTVIK</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45726-2025</t>
        </is>
      </c>
      <c r="B324" t="inlineStr">
        <is>
          <t>avverkningsanmälan</t>
        </is>
      </c>
      <c r="C324" t="inlineStr">
        <is>
          <t>Föryngringsavverkning</t>
        </is>
      </c>
      <c r="D324" s="1" t="n">
        <v>45923</v>
      </c>
      <c r="E324" s="1" t="n">
        <v>46218</v>
      </c>
      <c r="F324" t="inlineStr">
        <is>
          <t>DALARNAS LÄN</t>
        </is>
      </c>
      <c r="G324" t="inlineStr">
        <is>
          <t>RÄTTVIK</t>
        </is>
      </c>
      <c r="I324" t="n">
        <v>3.7</v>
      </c>
      <c r="J324" t="n">
        <v>0</v>
      </c>
      <c r="K324" t="n">
        <v>0</v>
      </c>
      <c r="L324" t="n">
        <v>0</v>
      </c>
      <c r="M324" t="n">
        <v>0</v>
      </c>
      <c r="N324" t="n">
        <v>0</v>
      </c>
      <c r="O324" t="n">
        <v>0</v>
      </c>
      <c r="P324" t="n">
        <v>0</v>
      </c>
      <c r="Q324" t="n">
        <v>0</v>
      </c>
      <c r="R324" t="n">
        <v>0</v>
      </c>
      <c r="S324" t="n">
        <v>0</v>
      </c>
      <c r="T324" t="n">
        <v>0</v>
      </c>
      <c r="U324" s="2" t="inlineStr"/>
    </row>
    <row r="325" ht="15" customHeight="1">
      <c r="A325" t="inlineStr">
        <is>
          <t>A 45826-2025</t>
        </is>
      </c>
      <c r="B325" t="inlineStr">
        <is>
          <t>avverkningsanmälan</t>
        </is>
      </c>
      <c r="C325" t="inlineStr">
        <is>
          <t>Föryngringsavverkning</t>
        </is>
      </c>
      <c r="D325" s="1" t="n">
        <v>45923</v>
      </c>
      <c r="E325" s="1" t="n">
        <v>46218</v>
      </c>
      <c r="F325" t="inlineStr">
        <is>
          <t>DALARNAS LÄN</t>
        </is>
      </c>
      <c r="G325" t="inlineStr">
        <is>
          <t>RÄTTVIK</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17157-2025</t>
        </is>
      </c>
      <c r="B326" t="inlineStr">
        <is>
          <t>avverkningsanmälan</t>
        </is>
      </c>
      <c r="C326" t="inlineStr">
        <is>
          <t>Föryngringsavverkning</t>
        </is>
      </c>
      <c r="D326" s="1" t="n">
        <v>45756</v>
      </c>
      <c r="E326" s="1" t="n">
        <v>46218</v>
      </c>
      <c r="F326" t="inlineStr">
        <is>
          <t>DALARNAS LÄN</t>
        </is>
      </c>
      <c r="G326" t="inlineStr">
        <is>
          <t>RÄTTVIK</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59518-2022</t>
        </is>
      </c>
      <c r="B327" t="inlineStr">
        <is>
          <t>avverkningsanmälan</t>
        </is>
      </c>
      <c r="C327" t="inlineStr">
        <is>
          <t>Föryngringsavverkning</t>
        </is>
      </c>
      <c r="D327" s="1" t="n">
        <v>44907</v>
      </c>
      <c r="E327" s="1" t="n">
        <v>46218</v>
      </c>
      <c r="F327" t="inlineStr">
        <is>
          <t>DALARNAS LÄN</t>
        </is>
      </c>
      <c r="G327" t="inlineStr">
        <is>
          <t>RÄTTVIK</t>
        </is>
      </c>
      <c r="H327" t="inlineStr">
        <is>
          <t>Övriga statliga verk och myndigheter</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46248-2025</t>
        </is>
      </c>
      <c r="B328" t="inlineStr">
        <is>
          <t>avverkningsanmälan</t>
        </is>
      </c>
      <c r="C328" t="inlineStr">
        <is>
          <t>Föryngringsavverkning</t>
        </is>
      </c>
      <c r="D328" s="1" t="n">
        <v>45925</v>
      </c>
      <c r="E328" s="1" t="n">
        <v>46218</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54199-2023</t>
        </is>
      </c>
      <c r="B329" t="inlineStr">
        <is>
          <t>avverkningsanmälan</t>
        </is>
      </c>
      <c r="C329" t="inlineStr">
        <is>
          <t>Föryngringsavverkning</t>
        </is>
      </c>
      <c r="D329" s="1" t="n">
        <v>45225</v>
      </c>
      <c r="E329" s="1" t="n">
        <v>46218</v>
      </c>
      <c r="F329" t="inlineStr">
        <is>
          <t>DALARNAS LÄN</t>
        </is>
      </c>
      <c r="G329" t="inlineStr">
        <is>
          <t>RÄTTVIK</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36519-2024</t>
        </is>
      </c>
      <c r="B330" t="inlineStr">
        <is>
          <t>avverkningsanmälan</t>
        </is>
      </c>
      <c r="C330" t="inlineStr">
        <is>
          <t>Föryngringsavverkning</t>
        </is>
      </c>
      <c r="D330" s="1" t="n">
        <v>45537</v>
      </c>
      <c r="E330" s="1" t="n">
        <v>46218</v>
      </c>
      <c r="F330" t="inlineStr">
        <is>
          <t>DALARNAS LÄN</t>
        </is>
      </c>
      <c r="G330" t="inlineStr">
        <is>
          <t>RÄTTVIK</t>
        </is>
      </c>
      <c r="H330" t="inlineStr">
        <is>
          <t>Sveaskog</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46428-2024</t>
        </is>
      </c>
      <c r="B331" t="inlineStr">
        <is>
          <t>avverkningsanmälan</t>
        </is>
      </c>
      <c r="C331" t="inlineStr">
        <is>
          <t>Föryngringsavverkning</t>
        </is>
      </c>
      <c r="D331" s="1" t="n">
        <v>45582</v>
      </c>
      <c r="E331" s="1" t="n">
        <v>46218</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2734-2025</t>
        </is>
      </c>
      <c r="B332" t="inlineStr">
        <is>
          <t>avverkningsanmälan</t>
        </is>
      </c>
      <c r="C332" t="inlineStr">
        <is>
          <t>Föryngringsavverkning</t>
        </is>
      </c>
      <c r="D332" s="1" t="n">
        <v>45677</v>
      </c>
      <c r="E332" s="1" t="n">
        <v>46218</v>
      </c>
      <c r="F332" t="inlineStr">
        <is>
          <t>DALARNAS LÄN</t>
        </is>
      </c>
      <c r="G332" t="inlineStr">
        <is>
          <t>RÄTTVIK</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46389-2025</t>
        </is>
      </c>
      <c r="B333" t="inlineStr">
        <is>
          <t>avverkningsanmälan</t>
        </is>
      </c>
      <c r="C333" t="inlineStr">
        <is>
          <t>Föryngringsavverkning</t>
        </is>
      </c>
      <c r="D333" s="1" t="n">
        <v>45925</v>
      </c>
      <c r="E333" s="1" t="n">
        <v>46218</v>
      </c>
      <c r="F333" t="inlineStr">
        <is>
          <t>DALARNAS LÄN</t>
        </is>
      </c>
      <c r="G333" t="inlineStr">
        <is>
          <t>RÄTTVIK</t>
        </is>
      </c>
      <c r="H333" t="inlineStr">
        <is>
          <t>Sveaskog</t>
        </is>
      </c>
      <c r="I333" t="n">
        <v>3.2</v>
      </c>
      <c r="J333" t="n">
        <v>0</v>
      </c>
      <c r="K333" t="n">
        <v>0</v>
      </c>
      <c r="L333" t="n">
        <v>0</v>
      </c>
      <c r="M333" t="n">
        <v>0</v>
      </c>
      <c r="N333" t="n">
        <v>0</v>
      </c>
      <c r="O333" t="n">
        <v>0</v>
      </c>
      <c r="P333" t="n">
        <v>0</v>
      </c>
      <c r="Q333" t="n">
        <v>0</v>
      </c>
      <c r="R333" t="n">
        <v>0</v>
      </c>
      <c r="S333" t="n">
        <v>0</v>
      </c>
      <c r="T333" t="n">
        <v>0</v>
      </c>
      <c r="U333" s="2" t="inlineStr"/>
      <c r="X333">
        <f>HYPERLINK("https://klasma.github.io/Logging_2031/knärot/A 46389-2025 karta knärot.png", "A 46389-2025")</f>
        <v/>
      </c>
      <c r="Y333">
        <f>HYPERLINK("https://klasma.github.io/Logging_2031/klagomål/A 46389-2025 FSC-klagomål.docx", "A 46389-2025")</f>
        <v/>
      </c>
      <c r="Z333">
        <f>HYPERLINK("https://klasma.github.io/Logging_2031/klagomålsmail/A 46389-2025 FSC-klagomål mail.docx", "A 46389-2025")</f>
        <v/>
      </c>
      <c r="AA333">
        <f>HYPERLINK("https://klasma.github.io/Logging_2031/tillsyn/A 46389-2025 tillsynsbegäran.docx", "A 46389-2025")</f>
        <v/>
      </c>
      <c r="AB333">
        <f>HYPERLINK("https://klasma.github.io/Logging_2031/tillsynsmail/A 46389-2025 tillsynsbegäran mail.docx", "A 46389-2025")</f>
        <v/>
      </c>
    </row>
    <row r="334" ht="15" customHeight="1">
      <c r="A334" t="inlineStr">
        <is>
          <t>A 46394-2025</t>
        </is>
      </c>
      <c r="B334" t="inlineStr">
        <is>
          <t>avverkningsanmälan</t>
        </is>
      </c>
      <c r="C334" t="inlineStr">
        <is>
          <t>Föryngringsavverkning</t>
        </is>
      </c>
      <c r="D334" s="1" t="n">
        <v>45925</v>
      </c>
      <c r="E334" s="1" t="n">
        <v>46218</v>
      </c>
      <c r="F334" t="inlineStr">
        <is>
          <t>DALARNAS LÄN</t>
        </is>
      </c>
      <c r="G334" t="inlineStr">
        <is>
          <t>RÄTTVIK</t>
        </is>
      </c>
      <c r="H334" t="inlineStr">
        <is>
          <t>Sveaskog</t>
        </is>
      </c>
      <c r="I334" t="n">
        <v>1.7</v>
      </c>
      <c r="J334" t="n">
        <v>0</v>
      </c>
      <c r="K334" t="n">
        <v>0</v>
      </c>
      <c r="L334" t="n">
        <v>0</v>
      </c>
      <c r="M334" t="n">
        <v>0</v>
      </c>
      <c r="N334" t="n">
        <v>0</v>
      </c>
      <c r="O334" t="n">
        <v>0</v>
      </c>
      <c r="P334" t="n">
        <v>0</v>
      </c>
      <c r="Q334" t="n">
        <v>0</v>
      </c>
      <c r="R334" t="n">
        <v>0</v>
      </c>
      <c r="S334" t="n">
        <v>0</v>
      </c>
      <c r="T334" t="n">
        <v>0</v>
      </c>
      <c r="U334" s="2" t="inlineStr"/>
    </row>
    <row r="335" ht="15" customHeight="1">
      <c r="A335" t="inlineStr">
        <is>
          <t>A 57761-2022</t>
        </is>
      </c>
      <c r="B335" t="inlineStr">
        <is>
          <t>avverkningsanmälan</t>
        </is>
      </c>
      <c r="C335" t="inlineStr">
        <is>
          <t>Föryngringsavverkning</t>
        </is>
      </c>
      <c r="D335" s="1" t="n">
        <v>44890</v>
      </c>
      <c r="E335" s="1" t="n">
        <v>46218</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4365-2025</t>
        </is>
      </c>
      <c r="B336" t="inlineStr">
        <is>
          <t>avverkningsanmälan</t>
        </is>
      </c>
      <c r="C336" t="inlineStr">
        <is>
          <t>Föryngringsavverkning</t>
        </is>
      </c>
      <c r="D336" s="1" t="n">
        <v>45686</v>
      </c>
      <c r="E336" s="1" t="n">
        <v>46218</v>
      </c>
      <c r="F336" t="inlineStr">
        <is>
          <t>DALARNAS LÄN</t>
        </is>
      </c>
      <c r="G336" t="inlineStr">
        <is>
          <t>RÄTTVIK</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15277-2025</t>
        </is>
      </c>
      <c r="B337" t="inlineStr">
        <is>
          <t>avverkningsanmälan</t>
        </is>
      </c>
      <c r="C337" t="inlineStr">
        <is>
          <t>Föryngringsavverkning</t>
        </is>
      </c>
      <c r="D337" s="1" t="n">
        <v>45744</v>
      </c>
      <c r="E337" s="1" t="n">
        <v>46218</v>
      </c>
      <c r="F337" t="inlineStr">
        <is>
          <t>DALARNAS LÄN</t>
        </is>
      </c>
      <c r="G337" t="inlineStr">
        <is>
          <t>RÄTTVIK</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59307-2022</t>
        </is>
      </c>
      <c r="B338" t="inlineStr">
        <is>
          <t>avverkningsanmälan</t>
        </is>
      </c>
      <c r="C338" t="inlineStr">
        <is>
          <t>Föryngringsavverkning</t>
        </is>
      </c>
      <c r="D338" s="1" t="n">
        <v>44897</v>
      </c>
      <c r="E338" s="1" t="n">
        <v>46218</v>
      </c>
      <c r="F338" t="inlineStr">
        <is>
          <t>DALARNAS LÄN</t>
        </is>
      </c>
      <c r="G338" t="inlineStr">
        <is>
          <t>RÄTTVIK</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44733-2023</t>
        </is>
      </c>
      <c r="B339" t="inlineStr">
        <is>
          <t>avverkningsanmälan</t>
        </is>
      </c>
      <c r="C339" t="inlineStr">
        <is>
          <t>Föryngringsavverkning</t>
        </is>
      </c>
      <c r="D339" s="1" t="n">
        <v>45190</v>
      </c>
      <c r="E339" s="1" t="n">
        <v>46218</v>
      </c>
      <c r="F339" t="inlineStr">
        <is>
          <t>DALARNAS LÄN</t>
        </is>
      </c>
      <c r="G339" t="inlineStr">
        <is>
          <t>RÄTTVIK</t>
        </is>
      </c>
      <c r="I339" t="n">
        <v>5.7</v>
      </c>
      <c r="J339" t="n">
        <v>0</v>
      </c>
      <c r="K339" t="n">
        <v>0</v>
      </c>
      <c r="L339" t="n">
        <v>0</v>
      </c>
      <c r="M339" t="n">
        <v>0</v>
      </c>
      <c r="N339" t="n">
        <v>0</v>
      </c>
      <c r="O339" t="n">
        <v>0</v>
      </c>
      <c r="P339" t="n">
        <v>0</v>
      </c>
      <c r="Q339" t="n">
        <v>0</v>
      </c>
      <c r="R339" t="n">
        <v>0</v>
      </c>
      <c r="S339" t="n">
        <v>0</v>
      </c>
      <c r="T339" t="n">
        <v>0</v>
      </c>
      <c r="U339" s="2" t="inlineStr"/>
    </row>
    <row r="340" ht="15" customHeight="1">
      <c r="A340" t="inlineStr">
        <is>
          <t>A 41682-2023</t>
        </is>
      </c>
      <c r="B340" t="inlineStr">
        <is>
          <t>avverkningsanmälan</t>
        </is>
      </c>
      <c r="C340" t="inlineStr">
        <is>
          <t>Föryngringsavverkning</t>
        </is>
      </c>
      <c r="D340" s="1" t="n">
        <v>45176</v>
      </c>
      <c r="E340" s="1" t="n">
        <v>46218</v>
      </c>
      <c r="F340" t="inlineStr">
        <is>
          <t>DALARNAS LÄN</t>
        </is>
      </c>
      <c r="G340" t="inlineStr">
        <is>
          <t>RÄTTVIK</t>
        </is>
      </c>
      <c r="H340" t="inlineStr">
        <is>
          <t>Bergvik skog väst AB</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30578-2022</t>
        </is>
      </c>
      <c r="B341" t="inlineStr">
        <is>
          <t>avverkningsanmälan</t>
        </is>
      </c>
      <c r="C341" t="inlineStr">
        <is>
          <t>Föryngringsavverkning</t>
        </is>
      </c>
      <c r="D341" s="1" t="n">
        <v>44762</v>
      </c>
      <c r="E341" s="1" t="n">
        <v>46218</v>
      </c>
      <c r="F341" t="inlineStr">
        <is>
          <t>DALARNAS LÄN</t>
        </is>
      </c>
      <c r="G341" t="inlineStr">
        <is>
          <t>RÄTTVIK</t>
        </is>
      </c>
      <c r="I341" t="n">
        <v>4.5</v>
      </c>
      <c r="J341" t="n">
        <v>0</v>
      </c>
      <c r="K341" t="n">
        <v>0</v>
      </c>
      <c r="L341" t="n">
        <v>0</v>
      </c>
      <c r="M341" t="n">
        <v>0</v>
      </c>
      <c r="N341" t="n">
        <v>0</v>
      </c>
      <c r="O341" t="n">
        <v>0</v>
      </c>
      <c r="P341" t="n">
        <v>0</v>
      </c>
      <c r="Q341" t="n">
        <v>0</v>
      </c>
      <c r="R341" t="n">
        <v>0</v>
      </c>
      <c r="S341" t="n">
        <v>0</v>
      </c>
      <c r="T341" t="n">
        <v>0</v>
      </c>
      <c r="U341" s="2" t="inlineStr"/>
    </row>
    <row r="342" ht="15" customHeight="1">
      <c r="A342" t="inlineStr">
        <is>
          <t>A 5520-2024</t>
        </is>
      </c>
      <c r="B342" t="inlineStr">
        <is>
          <t>avverkningsanmälan</t>
        </is>
      </c>
      <c r="C342" t="inlineStr">
        <is>
          <t>Föryngringsavverkning</t>
        </is>
      </c>
      <c r="D342" s="1" t="n">
        <v>45334</v>
      </c>
      <c r="E342" s="1" t="n">
        <v>46218</v>
      </c>
      <c r="F342" t="inlineStr">
        <is>
          <t>DALARNAS LÄN</t>
        </is>
      </c>
      <c r="G342" t="inlineStr">
        <is>
          <t>RÄTTVIK</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29506-2024</t>
        </is>
      </c>
      <c r="B343" t="inlineStr">
        <is>
          <t>avverkningsanmälan</t>
        </is>
      </c>
      <c r="C343" t="inlineStr">
        <is>
          <t>Avverkning för annat ändamål</t>
        </is>
      </c>
      <c r="D343" s="1" t="n">
        <v>45484</v>
      </c>
      <c r="E343" s="1" t="n">
        <v>46218</v>
      </c>
      <c r="F343" t="inlineStr">
        <is>
          <t>DALARNAS LÄN</t>
        </is>
      </c>
      <c r="G343" t="inlineStr">
        <is>
          <t>RÄTTVIK</t>
        </is>
      </c>
      <c r="H343" t="inlineStr">
        <is>
          <t>Bergvik skog väst AB</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9937-2024</t>
        </is>
      </c>
      <c r="B344" t="inlineStr">
        <is>
          <t>avverkningsanmälan</t>
        </is>
      </c>
      <c r="C344" t="inlineStr">
        <is>
          <t>Föryngringsavverkning</t>
        </is>
      </c>
      <c r="D344" s="1" t="n">
        <v>45363</v>
      </c>
      <c r="E344" s="1" t="n">
        <v>46218</v>
      </c>
      <c r="F344" t="inlineStr">
        <is>
          <t>DALARNAS LÄN</t>
        </is>
      </c>
      <c r="G344" t="inlineStr">
        <is>
          <t>RÄTTVIK</t>
        </is>
      </c>
      <c r="I344" t="n">
        <v>5.9</v>
      </c>
      <c r="J344" t="n">
        <v>0</v>
      </c>
      <c r="K344" t="n">
        <v>0</v>
      </c>
      <c r="L344" t="n">
        <v>0</v>
      </c>
      <c r="M344" t="n">
        <v>0</v>
      </c>
      <c r="N344" t="n">
        <v>0</v>
      </c>
      <c r="O344" t="n">
        <v>0</v>
      </c>
      <c r="P344" t="n">
        <v>0</v>
      </c>
      <c r="Q344" t="n">
        <v>0</v>
      </c>
      <c r="R344" t="n">
        <v>0</v>
      </c>
      <c r="S344" t="n">
        <v>0</v>
      </c>
      <c r="T344" t="n">
        <v>0</v>
      </c>
      <c r="U344" s="2" t="inlineStr"/>
    </row>
    <row r="345" ht="15" customHeight="1">
      <c r="A345" t="inlineStr">
        <is>
          <t>A 55920-2024</t>
        </is>
      </c>
      <c r="B345" t="inlineStr">
        <is>
          <t>avverkningsanmälan</t>
        </is>
      </c>
      <c r="C345" t="inlineStr">
        <is>
          <t>Föryngringsavverkning</t>
        </is>
      </c>
      <c r="D345" s="1" t="n">
        <v>45623</v>
      </c>
      <c r="E345" s="1" t="n">
        <v>46218</v>
      </c>
      <c r="F345" t="inlineStr">
        <is>
          <t>DALARNAS LÄN</t>
        </is>
      </c>
      <c r="G345" t="inlineStr">
        <is>
          <t>RÄTTVIK</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51354-2022</t>
        </is>
      </c>
      <c r="B346" t="inlineStr">
        <is>
          <t>avverkningsanmälan</t>
        </is>
      </c>
      <c r="C346" t="inlineStr">
        <is>
          <t>Föryngringsavverkning</t>
        </is>
      </c>
      <c r="D346" s="1" t="n">
        <v>44866</v>
      </c>
      <c r="E346" s="1" t="n">
        <v>46218</v>
      </c>
      <c r="F346" t="inlineStr">
        <is>
          <t>DALARNAS LÄN</t>
        </is>
      </c>
      <c r="G346" t="inlineStr">
        <is>
          <t>RÄTTVIK</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37131-2024</t>
        </is>
      </c>
      <c r="B347" t="inlineStr">
        <is>
          <t>avverkningsanmälan</t>
        </is>
      </c>
      <c r="C347" t="inlineStr">
        <is>
          <t>Föryngringsavverkning</t>
        </is>
      </c>
      <c r="D347" s="1" t="n">
        <v>45539</v>
      </c>
      <c r="E347" s="1" t="n">
        <v>46218</v>
      </c>
      <c r="F347" t="inlineStr">
        <is>
          <t>DALARNAS LÄN</t>
        </is>
      </c>
      <c r="G347" t="inlineStr">
        <is>
          <t>RÄTTVIK</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3638-2024</t>
        </is>
      </c>
      <c r="B348" t="inlineStr">
        <is>
          <t>avverkningsanmälan</t>
        </is>
      </c>
      <c r="C348" t="inlineStr">
        <is>
          <t>Föryngringsavverkning</t>
        </is>
      </c>
      <c r="D348" s="1" t="n">
        <v>45321</v>
      </c>
      <c r="E348" s="1" t="n">
        <v>46218</v>
      </c>
      <c r="F348" t="inlineStr">
        <is>
          <t>DALARNAS LÄN</t>
        </is>
      </c>
      <c r="G348" t="inlineStr">
        <is>
          <t>RÄTTVIK</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18293-2024</t>
        </is>
      </c>
      <c r="B349" t="inlineStr">
        <is>
          <t>avverkningsanmälan</t>
        </is>
      </c>
      <c r="C349" t="inlineStr">
        <is>
          <t>Föryngringsavverkning</t>
        </is>
      </c>
      <c r="D349" s="1" t="n">
        <v>45422</v>
      </c>
      <c r="E349" s="1" t="n">
        <v>46218</v>
      </c>
      <c r="F349" t="inlineStr">
        <is>
          <t>DALARNAS LÄN</t>
        </is>
      </c>
      <c r="G349" t="inlineStr">
        <is>
          <t>RÄTTVIK</t>
        </is>
      </c>
      <c r="H349" t="inlineStr">
        <is>
          <t>Allmännings- och besparingsskogar</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32841-2024</t>
        </is>
      </c>
      <c r="B350" t="inlineStr">
        <is>
          <t>avverkningsanmälan</t>
        </is>
      </c>
      <c r="C350" t="inlineStr">
        <is>
          <t>Föryngringsavverkning</t>
        </is>
      </c>
      <c r="D350" s="1" t="n">
        <v>45516</v>
      </c>
      <c r="E350" s="1" t="n">
        <v>46218</v>
      </c>
      <c r="F350" t="inlineStr">
        <is>
          <t>DALARNAS LÄN</t>
        </is>
      </c>
      <c r="G350" t="inlineStr">
        <is>
          <t>RÄTTVIK</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54206-2023</t>
        </is>
      </c>
      <c r="B351" t="inlineStr">
        <is>
          <t>avverkningsanmälan</t>
        </is>
      </c>
      <c r="C351" t="inlineStr">
        <is>
          <t>Föryngringsavverkning</t>
        </is>
      </c>
      <c r="D351" s="1" t="n">
        <v>45225</v>
      </c>
      <c r="E351" s="1" t="n">
        <v>46218</v>
      </c>
      <c r="F351" t="inlineStr">
        <is>
          <t>DALARNAS LÄN</t>
        </is>
      </c>
      <c r="G351" t="inlineStr">
        <is>
          <t>RÄTTVIK</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30776-2023</t>
        </is>
      </c>
      <c r="B352" t="inlineStr">
        <is>
          <t>avverkningsanmälan</t>
        </is>
      </c>
      <c r="C352" t="inlineStr">
        <is>
          <t>Föryngringsavverkning</t>
        </is>
      </c>
      <c r="D352" s="1" t="n">
        <v>45112</v>
      </c>
      <c r="E352" s="1" t="n">
        <v>46218</v>
      </c>
      <c r="F352" t="inlineStr">
        <is>
          <t>DALARNAS LÄN</t>
        </is>
      </c>
      <c r="G352" t="inlineStr">
        <is>
          <t>RÄTTVIK</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47294-2025</t>
        </is>
      </c>
      <c r="B353" t="inlineStr">
        <is>
          <t>avverkningsanmälan</t>
        </is>
      </c>
      <c r="C353" t="inlineStr">
        <is>
          <t>Föryngringsavverkning</t>
        </is>
      </c>
      <c r="D353" s="1" t="n">
        <v>45930</v>
      </c>
      <c r="E353" s="1" t="n">
        <v>46218</v>
      </c>
      <c r="F353" t="inlineStr">
        <is>
          <t>DALARNAS LÄN</t>
        </is>
      </c>
      <c r="G353" t="inlineStr">
        <is>
          <t>RÄTTVIK</t>
        </is>
      </c>
      <c r="I353" t="n">
        <v>6.1</v>
      </c>
      <c r="J353" t="n">
        <v>0</v>
      </c>
      <c r="K353" t="n">
        <v>0</v>
      </c>
      <c r="L353" t="n">
        <v>0</v>
      </c>
      <c r="M353" t="n">
        <v>0</v>
      </c>
      <c r="N353" t="n">
        <v>0</v>
      </c>
      <c r="O353" t="n">
        <v>0</v>
      </c>
      <c r="P353" t="n">
        <v>0</v>
      </c>
      <c r="Q353" t="n">
        <v>0</v>
      </c>
      <c r="R353" t="n">
        <v>0</v>
      </c>
      <c r="S353" t="n">
        <v>0</v>
      </c>
      <c r="T353" t="n">
        <v>0</v>
      </c>
      <c r="U353" s="2" t="inlineStr"/>
    </row>
    <row r="354" ht="15" customHeight="1">
      <c r="A354" t="inlineStr">
        <is>
          <t>A 59345-2023</t>
        </is>
      </c>
      <c r="B354" t="inlineStr">
        <is>
          <t>avverkningsanmälan</t>
        </is>
      </c>
      <c r="C354" t="inlineStr">
        <is>
          <t>Föryngringsavverkning</t>
        </is>
      </c>
      <c r="D354" s="1" t="n">
        <v>45253</v>
      </c>
      <c r="E354" s="1" t="n">
        <v>46218</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47286-2025</t>
        </is>
      </c>
      <c r="B355" t="inlineStr">
        <is>
          <t>avverkningsanmälan</t>
        </is>
      </c>
      <c r="C355" t="inlineStr">
        <is>
          <t>Föryngringsavverkning</t>
        </is>
      </c>
      <c r="D355" s="1" t="n">
        <v>45930</v>
      </c>
      <c r="E355" s="1" t="n">
        <v>46218</v>
      </c>
      <c r="F355" t="inlineStr">
        <is>
          <t>DALARNAS LÄN</t>
        </is>
      </c>
      <c r="G355" t="inlineStr">
        <is>
          <t>RÄTTVIK</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5518-2024</t>
        </is>
      </c>
      <c r="B356" t="inlineStr">
        <is>
          <t>avverkningsanmälan</t>
        </is>
      </c>
      <c r="C356" t="inlineStr">
        <is>
          <t>Föryngringsavverkning</t>
        </is>
      </c>
      <c r="D356" s="1" t="n">
        <v>45334</v>
      </c>
      <c r="E356" s="1" t="n">
        <v>46218</v>
      </c>
      <c r="F356" t="inlineStr">
        <is>
          <t>DALARNAS LÄN</t>
        </is>
      </c>
      <c r="G356" t="inlineStr">
        <is>
          <t>RÄTTVIK</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41052-2023</t>
        </is>
      </c>
      <c r="B357" t="inlineStr">
        <is>
          <t>avverkningsanmälan</t>
        </is>
      </c>
      <c r="C357" t="inlineStr">
        <is>
          <t>Föryngringsavverkning</t>
        </is>
      </c>
      <c r="D357" s="1" t="n">
        <v>45173</v>
      </c>
      <c r="E357" s="1" t="n">
        <v>46218</v>
      </c>
      <c r="F357" t="inlineStr">
        <is>
          <t>DALARNAS LÄN</t>
        </is>
      </c>
      <c r="G357" t="inlineStr">
        <is>
          <t>RÄTTVIK</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61316-2024</t>
        </is>
      </c>
      <c r="B358" t="inlineStr">
        <is>
          <t>avverkningsanmälan</t>
        </is>
      </c>
      <c r="C358" t="inlineStr">
        <is>
          <t>Föryngringsavverkning</t>
        </is>
      </c>
      <c r="D358" s="1" t="n">
        <v>45646</v>
      </c>
      <c r="E358" s="1" t="n">
        <v>46218</v>
      </c>
      <c r="F358" t="inlineStr">
        <is>
          <t>DALARNAS LÄN</t>
        </is>
      </c>
      <c r="G358" t="inlineStr">
        <is>
          <t>RÄTTVIK</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47361-2025</t>
        </is>
      </c>
      <c r="B359" t="inlineStr">
        <is>
          <t>avverkningsanmälan</t>
        </is>
      </c>
      <c r="C359" t="inlineStr">
        <is>
          <t>Föryngringsavverkning</t>
        </is>
      </c>
      <c r="D359" s="1" t="n">
        <v>45930</v>
      </c>
      <c r="E359" s="1" t="n">
        <v>46218</v>
      </c>
      <c r="F359" t="inlineStr">
        <is>
          <t>DALARNAS LÄN</t>
        </is>
      </c>
      <c r="G359" t="inlineStr">
        <is>
          <t>RÄTTVIK</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47146-2024</t>
        </is>
      </c>
      <c r="B360" t="inlineStr">
        <is>
          <t>avverkningsanmälan</t>
        </is>
      </c>
      <c r="C360" t="inlineStr">
        <is>
          <t>Avverkning för annat ändamål</t>
        </is>
      </c>
      <c r="D360" s="1" t="n">
        <v>45586</v>
      </c>
      <c r="E360" s="1" t="n">
        <v>46218</v>
      </c>
      <c r="F360" t="inlineStr">
        <is>
          <t>DALARNAS LÄN</t>
        </is>
      </c>
      <c r="G360" t="inlineStr">
        <is>
          <t>RÄTTVIK</t>
        </is>
      </c>
      <c r="H360" t="inlineStr">
        <is>
          <t>Bergvik skog väst AB</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55965-2022</t>
        </is>
      </c>
      <c r="B361" t="inlineStr">
        <is>
          <t>avverkningsanmälan</t>
        </is>
      </c>
      <c r="C361" t="inlineStr">
        <is>
          <t>Föryngringsavverkning</t>
        </is>
      </c>
      <c r="D361" s="1" t="n">
        <v>44889</v>
      </c>
      <c r="E361" s="1" t="n">
        <v>46218</v>
      </c>
      <c r="F361" t="inlineStr">
        <is>
          <t>DALARNAS LÄN</t>
        </is>
      </c>
      <c r="G361" t="inlineStr">
        <is>
          <t>RÄTTVIK</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51973-2022</t>
        </is>
      </c>
      <c r="B362" t="inlineStr">
        <is>
          <t>avverkningsanmälan</t>
        </is>
      </c>
      <c r="C362" t="inlineStr">
        <is>
          <t>Föryngringsavverkning</t>
        </is>
      </c>
      <c r="D362" s="1" t="n">
        <v>44872</v>
      </c>
      <c r="E362" s="1" t="n">
        <v>46218</v>
      </c>
      <c r="F362" t="inlineStr">
        <is>
          <t>DALARNAS LÄN</t>
        </is>
      </c>
      <c r="G362" t="inlineStr">
        <is>
          <t>RÄTTVIK</t>
        </is>
      </c>
      <c r="I362" t="n">
        <v>8</v>
      </c>
      <c r="J362" t="n">
        <v>0</v>
      </c>
      <c r="K362" t="n">
        <v>0</v>
      </c>
      <c r="L362" t="n">
        <v>0</v>
      </c>
      <c r="M362" t="n">
        <v>0</v>
      </c>
      <c r="N362" t="n">
        <v>0</v>
      </c>
      <c r="O362" t="n">
        <v>0</v>
      </c>
      <c r="P362" t="n">
        <v>0</v>
      </c>
      <c r="Q362" t="n">
        <v>0</v>
      </c>
      <c r="R362" t="n">
        <v>0</v>
      </c>
      <c r="S362" t="n">
        <v>0</v>
      </c>
      <c r="T362" t="n">
        <v>0</v>
      </c>
      <c r="U362" s="2" t="inlineStr"/>
    </row>
    <row r="363" ht="15" customHeight="1">
      <c r="A363" t="inlineStr">
        <is>
          <t>A 48280-2025</t>
        </is>
      </c>
      <c r="B363" t="inlineStr">
        <is>
          <t>avverkningsanmälan</t>
        </is>
      </c>
      <c r="C363" t="inlineStr">
        <is>
          <t>Föryngringsavverkning</t>
        </is>
      </c>
      <c r="D363" s="1" t="n">
        <v>45933</v>
      </c>
      <c r="E363" s="1" t="n">
        <v>46218</v>
      </c>
      <c r="F363" t="inlineStr">
        <is>
          <t>DALARNAS LÄN</t>
        </is>
      </c>
      <c r="G363" t="inlineStr">
        <is>
          <t>RÄTTVIK</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10983-2023</t>
        </is>
      </c>
      <c r="B364" t="inlineStr">
        <is>
          <t>avverkningsanmälan</t>
        </is>
      </c>
      <c r="C364" t="inlineStr">
        <is>
          <t>Föryngringsavverkning</t>
        </is>
      </c>
      <c r="D364" s="1" t="n">
        <v>44991</v>
      </c>
      <c r="E364" s="1" t="n">
        <v>46218</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41046-2023</t>
        </is>
      </c>
      <c r="B365" t="inlineStr">
        <is>
          <t>avverkningsanmälan</t>
        </is>
      </c>
      <c r="C365" t="inlineStr">
        <is>
          <t>Avverkning för annat ändamål</t>
        </is>
      </c>
      <c r="D365" s="1" t="n">
        <v>45173</v>
      </c>
      <c r="E365" s="1" t="n">
        <v>46218</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69059-2021</t>
        </is>
      </c>
      <c r="B366" t="inlineStr">
        <is>
          <t>avverkningsanmälan</t>
        </is>
      </c>
      <c r="C366" t="inlineStr">
        <is>
          <t>Föryngringsavverkning</t>
        </is>
      </c>
      <c r="D366" s="1" t="n">
        <v>44529</v>
      </c>
      <c r="E366" s="1" t="n">
        <v>46218</v>
      </c>
      <c r="F366" t="inlineStr">
        <is>
          <t>DALARNAS LÄN</t>
        </is>
      </c>
      <c r="G366" t="inlineStr">
        <is>
          <t>RÄTTVIK</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5156-2024</t>
        </is>
      </c>
      <c r="B367" t="inlineStr">
        <is>
          <t>avverkningsanmälan</t>
        </is>
      </c>
      <c r="C367" t="inlineStr">
        <is>
          <t>Föryngringsavverkning</t>
        </is>
      </c>
      <c r="D367" s="1" t="n">
        <v>45330</v>
      </c>
      <c r="E367" s="1" t="n">
        <v>46218</v>
      </c>
      <c r="F367" t="inlineStr">
        <is>
          <t>DALARNAS LÄN</t>
        </is>
      </c>
      <c r="G367" t="inlineStr">
        <is>
          <t>RÄTTVIK</t>
        </is>
      </c>
      <c r="I367" t="n">
        <v>0.4</v>
      </c>
      <c r="J367" t="n">
        <v>0</v>
      </c>
      <c r="K367" t="n">
        <v>0</v>
      </c>
      <c r="L367" t="n">
        <v>0</v>
      </c>
      <c r="M367" t="n">
        <v>0</v>
      </c>
      <c r="N367" t="n">
        <v>0</v>
      </c>
      <c r="O367" t="n">
        <v>0</v>
      </c>
      <c r="P367" t="n">
        <v>0</v>
      </c>
      <c r="Q367" t="n">
        <v>0</v>
      </c>
      <c r="R367" t="n">
        <v>0</v>
      </c>
      <c r="S367" t="n">
        <v>0</v>
      </c>
      <c r="T367" t="n">
        <v>0</v>
      </c>
      <c r="U367" s="2" t="inlineStr"/>
    </row>
    <row r="368" ht="15" customHeight="1">
      <c r="A368" t="inlineStr">
        <is>
          <t>A 5653-2025</t>
        </is>
      </c>
      <c r="B368" t="inlineStr">
        <is>
          <t>avverkningsanmälan</t>
        </is>
      </c>
      <c r="C368" t="inlineStr">
        <is>
          <t>Föryngringsavverkning</t>
        </is>
      </c>
      <c r="D368" s="1" t="n">
        <v>45693</v>
      </c>
      <c r="E368" s="1" t="n">
        <v>46218</v>
      </c>
      <c r="F368" t="inlineStr">
        <is>
          <t>DALARNAS LÄN</t>
        </is>
      </c>
      <c r="G368" t="inlineStr">
        <is>
          <t>RÄTTVIK</t>
        </is>
      </c>
      <c r="H368" t="inlineStr">
        <is>
          <t>Bergvik skog väst AB</t>
        </is>
      </c>
      <c r="I368" t="n">
        <v>2.9</v>
      </c>
      <c r="J368" t="n">
        <v>0</v>
      </c>
      <c r="K368" t="n">
        <v>0</v>
      </c>
      <c r="L368" t="n">
        <v>0</v>
      </c>
      <c r="M368" t="n">
        <v>0</v>
      </c>
      <c r="N368" t="n">
        <v>0</v>
      </c>
      <c r="O368" t="n">
        <v>0</v>
      </c>
      <c r="P368" t="n">
        <v>0</v>
      </c>
      <c r="Q368" t="n">
        <v>0</v>
      </c>
      <c r="R368" t="n">
        <v>0</v>
      </c>
      <c r="S368" t="n">
        <v>0</v>
      </c>
      <c r="T368" t="n">
        <v>0</v>
      </c>
      <c r="U368" s="2" t="inlineStr"/>
    </row>
    <row r="369" ht="15" customHeight="1">
      <c r="A369" t="inlineStr">
        <is>
          <t>A 14892-2024</t>
        </is>
      </c>
      <c r="B369" t="inlineStr">
        <is>
          <t>avverkningsanmälan</t>
        </is>
      </c>
      <c r="C369" t="inlineStr">
        <is>
          <t>Föryngringsavverkning</t>
        </is>
      </c>
      <c r="D369" s="1" t="n">
        <v>45398</v>
      </c>
      <c r="E369" s="1" t="n">
        <v>46218</v>
      </c>
      <c r="F369" t="inlineStr">
        <is>
          <t>DALARNAS LÄN</t>
        </is>
      </c>
      <c r="G369" t="inlineStr">
        <is>
          <t>RÄTTVIK</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51529-2024</t>
        </is>
      </c>
      <c r="B370" t="inlineStr">
        <is>
          <t>avverkningsanmälan</t>
        </is>
      </c>
      <c r="C370" t="inlineStr">
        <is>
          <t>Föryngringsavverkning</t>
        </is>
      </c>
      <c r="D370" s="1" t="n">
        <v>45603</v>
      </c>
      <c r="E370" s="1" t="n">
        <v>46218</v>
      </c>
      <c r="F370" t="inlineStr">
        <is>
          <t>DALARNAS LÄN</t>
        </is>
      </c>
      <c r="G370" t="inlineStr">
        <is>
          <t>RÄTTVIK</t>
        </is>
      </c>
      <c r="I370" t="n">
        <v>2.9</v>
      </c>
      <c r="J370" t="n">
        <v>0</v>
      </c>
      <c r="K370" t="n">
        <v>0</v>
      </c>
      <c r="L370" t="n">
        <v>0</v>
      </c>
      <c r="M370" t="n">
        <v>0</v>
      </c>
      <c r="N370" t="n">
        <v>0</v>
      </c>
      <c r="O370" t="n">
        <v>0</v>
      </c>
      <c r="P370" t="n">
        <v>0</v>
      </c>
      <c r="Q370" t="n">
        <v>0</v>
      </c>
      <c r="R370" t="n">
        <v>0</v>
      </c>
      <c r="S370" t="n">
        <v>0</v>
      </c>
      <c r="T370" t="n">
        <v>0</v>
      </c>
      <c r="U370" s="2" t="inlineStr"/>
    </row>
    <row r="371" ht="15" customHeight="1">
      <c r="A371" t="inlineStr">
        <is>
          <t>A 41295-2023</t>
        </is>
      </c>
      <c r="B371" t="inlineStr">
        <is>
          <t>avverkningsanmälan</t>
        </is>
      </c>
      <c r="C371" t="inlineStr">
        <is>
          <t>Föryngringsavverkning</t>
        </is>
      </c>
      <c r="D371" s="1" t="n">
        <v>45174</v>
      </c>
      <c r="E371" s="1" t="n">
        <v>46218</v>
      </c>
      <c r="F371" t="inlineStr">
        <is>
          <t>DALARNAS LÄN</t>
        </is>
      </c>
      <c r="G371" t="inlineStr">
        <is>
          <t>RÄTTVIK</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58484-2023</t>
        </is>
      </c>
      <c r="B372" t="inlineStr">
        <is>
          <t>avverkningsanmälan</t>
        </is>
      </c>
      <c r="C372" t="inlineStr">
        <is>
          <t>Föryngringsavverkning</t>
        </is>
      </c>
      <c r="D372" s="1" t="n">
        <v>45251</v>
      </c>
      <c r="E372" s="1" t="n">
        <v>46218</v>
      </c>
      <c r="F372" t="inlineStr">
        <is>
          <t>DALARNAS LÄN</t>
        </is>
      </c>
      <c r="G372" t="inlineStr">
        <is>
          <t>RÄTTVIK</t>
        </is>
      </c>
      <c r="I372" t="n">
        <v>2.9</v>
      </c>
      <c r="J372" t="n">
        <v>0</v>
      </c>
      <c r="K372" t="n">
        <v>0</v>
      </c>
      <c r="L372" t="n">
        <v>0</v>
      </c>
      <c r="M372" t="n">
        <v>0</v>
      </c>
      <c r="N372" t="n">
        <v>0</v>
      </c>
      <c r="O372" t="n">
        <v>0</v>
      </c>
      <c r="P372" t="n">
        <v>0</v>
      </c>
      <c r="Q372" t="n">
        <v>0</v>
      </c>
      <c r="R372" t="n">
        <v>0</v>
      </c>
      <c r="S372" t="n">
        <v>0</v>
      </c>
      <c r="T372" t="n">
        <v>0</v>
      </c>
      <c r="U372" s="2" t="inlineStr"/>
    </row>
    <row r="373" ht="15" customHeight="1">
      <c r="A373" t="inlineStr">
        <is>
          <t>A 2101-2025</t>
        </is>
      </c>
      <c r="B373" t="inlineStr">
        <is>
          <t>avverkningsanmälan</t>
        </is>
      </c>
      <c r="C373" t="inlineStr">
        <is>
          <t>Föryngringsavverkning</t>
        </is>
      </c>
      <c r="D373" s="1" t="n">
        <v>45672</v>
      </c>
      <c r="E373" s="1" t="n">
        <v>46218</v>
      </c>
      <c r="F373" t="inlineStr">
        <is>
          <t>DALARNAS LÄN</t>
        </is>
      </c>
      <c r="G373" t="inlineStr">
        <is>
          <t>RÄTTVIK</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295-2023</t>
        </is>
      </c>
      <c r="B374" t="inlineStr">
        <is>
          <t>avverkningsanmälan</t>
        </is>
      </c>
      <c r="C374" t="inlineStr">
        <is>
          <t>Avverkning för annat ändamål</t>
        </is>
      </c>
      <c r="D374" s="1" t="n">
        <v>44922</v>
      </c>
      <c r="E374" s="1" t="n">
        <v>46218</v>
      </c>
      <c r="F374" t="inlineStr">
        <is>
          <t>DALARNAS LÄN</t>
        </is>
      </c>
      <c r="G374" t="inlineStr">
        <is>
          <t>RÄTTVIK</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12761-2025</t>
        </is>
      </c>
      <c r="B375" t="inlineStr">
        <is>
          <t>avverkningsanmälan</t>
        </is>
      </c>
      <c r="C375" t="inlineStr">
        <is>
          <t>Föryngringsavverkning</t>
        </is>
      </c>
      <c r="D375" s="1" t="n">
        <v>45733</v>
      </c>
      <c r="E375" s="1" t="n">
        <v>46218</v>
      </c>
      <c r="F375" t="inlineStr">
        <is>
          <t>DALARNAS LÄN</t>
        </is>
      </c>
      <c r="G375" t="inlineStr">
        <is>
          <t>RÄTTVIK</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34339-2024</t>
        </is>
      </c>
      <c r="B376" t="inlineStr">
        <is>
          <t>avverkningsanmälan</t>
        </is>
      </c>
      <c r="C376" t="inlineStr">
        <is>
          <t>Föryngringsavverkning</t>
        </is>
      </c>
      <c r="D376" s="1" t="n">
        <v>45525</v>
      </c>
      <c r="E376" s="1" t="n">
        <v>46218</v>
      </c>
      <c r="F376" t="inlineStr">
        <is>
          <t>DALARNAS LÄN</t>
        </is>
      </c>
      <c r="G376" t="inlineStr">
        <is>
          <t>RÄTTVIK</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34340-2024</t>
        </is>
      </c>
      <c r="B377" t="inlineStr">
        <is>
          <t>avverkningsanmälan</t>
        </is>
      </c>
      <c r="C377" t="inlineStr">
        <is>
          <t>Föryngringsavverkning</t>
        </is>
      </c>
      <c r="D377" s="1" t="n">
        <v>45525</v>
      </c>
      <c r="E377" s="1" t="n">
        <v>46218</v>
      </c>
      <c r="F377" t="inlineStr">
        <is>
          <t>DALARNAS LÄN</t>
        </is>
      </c>
      <c r="G377" t="inlineStr">
        <is>
          <t>RÄTTVIK</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57205-2023</t>
        </is>
      </c>
      <c r="B378" t="inlineStr">
        <is>
          <t>avverkningsanmälan</t>
        </is>
      </c>
      <c r="C378" t="inlineStr">
        <is>
          <t>Föryngringsavverkning</t>
        </is>
      </c>
      <c r="D378" s="1" t="n">
        <v>45245</v>
      </c>
      <c r="E378" s="1" t="n">
        <v>46218</v>
      </c>
      <c r="F378" t="inlineStr">
        <is>
          <t>DALARNAS LÄN</t>
        </is>
      </c>
      <c r="G378" t="inlineStr">
        <is>
          <t>RÄTTVIK</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73511-2021</t>
        </is>
      </c>
      <c r="B379" t="inlineStr">
        <is>
          <t>avverkningsanmälan</t>
        </is>
      </c>
      <c r="C379" t="inlineStr">
        <is>
          <t>Föryngringsavverkning</t>
        </is>
      </c>
      <c r="D379" s="1" t="n">
        <v>44551</v>
      </c>
      <c r="E379" s="1" t="n">
        <v>46218</v>
      </c>
      <c r="F379" t="inlineStr">
        <is>
          <t>DALARNAS LÄN</t>
        </is>
      </c>
      <c r="G379" t="inlineStr">
        <is>
          <t>RÄTTVIK</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38737-2023</t>
        </is>
      </c>
      <c r="B380" t="inlineStr">
        <is>
          <t>avverkningsanmälan</t>
        </is>
      </c>
      <c r="C380" t="inlineStr">
        <is>
          <t>Föryngringsavverkning</t>
        </is>
      </c>
      <c r="D380" s="1" t="n">
        <v>45161</v>
      </c>
      <c r="E380" s="1" t="n">
        <v>46218</v>
      </c>
      <c r="F380" t="inlineStr">
        <is>
          <t>DALARNAS LÄN</t>
        </is>
      </c>
      <c r="G380" t="inlineStr">
        <is>
          <t>RÄTTVIK</t>
        </is>
      </c>
      <c r="H380" t="inlineStr">
        <is>
          <t>Kommuner</t>
        </is>
      </c>
      <c r="I380" t="n">
        <v>4.9</v>
      </c>
      <c r="J380" t="n">
        <v>0</v>
      </c>
      <c r="K380" t="n">
        <v>0</v>
      </c>
      <c r="L380" t="n">
        <v>0</v>
      </c>
      <c r="M380" t="n">
        <v>0</v>
      </c>
      <c r="N380" t="n">
        <v>0</v>
      </c>
      <c r="O380" t="n">
        <v>0</v>
      </c>
      <c r="P380" t="n">
        <v>0</v>
      </c>
      <c r="Q380" t="n">
        <v>0</v>
      </c>
      <c r="R380" t="n">
        <v>0</v>
      </c>
      <c r="S380" t="n">
        <v>0</v>
      </c>
      <c r="T380" t="n">
        <v>0</v>
      </c>
      <c r="U380" s="2" t="inlineStr"/>
    </row>
    <row r="381" ht="15" customHeight="1">
      <c r="A381" t="inlineStr">
        <is>
          <t>A 3725-2024</t>
        </is>
      </c>
      <c r="B381" t="inlineStr">
        <is>
          <t>avverkningsanmälan</t>
        </is>
      </c>
      <c r="C381" t="inlineStr">
        <is>
          <t>Föryngringsavverkning</t>
        </is>
      </c>
      <c r="D381" s="1" t="n">
        <v>45321</v>
      </c>
      <c r="E381" s="1" t="n">
        <v>46218</v>
      </c>
      <c r="F381" t="inlineStr">
        <is>
          <t>DALARNAS LÄN</t>
        </is>
      </c>
      <c r="G381" t="inlineStr">
        <is>
          <t>RÄTTVIK</t>
        </is>
      </c>
      <c r="I381" t="n">
        <v>0.2</v>
      </c>
      <c r="J381" t="n">
        <v>0</v>
      </c>
      <c r="K381" t="n">
        <v>0</v>
      </c>
      <c r="L381" t="n">
        <v>0</v>
      </c>
      <c r="M381" t="n">
        <v>0</v>
      </c>
      <c r="N381" t="n">
        <v>0</v>
      </c>
      <c r="O381" t="n">
        <v>0</v>
      </c>
      <c r="P381" t="n">
        <v>0</v>
      </c>
      <c r="Q381" t="n">
        <v>0</v>
      </c>
      <c r="R381" t="n">
        <v>0</v>
      </c>
      <c r="S381" t="n">
        <v>0</v>
      </c>
      <c r="T381" t="n">
        <v>0</v>
      </c>
      <c r="U381" s="2" t="inlineStr"/>
    </row>
    <row r="382" ht="15" customHeight="1">
      <c r="A382" t="inlineStr">
        <is>
          <t>A 8381-2024</t>
        </is>
      </c>
      <c r="B382" t="inlineStr">
        <is>
          <t>avverkningsanmälan</t>
        </is>
      </c>
      <c r="C382" t="inlineStr">
        <is>
          <t>Föryngringsavverkning</t>
        </is>
      </c>
      <c r="D382" s="1" t="n">
        <v>45352</v>
      </c>
      <c r="E382" s="1" t="n">
        <v>46218</v>
      </c>
      <c r="F382" t="inlineStr">
        <is>
          <t>DALARNAS LÄN</t>
        </is>
      </c>
      <c r="G382" t="inlineStr">
        <is>
          <t>RÄTTVIK</t>
        </is>
      </c>
      <c r="I382" t="n">
        <v>2.1</v>
      </c>
      <c r="J382" t="n">
        <v>0</v>
      </c>
      <c r="K382" t="n">
        <v>0</v>
      </c>
      <c r="L382" t="n">
        <v>0</v>
      </c>
      <c r="M382" t="n">
        <v>0</v>
      </c>
      <c r="N382" t="n">
        <v>0</v>
      </c>
      <c r="O382" t="n">
        <v>0</v>
      </c>
      <c r="P382" t="n">
        <v>0</v>
      </c>
      <c r="Q382" t="n">
        <v>0</v>
      </c>
      <c r="R382" t="n">
        <v>0</v>
      </c>
      <c r="S382" t="n">
        <v>0</v>
      </c>
      <c r="T382" t="n">
        <v>0</v>
      </c>
      <c r="U382" s="2" t="inlineStr"/>
    </row>
    <row r="383" ht="15" customHeight="1">
      <c r="A383" t="inlineStr">
        <is>
          <t>A 36524-2022</t>
        </is>
      </c>
      <c r="B383" t="inlineStr">
        <is>
          <t>avverkningsanmälan</t>
        </is>
      </c>
      <c r="C383" t="inlineStr">
        <is>
          <t>Föryngringsavverkning</t>
        </is>
      </c>
      <c r="D383" s="1" t="n">
        <v>44804</v>
      </c>
      <c r="E383" s="1" t="n">
        <v>46218</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440-2025</t>
        </is>
      </c>
      <c r="B384" t="inlineStr">
        <is>
          <t>avverkningsanmälan</t>
        </is>
      </c>
      <c r="C384" t="inlineStr">
        <is>
          <t>Föryngringsavverkning</t>
        </is>
      </c>
      <c r="D384" s="1" t="n">
        <v>45664</v>
      </c>
      <c r="E384" s="1" t="n">
        <v>46218</v>
      </c>
      <c r="F384" t="inlineStr">
        <is>
          <t>DALARNAS LÄN</t>
        </is>
      </c>
      <c r="G384" t="inlineStr">
        <is>
          <t>RÄTTVIK</t>
        </is>
      </c>
      <c r="I384" t="n">
        <v>3.1</v>
      </c>
      <c r="J384" t="n">
        <v>0</v>
      </c>
      <c r="K384" t="n">
        <v>0</v>
      </c>
      <c r="L384" t="n">
        <v>0</v>
      </c>
      <c r="M384" t="n">
        <v>0</v>
      </c>
      <c r="N384" t="n">
        <v>0</v>
      </c>
      <c r="O384" t="n">
        <v>0</v>
      </c>
      <c r="P384" t="n">
        <v>0</v>
      </c>
      <c r="Q384" t="n">
        <v>0</v>
      </c>
      <c r="R384" t="n">
        <v>0</v>
      </c>
      <c r="S384" t="n">
        <v>0</v>
      </c>
      <c r="T384" t="n">
        <v>0</v>
      </c>
      <c r="U384" s="2" t="inlineStr"/>
    </row>
    <row r="385" ht="15" customHeight="1">
      <c r="A385" t="inlineStr">
        <is>
          <t>A 46672-2023</t>
        </is>
      </c>
      <c r="B385" t="inlineStr">
        <is>
          <t>avverkningsanmälan</t>
        </is>
      </c>
      <c r="C385" t="inlineStr">
        <is>
          <t>Föryngringsavverkning</t>
        </is>
      </c>
      <c r="D385" s="1" t="n">
        <v>45194</v>
      </c>
      <c r="E385" s="1" t="n">
        <v>46218</v>
      </c>
      <c r="F385" t="inlineStr">
        <is>
          <t>DALARNAS LÄN</t>
        </is>
      </c>
      <c r="G385" t="inlineStr">
        <is>
          <t>RÄTTVIK</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32560-2024</t>
        </is>
      </c>
      <c r="B386" t="inlineStr">
        <is>
          <t>avverkningsanmälan</t>
        </is>
      </c>
      <c r="C386" t="inlineStr">
        <is>
          <t>Föryngringsavverkning</t>
        </is>
      </c>
      <c r="D386" s="1" t="n">
        <v>45513</v>
      </c>
      <c r="E386" s="1" t="n">
        <v>46218</v>
      </c>
      <c r="F386" t="inlineStr">
        <is>
          <t>DALARNAS LÄN</t>
        </is>
      </c>
      <c r="G386" t="inlineStr">
        <is>
          <t>RÄTTVIK</t>
        </is>
      </c>
      <c r="H386" t="inlineStr">
        <is>
          <t>Sveaskog</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16876-2025</t>
        </is>
      </c>
      <c r="B387" t="inlineStr">
        <is>
          <t>avverkningsanmälan</t>
        </is>
      </c>
      <c r="C387" t="inlineStr">
        <is>
          <t>Föryngringsavverkning</t>
        </is>
      </c>
      <c r="D387" s="1" t="n">
        <v>45755</v>
      </c>
      <c r="E387" s="1" t="n">
        <v>46218</v>
      </c>
      <c r="F387" t="inlineStr">
        <is>
          <t>DALARNAS LÄN</t>
        </is>
      </c>
      <c r="G387" t="inlineStr">
        <is>
          <t>RÄTTVIK</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48930-2025</t>
        </is>
      </c>
      <c r="B388" t="inlineStr">
        <is>
          <t>avverkningsanmälan</t>
        </is>
      </c>
      <c r="C388" t="inlineStr">
        <is>
          <t>Föryngringsavverkning</t>
        </is>
      </c>
      <c r="D388" s="1" t="n">
        <v>45937</v>
      </c>
      <c r="E388" s="1" t="n">
        <v>46218</v>
      </c>
      <c r="F388" t="inlineStr">
        <is>
          <t>DALARNAS LÄN</t>
        </is>
      </c>
      <c r="G388" t="inlineStr">
        <is>
          <t>RÄTTVIK</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37591-2024</t>
        </is>
      </c>
      <c r="B389" t="inlineStr">
        <is>
          <t>avverkningsanmälan</t>
        </is>
      </c>
      <c r="C389" t="inlineStr">
        <is>
          <t>Föryngringsavverkning</t>
        </is>
      </c>
      <c r="D389" s="1" t="n">
        <v>45541</v>
      </c>
      <c r="E389" s="1" t="n">
        <v>46218</v>
      </c>
      <c r="F389" t="inlineStr">
        <is>
          <t>DALARNAS LÄN</t>
        </is>
      </c>
      <c r="G389" t="inlineStr">
        <is>
          <t>RÄTTVIK</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48980-2025</t>
        </is>
      </c>
      <c r="B390" t="inlineStr">
        <is>
          <t>avverkningsanmälan</t>
        </is>
      </c>
      <c r="C390" t="inlineStr">
        <is>
          <t>Föryngringsavverkning</t>
        </is>
      </c>
      <c r="D390" s="1" t="n">
        <v>45937</v>
      </c>
      <c r="E390" s="1" t="n">
        <v>46218</v>
      </c>
      <c r="F390" t="inlineStr">
        <is>
          <t>DALARNAS LÄN</t>
        </is>
      </c>
      <c r="G390" t="inlineStr">
        <is>
          <t>RÄTTVIK</t>
        </is>
      </c>
      <c r="H390" t="inlineStr">
        <is>
          <t>Bergvik skog väst AB</t>
        </is>
      </c>
      <c r="I390" t="n">
        <v>12.5</v>
      </c>
      <c r="J390" t="n">
        <v>0</v>
      </c>
      <c r="K390" t="n">
        <v>0</v>
      </c>
      <c r="L390" t="n">
        <v>0</v>
      </c>
      <c r="M390" t="n">
        <v>0</v>
      </c>
      <c r="N390" t="n">
        <v>0</v>
      </c>
      <c r="O390" t="n">
        <v>0</v>
      </c>
      <c r="P390" t="n">
        <v>0</v>
      </c>
      <c r="Q390" t="n">
        <v>0</v>
      </c>
      <c r="R390" t="n">
        <v>0</v>
      </c>
      <c r="S390" t="n">
        <v>0</v>
      </c>
      <c r="T390" t="n">
        <v>0</v>
      </c>
      <c r="U390" s="2" t="inlineStr"/>
    </row>
    <row r="391" ht="15" customHeight="1">
      <c r="A391" t="inlineStr">
        <is>
          <t>A 10513-2025</t>
        </is>
      </c>
      <c r="B391" t="inlineStr">
        <is>
          <t>avverkningsanmälan</t>
        </is>
      </c>
      <c r="C391" t="inlineStr">
        <is>
          <t>Föryngringsavverkning</t>
        </is>
      </c>
      <c r="D391" s="1" t="n">
        <v>45721</v>
      </c>
      <c r="E391" s="1" t="n">
        <v>46218</v>
      </c>
      <c r="F391" t="inlineStr">
        <is>
          <t>DALARNAS LÄN</t>
        </is>
      </c>
      <c r="G391" t="inlineStr">
        <is>
          <t>RÄTTVIK</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4414-2025</t>
        </is>
      </c>
      <c r="B392" t="inlineStr">
        <is>
          <t>avverkningsanmälan</t>
        </is>
      </c>
      <c r="C392" t="inlineStr">
        <is>
          <t>Föryngringsavverkning</t>
        </is>
      </c>
      <c r="D392" s="1" t="n">
        <v>45686</v>
      </c>
      <c r="E392" s="1" t="n">
        <v>46218</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40021-2023</t>
        </is>
      </c>
      <c r="B393" t="inlineStr">
        <is>
          <t>avverkningsanmälan</t>
        </is>
      </c>
      <c r="C393" t="inlineStr">
        <is>
          <t>Föryngringsavverkning</t>
        </is>
      </c>
      <c r="D393" s="1" t="n">
        <v>45167</v>
      </c>
      <c r="E393" s="1" t="n">
        <v>46218</v>
      </c>
      <c r="F393" t="inlineStr">
        <is>
          <t>DALARNAS LÄN</t>
        </is>
      </c>
      <c r="G393" t="inlineStr">
        <is>
          <t>RÄTTVIK</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33838-2024</t>
        </is>
      </c>
      <c r="B394" t="inlineStr">
        <is>
          <t>avverkningsanmälan</t>
        </is>
      </c>
      <c r="C394" t="inlineStr">
        <is>
          <t>Föryngringsavverkning</t>
        </is>
      </c>
      <c r="D394" s="1" t="n">
        <v>45520</v>
      </c>
      <c r="E394" s="1" t="n">
        <v>46218</v>
      </c>
      <c r="F394" t="inlineStr">
        <is>
          <t>DALARNAS LÄN</t>
        </is>
      </c>
      <c r="G394" t="inlineStr">
        <is>
          <t>RÄTTVIK</t>
        </is>
      </c>
      <c r="H394" t="inlineStr">
        <is>
          <t>Sveaskog</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48883-2025</t>
        </is>
      </c>
      <c r="B395" t="inlineStr">
        <is>
          <t>avverkningsanmälan</t>
        </is>
      </c>
      <c r="C395" t="inlineStr">
        <is>
          <t>Föryngringsavverkning</t>
        </is>
      </c>
      <c r="D395" s="1" t="n">
        <v>45937</v>
      </c>
      <c r="E395" s="1" t="n">
        <v>46218</v>
      </c>
      <c r="F395" t="inlineStr">
        <is>
          <t>DALARNAS LÄN</t>
        </is>
      </c>
      <c r="G395" t="inlineStr">
        <is>
          <t>RÄTTVIK</t>
        </is>
      </c>
      <c r="I395" t="n">
        <v>3.4</v>
      </c>
      <c r="J395" t="n">
        <v>0</v>
      </c>
      <c r="K395" t="n">
        <v>0</v>
      </c>
      <c r="L395" t="n">
        <v>0</v>
      </c>
      <c r="M395" t="n">
        <v>0</v>
      </c>
      <c r="N395" t="n">
        <v>0</v>
      </c>
      <c r="O395" t="n">
        <v>0</v>
      </c>
      <c r="P395" t="n">
        <v>0</v>
      </c>
      <c r="Q395" t="n">
        <v>0</v>
      </c>
      <c r="R395" t="n">
        <v>0</v>
      </c>
      <c r="S395" t="n">
        <v>0</v>
      </c>
      <c r="T395" t="n">
        <v>0</v>
      </c>
      <c r="U395" s="2" t="inlineStr"/>
    </row>
    <row r="396" ht="15" customHeight="1">
      <c r="A396" t="inlineStr">
        <is>
          <t>A 44499-2022</t>
        </is>
      </c>
      <c r="B396" t="inlineStr">
        <is>
          <t>avverkningsanmälan</t>
        </is>
      </c>
      <c r="C396" t="inlineStr">
        <is>
          <t>Föryngringsavverkning</t>
        </is>
      </c>
      <c r="D396" s="1" t="n">
        <v>44840</v>
      </c>
      <c r="E396" s="1" t="n">
        <v>46218</v>
      </c>
      <c r="F396" t="inlineStr">
        <is>
          <t>DALARNAS LÄN</t>
        </is>
      </c>
      <c r="G396" t="inlineStr">
        <is>
          <t>RÄTTVIK</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950-2025</t>
        </is>
      </c>
      <c r="B397" t="inlineStr">
        <is>
          <t>avverkningsanmälan</t>
        </is>
      </c>
      <c r="C397" t="inlineStr">
        <is>
          <t>Föryngringsavverkning</t>
        </is>
      </c>
      <c r="D397" s="1" t="n">
        <v>45666</v>
      </c>
      <c r="E397" s="1" t="n">
        <v>46218</v>
      </c>
      <c r="F397" t="inlineStr">
        <is>
          <t>DALARNAS LÄN</t>
        </is>
      </c>
      <c r="G397" t="inlineStr">
        <is>
          <t>RÄTTVIK</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49467-2025</t>
        </is>
      </c>
      <c r="B398" t="inlineStr">
        <is>
          <t>avverkningsanmälan</t>
        </is>
      </c>
      <c r="C398" t="inlineStr">
        <is>
          <t>Föryngringsavverkning</t>
        </is>
      </c>
      <c r="D398" s="1" t="n">
        <v>45939</v>
      </c>
      <c r="E398" s="1" t="n">
        <v>46218</v>
      </c>
      <c r="F398" t="inlineStr">
        <is>
          <t>DALARNAS LÄN</t>
        </is>
      </c>
      <c r="G398" t="inlineStr">
        <is>
          <t>RÄTTVIK</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6195-2023</t>
        </is>
      </c>
      <c r="B399" t="inlineStr">
        <is>
          <t>avverkningsanmälan</t>
        </is>
      </c>
      <c r="C399" t="inlineStr">
        <is>
          <t>Föryngringsavverkning</t>
        </is>
      </c>
      <c r="D399" s="1" t="n">
        <v>44964</v>
      </c>
      <c r="E399" s="1" t="n">
        <v>46218</v>
      </c>
      <c r="F399" t="inlineStr">
        <is>
          <t>DALARNAS LÄN</t>
        </is>
      </c>
      <c r="G399" t="inlineStr">
        <is>
          <t>RÄTTVIK</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44015-2023</t>
        </is>
      </c>
      <c r="B400" t="inlineStr">
        <is>
          <t>avverkningsanmälan</t>
        </is>
      </c>
      <c r="C400" t="inlineStr">
        <is>
          <t>Föryngringsavverkning</t>
        </is>
      </c>
      <c r="D400" s="1" t="n">
        <v>45182</v>
      </c>
      <c r="E400" s="1" t="n">
        <v>46218</v>
      </c>
      <c r="F400" t="inlineStr">
        <is>
          <t>DALARNAS LÄN</t>
        </is>
      </c>
      <c r="G400" t="inlineStr">
        <is>
          <t>RÄTTVIK</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49479-2025</t>
        </is>
      </c>
      <c r="B401" t="inlineStr">
        <is>
          <t>avverkningsanmälan</t>
        </is>
      </c>
      <c r="C401" t="inlineStr">
        <is>
          <t>Föryngringsavverkning</t>
        </is>
      </c>
      <c r="D401" s="1" t="n">
        <v>45939</v>
      </c>
      <c r="E401" s="1" t="n">
        <v>46218</v>
      </c>
      <c r="F401" t="inlineStr">
        <is>
          <t>DALARNAS LÄN</t>
        </is>
      </c>
      <c r="G401" t="inlineStr">
        <is>
          <t>RÄTTVIK</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55203-2021</t>
        </is>
      </c>
      <c r="B402" t="inlineStr">
        <is>
          <t>avverkningsanmälan</t>
        </is>
      </c>
      <c r="C402" t="inlineStr">
        <is>
          <t>Föryngringsavverkning</t>
        </is>
      </c>
      <c r="D402" s="1" t="n">
        <v>44475</v>
      </c>
      <c r="E402" s="1" t="n">
        <v>46218</v>
      </c>
      <c r="F402" t="inlineStr">
        <is>
          <t>DALARNAS LÄN</t>
        </is>
      </c>
      <c r="G402" t="inlineStr">
        <is>
          <t>RÄTTVIK</t>
        </is>
      </c>
      <c r="I402" t="n">
        <v>1.3</v>
      </c>
      <c r="J402" t="n">
        <v>0</v>
      </c>
      <c r="K402" t="n">
        <v>0</v>
      </c>
      <c r="L402" t="n">
        <v>0</v>
      </c>
      <c r="M402" t="n">
        <v>0</v>
      </c>
      <c r="N402" t="n">
        <v>0</v>
      </c>
      <c r="O402" t="n">
        <v>0</v>
      </c>
      <c r="P402" t="n">
        <v>0</v>
      </c>
      <c r="Q402" t="n">
        <v>0</v>
      </c>
      <c r="R402" t="n">
        <v>0</v>
      </c>
      <c r="S402" t="n">
        <v>0</v>
      </c>
      <c r="T402" t="n">
        <v>0</v>
      </c>
      <c r="U402" s="2" t="inlineStr"/>
    </row>
    <row r="403" ht="15" customHeight="1">
      <c r="A403" t="inlineStr">
        <is>
          <t>A 36455-2024</t>
        </is>
      </c>
      <c r="B403" t="inlineStr">
        <is>
          <t>avverkningsanmälan</t>
        </is>
      </c>
      <c r="C403" t="inlineStr">
        <is>
          <t>Föryngringsavverkning</t>
        </is>
      </c>
      <c r="D403" s="1" t="n">
        <v>45537</v>
      </c>
      <c r="E403" s="1" t="n">
        <v>46218</v>
      </c>
      <c r="F403" t="inlineStr">
        <is>
          <t>DALARNAS LÄN</t>
        </is>
      </c>
      <c r="G403" t="inlineStr">
        <is>
          <t>RÄTTVIK</t>
        </is>
      </c>
      <c r="I403" t="n">
        <v>9.800000000000001</v>
      </c>
      <c r="J403" t="n">
        <v>0</v>
      </c>
      <c r="K403" t="n">
        <v>0</v>
      </c>
      <c r="L403" t="n">
        <v>0</v>
      </c>
      <c r="M403" t="n">
        <v>0</v>
      </c>
      <c r="N403" t="n">
        <v>0</v>
      </c>
      <c r="O403" t="n">
        <v>0</v>
      </c>
      <c r="P403" t="n">
        <v>0</v>
      </c>
      <c r="Q403" t="n">
        <v>0</v>
      </c>
      <c r="R403" t="n">
        <v>0</v>
      </c>
      <c r="S403" t="n">
        <v>0</v>
      </c>
      <c r="T403" t="n">
        <v>0</v>
      </c>
      <c r="U403" s="2" t="inlineStr"/>
    </row>
    <row r="404" ht="15" customHeight="1">
      <c r="A404" t="inlineStr">
        <is>
          <t>A 49723-2025</t>
        </is>
      </c>
      <c r="B404" t="inlineStr">
        <is>
          <t>avverkningsanmälan</t>
        </is>
      </c>
      <c r="C404" t="inlineStr">
        <is>
          <t>Föryngringsavverkning</t>
        </is>
      </c>
      <c r="D404" s="1" t="n">
        <v>45939</v>
      </c>
      <c r="E404" s="1" t="n">
        <v>46218</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50140-2025</t>
        </is>
      </c>
      <c r="B405" t="inlineStr">
        <is>
          <t>avverkningsanmälan</t>
        </is>
      </c>
      <c r="C405" t="inlineStr">
        <is>
          <t>Föryngringsavverkning</t>
        </is>
      </c>
      <c r="D405" s="1" t="n">
        <v>45943</v>
      </c>
      <c r="E405" s="1" t="n">
        <v>46218</v>
      </c>
      <c r="F405" t="inlineStr">
        <is>
          <t>DALARNAS LÄN</t>
        </is>
      </c>
      <c r="G405" t="inlineStr">
        <is>
          <t>RÄTTVIK</t>
        </is>
      </c>
      <c r="H405" t="inlineStr">
        <is>
          <t>Bergvik skog väst AB</t>
        </is>
      </c>
      <c r="I405" t="n">
        <v>7.7</v>
      </c>
      <c r="J405" t="n">
        <v>0</v>
      </c>
      <c r="K405" t="n">
        <v>0</v>
      </c>
      <c r="L405" t="n">
        <v>0</v>
      </c>
      <c r="M405" t="n">
        <v>0</v>
      </c>
      <c r="N405" t="n">
        <v>0</v>
      </c>
      <c r="O405" t="n">
        <v>0</v>
      </c>
      <c r="P405" t="n">
        <v>0</v>
      </c>
      <c r="Q405" t="n">
        <v>0</v>
      </c>
      <c r="R405" t="n">
        <v>0</v>
      </c>
      <c r="S405" t="n">
        <v>0</v>
      </c>
      <c r="T405" t="n">
        <v>0</v>
      </c>
      <c r="U405" s="2" t="inlineStr"/>
    </row>
    <row r="406" ht="15" customHeight="1">
      <c r="A406" t="inlineStr">
        <is>
          <t>A 50107-2025</t>
        </is>
      </c>
      <c r="B406" t="inlineStr">
        <is>
          <t>avverkningsanmälan</t>
        </is>
      </c>
      <c r="C406" t="inlineStr">
        <is>
          <t>Föryngringsavverkning</t>
        </is>
      </c>
      <c r="D406" s="1" t="n">
        <v>45943</v>
      </c>
      <c r="E406" s="1" t="n">
        <v>46218</v>
      </c>
      <c r="F406" t="inlineStr">
        <is>
          <t>DALARNAS LÄN</t>
        </is>
      </c>
      <c r="G406" t="inlineStr">
        <is>
          <t>RÄTTVIK</t>
        </is>
      </c>
      <c r="H406" t="inlineStr">
        <is>
          <t>Sveaskog</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50197-2025</t>
        </is>
      </c>
      <c r="B407" t="inlineStr">
        <is>
          <t>avverkningsanmälan</t>
        </is>
      </c>
      <c r="C407" t="inlineStr">
        <is>
          <t>Föryngringsavverkning</t>
        </is>
      </c>
      <c r="D407" s="1" t="n">
        <v>45943</v>
      </c>
      <c r="E407" s="1" t="n">
        <v>46218</v>
      </c>
      <c r="F407" t="inlineStr">
        <is>
          <t>DALARNAS LÄN</t>
        </is>
      </c>
      <c r="G407" t="inlineStr">
        <is>
          <t>RÄTTVIK</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49956-2025</t>
        </is>
      </c>
      <c r="B408" t="inlineStr">
        <is>
          <t>avverkningsanmälan</t>
        </is>
      </c>
      <c r="C408" t="inlineStr">
        <is>
          <t>Föryngringsavverkning</t>
        </is>
      </c>
      <c r="D408" s="1" t="n">
        <v>45940</v>
      </c>
      <c r="E408" s="1" t="n">
        <v>46218</v>
      </c>
      <c r="F408" t="inlineStr">
        <is>
          <t>DALARNAS LÄN</t>
        </is>
      </c>
      <c r="G408" t="inlineStr">
        <is>
          <t>RÄTTVIK</t>
        </is>
      </c>
      <c r="I408" t="n">
        <v>2</v>
      </c>
      <c r="J408" t="n">
        <v>0</v>
      </c>
      <c r="K408" t="n">
        <v>0</v>
      </c>
      <c r="L408" t="n">
        <v>0</v>
      </c>
      <c r="M408" t="n">
        <v>0</v>
      </c>
      <c r="N408" t="n">
        <v>0</v>
      </c>
      <c r="O408" t="n">
        <v>0</v>
      </c>
      <c r="P408" t="n">
        <v>0</v>
      </c>
      <c r="Q408" t="n">
        <v>0</v>
      </c>
      <c r="R408" t="n">
        <v>0</v>
      </c>
      <c r="S408" t="n">
        <v>0</v>
      </c>
      <c r="T408" t="n">
        <v>0</v>
      </c>
      <c r="U408" s="2" t="inlineStr"/>
    </row>
    <row r="409" ht="15" customHeight="1">
      <c r="A409" t="inlineStr">
        <is>
          <t>A 23408-2024</t>
        </is>
      </c>
      <c r="B409" t="inlineStr">
        <is>
          <t>avverkningsanmälan</t>
        </is>
      </c>
      <c r="C409" t="inlineStr">
        <is>
          <t>Föryngringsavverkning</t>
        </is>
      </c>
      <c r="D409" s="1" t="n">
        <v>45453</v>
      </c>
      <c r="E409" s="1" t="n">
        <v>46218</v>
      </c>
      <c r="F409" t="inlineStr">
        <is>
          <t>DALARNAS LÄN</t>
        </is>
      </c>
      <c r="G409" t="inlineStr">
        <is>
          <t>RÄTTVIK</t>
        </is>
      </c>
      <c r="H409" t="inlineStr">
        <is>
          <t>Allmännings- och besparingsskogar</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49954-2025</t>
        </is>
      </c>
      <c r="B410" t="inlineStr">
        <is>
          <t>avverkningsanmälan</t>
        </is>
      </c>
      <c r="C410" t="inlineStr">
        <is>
          <t>Föryngringsavverkning</t>
        </is>
      </c>
      <c r="D410" s="1" t="n">
        <v>45940</v>
      </c>
      <c r="E410" s="1" t="n">
        <v>46218</v>
      </c>
      <c r="F410" t="inlineStr">
        <is>
          <t>DALARNAS LÄN</t>
        </is>
      </c>
      <c r="G410" t="inlineStr">
        <is>
          <t>RÄTTVIK</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50136-2025</t>
        </is>
      </c>
      <c r="B411" t="inlineStr">
        <is>
          <t>avverkningsanmälan</t>
        </is>
      </c>
      <c r="C411" t="inlineStr">
        <is>
          <t>Föryngringsavverkning</t>
        </is>
      </c>
      <c r="D411" s="1" t="n">
        <v>45943</v>
      </c>
      <c r="E411" s="1" t="n">
        <v>46218</v>
      </c>
      <c r="F411" t="inlineStr">
        <is>
          <t>DALARNAS LÄN</t>
        </is>
      </c>
      <c r="G411" t="inlineStr">
        <is>
          <t>RÄTTVIK</t>
        </is>
      </c>
      <c r="H411" t="inlineStr">
        <is>
          <t>Bergvik skog väst AB</t>
        </is>
      </c>
      <c r="I411" t="n">
        <v>5.9</v>
      </c>
      <c r="J411" t="n">
        <v>0</v>
      </c>
      <c r="K411" t="n">
        <v>0</v>
      </c>
      <c r="L411" t="n">
        <v>0</v>
      </c>
      <c r="M411" t="n">
        <v>0</v>
      </c>
      <c r="N411" t="n">
        <v>0</v>
      </c>
      <c r="O411" t="n">
        <v>0</v>
      </c>
      <c r="P411" t="n">
        <v>0</v>
      </c>
      <c r="Q411" t="n">
        <v>0</v>
      </c>
      <c r="R411" t="n">
        <v>0</v>
      </c>
      <c r="S411" t="n">
        <v>0</v>
      </c>
      <c r="T411" t="n">
        <v>0</v>
      </c>
      <c r="U411" s="2" t="inlineStr"/>
    </row>
    <row r="412" ht="15" customHeight="1">
      <c r="A412" t="inlineStr">
        <is>
          <t>A 47344-2025</t>
        </is>
      </c>
      <c r="B412" t="inlineStr">
        <is>
          <t>avverkningsanmälan</t>
        </is>
      </c>
      <c r="C412" t="inlineStr">
        <is>
          <t>Föryngringsavverkning</t>
        </is>
      </c>
      <c r="D412" s="1" t="n">
        <v>45930</v>
      </c>
      <c r="E412" s="1" t="n">
        <v>46218</v>
      </c>
      <c r="F412" t="inlineStr">
        <is>
          <t>DALARNAS LÄN</t>
        </is>
      </c>
      <c r="G412" t="inlineStr">
        <is>
          <t>RÄTTVIK</t>
        </is>
      </c>
      <c r="I412" t="n">
        <v>5.1</v>
      </c>
      <c r="J412" t="n">
        <v>0</v>
      </c>
      <c r="K412" t="n">
        <v>0</v>
      </c>
      <c r="L412" t="n">
        <v>0</v>
      </c>
      <c r="M412" t="n">
        <v>0</v>
      </c>
      <c r="N412" t="n">
        <v>0</v>
      </c>
      <c r="O412" t="n">
        <v>0</v>
      </c>
      <c r="P412" t="n">
        <v>0</v>
      </c>
      <c r="Q412" t="n">
        <v>0</v>
      </c>
      <c r="R412" t="n">
        <v>0</v>
      </c>
      <c r="S412" t="n">
        <v>0</v>
      </c>
      <c r="T412" t="n">
        <v>0</v>
      </c>
      <c r="U412" s="2" t="inlineStr"/>
    </row>
    <row r="413" ht="15" customHeight="1">
      <c r="A413" t="inlineStr">
        <is>
          <t>A 36459-2024</t>
        </is>
      </c>
      <c r="B413" t="inlineStr">
        <is>
          <t>avverkningsanmälan</t>
        </is>
      </c>
      <c r="C413" t="inlineStr">
        <is>
          <t>Föryngringsavverkning</t>
        </is>
      </c>
      <c r="D413" s="1" t="n">
        <v>45537</v>
      </c>
      <c r="E413" s="1" t="n">
        <v>46218</v>
      </c>
      <c r="F413" t="inlineStr">
        <is>
          <t>DALARNAS LÄN</t>
        </is>
      </c>
      <c r="G413" t="inlineStr">
        <is>
          <t>RÄTTVIK</t>
        </is>
      </c>
      <c r="I413" t="n">
        <v>6</v>
      </c>
      <c r="J413" t="n">
        <v>0</v>
      </c>
      <c r="K413" t="n">
        <v>0</v>
      </c>
      <c r="L413" t="n">
        <v>0</v>
      </c>
      <c r="M413" t="n">
        <v>0</v>
      </c>
      <c r="N413" t="n">
        <v>0</v>
      </c>
      <c r="O413" t="n">
        <v>0</v>
      </c>
      <c r="P413" t="n">
        <v>0</v>
      </c>
      <c r="Q413" t="n">
        <v>0</v>
      </c>
      <c r="R413" t="n">
        <v>0</v>
      </c>
      <c r="S413" t="n">
        <v>0</v>
      </c>
      <c r="T413" t="n">
        <v>0</v>
      </c>
      <c r="U413" s="2" t="inlineStr"/>
    </row>
    <row r="414" ht="15" customHeight="1">
      <c r="A414" t="inlineStr">
        <is>
          <t>A 54243-2024</t>
        </is>
      </c>
      <c r="B414" t="inlineStr">
        <is>
          <t>avverkningsanmälan</t>
        </is>
      </c>
      <c r="C414" t="inlineStr">
        <is>
          <t>Avverkning för att bevara och utveckla /försöksver</t>
        </is>
      </c>
      <c r="D414" s="1" t="n">
        <v>45616</v>
      </c>
      <c r="E414" s="1" t="n">
        <v>46218</v>
      </c>
      <c r="F414" t="inlineStr">
        <is>
          <t>DALARNAS LÄN</t>
        </is>
      </c>
      <c r="G414" t="inlineStr">
        <is>
          <t>RÄTTVIK</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19841-2025</t>
        </is>
      </c>
      <c r="B415" t="inlineStr">
        <is>
          <t>avverkningsanmälan</t>
        </is>
      </c>
      <c r="C415" t="inlineStr">
        <is>
          <t>Föryngringsavverkning</t>
        </is>
      </c>
      <c r="D415" s="1" t="n">
        <v>45771</v>
      </c>
      <c r="E415" s="1" t="n">
        <v>46218</v>
      </c>
      <c r="F415" t="inlineStr">
        <is>
          <t>DALARNAS LÄN</t>
        </is>
      </c>
      <c r="G415" t="inlineStr">
        <is>
          <t>RÄTTVIK</t>
        </is>
      </c>
      <c r="I415" t="n">
        <v>3.3</v>
      </c>
      <c r="J415" t="n">
        <v>0</v>
      </c>
      <c r="K415" t="n">
        <v>0</v>
      </c>
      <c r="L415" t="n">
        <v>0</v>
      </c>
      <c r="M415" t="n">
        <v>0</v>
      </c>
      <c r="N415" t="n">
        <v>0</v>
      </c>
      <c r="O415" t="n">
        <v>0</v>
      </c>
      <c r="P415" t="n">
        <v>0</v>
      </c>
      <c r="Q415" t="n">
        <v>0</v>
      </c>
      <c r="R415" t="n">
        <v>0</v>
      </c>
      <c r="S415" t="n">
        <v>0</v>
      </c>
      <c r="T415" t="n">
        <v>0</v>
      </c>
      <c r="U415" s="2" t="inlineStr"/>
    </row>
    <row r="416" ht="15" customHeight="1">
      <c r="A416" t="inlineStr">
        <is>
          <t>A 55893-2024</t>
        </is>
      </c>
      <c r="B416" t="inlineStr">
        <is>
          <t>avverkningsanmälan</t>
        </is>
      </c>
      <c r="C416" t="inlineStr">
        <is>
          <t>Föryngringsavverkning</t>
        </is>
      </c>
      <c r="D416" s="1" t="n">
        <v>45623</v>
      </c>
      <c r="E416" s="1" t="n">
        <v>46218</v>
      </c>
      <c r="F416" t="inlineStr">
        <is>
          <t>DALARNAS LÄN</t>
        </is>
      </c>
      <c r="G416" t="inlineStr">
        <is>
          <t>RÄTTVIK</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32862-2023</t>
        </is>
      </c>
      <c r="B417" t="inlineStr">
        <is>
          <t>avverkningsanmälan</t>
        </is>
      </c>
      <c r="C417" t="inlineStr">
        <is>
          <t>Föryngringsavverkning</t>
        </is>
      </c>
      <c r="D417" s="1" t="n">
        <v>45112</v>
      </c>
      <c r="E417" s="1" t="n">
        <v>46218</v>
      </c>
      <c r="F417" t="inlineStr">
        <is>
          <t>DALARNAS LÄN</t>
        </is>
      </c>
      <c r="G417" t="inlineStr">
        <is>
          <t>RÄTTVIK</t>
        </is>
      </c>
      <c r="I417" t="n">
        <v>4.8</v>
      </c>
      <c r="J417" t="n">
        <v>0</v>
      </c>
      <c r="K417" t="n">
        <v>0</v>
      </c>
      <c r="L417" t="n">
        <v>0</v>
      </c>
      <c r="M417" t="n">
        <v>0</v>
      </c>
      <c r="N417" t="n">
        <v>0</v>
      </c>
      <c r="O417" t="n">
        <v>0</v>
      </c>
      <c r="P417" t="n">
        <v>0</v>
      </c>
      <c r="Q417" t="n">
        <v>0</v>
      </c>
      <c r="R417" t="n">
        <v>0</v>
      </c>
      <c r="S417" t="n">
        <v>0</v>
      </c>
      <c r="T417" t="n">
        <v>0</v>
      </c>
      <c r="U417" s="2" t="inlineStr"/>
    </row>
    <row r="418" ht="15" customHeight="1">
      <c r="A418" t="inlineStr">
        <is>
          <t>A 45621-2023</t>
        </is>
      </c>
      <c r="B418" t="inlineStr">
        <is>
          <t>avverkningsanmälan</t>
        </is>
      </c>
      <c r="C418" t="inlineStr">
        <is>
          <t>Föryngringsavverkning</t>
        </is>
      </c>
      <c r="D418" s="1" t="n">
        <v>45188</v>
      </c>
      <c r="E418" s="1" t="n">
        <v>46218</v>
      </c>
      <c r="F418" t="inlineStr">
        <is>
          <t>DALARNAS LÄN</t>
        </is>
      </c>
      <c r="G418" t="inlineStr">
        <is>
          <t>RÄTTVIK</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41542-2024</t>
        </is>
      </c>
      <c r="B419" t="inlineStr">
        <is>
          <t>avverkningsanmälan</t>
        </is>
      </c>
      <c r="C419" t="inlineStr">
        <is>
          <t>Föryngringsavverkning</t>
        </is>
      </c>
      <c r="D419" s="1" t="n">
        <v>45560</v>
      </c>
      <c r="E419" s="1" t="n">
        <v>46218</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56772-2024</t>
        </is>
      </c>
      <c r="B420" t="inlineStr">
        <is>
          <t>avverkningsanmälan</t>
        </is>
      </c>
      <c r="C420" t="inlineStr">
        <is>
          <t>Föryngringsavverkning</t>
        </is>
      </c>
      <c r="D420" s="1" t="n">
        <v>45628</v>
      </c>
      <c r="E420" s="1" t="n">
        <v>46218</v>
      </c>
      <c r="F420" t="inlineStr">
        <is>
          <t>DALARNAS LÄN</t>
        </is>
      </c>
      <c r="G420" t="inlineStr">
        <is>
          <t>RÄTTVIK</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702-2024</t>
        </is>
      </c>
      <c r="B421" t="inlineStr">
        <is>
          <t>avverkningsanmälan</t>
        </is>
      </c>
      <c r="C421" t="inlineStr">
        <is>
          <t>Föryngringsavverkning</t>
        </is>
      </c>
      <c r="D421" s="1" t="n">
        <v>45300</v>
      </c>
      <c r="E421" s="1" t="n">
        <v>46218</v>
      </c>
      <c r="F421" t="inlineStr">
        <is>
          <t>DALARNAS LÄN</t>
        </is>
      </c>
      <c r="G421" t="inlineStr">
        <is>
          <t>RÄTTVIK</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50902-2025</t>
        </is>
      </c>
      <c r="B422" t="inlineStr">
        <is>
          <t>avverkningsanmälan</t>
        </is>
      </c>
      <c r="C422" t="inlineStr">
        <is>
          <t>Föryngringsavverkning</t>
        </is>
      </c>
      <c r="D422" s="1" t="n">
        <v>45946</v>
      </c>
      <c r="E422" s="1" t="n">
        <v>46218</v>
      </c>
      <c r="F422" t="inlineStr">
        <is>
          <t>DALARNAS LÄN</t>
        </is>
      </c>
      <c r="G422" t="inlineStr">
        <is>
          <t>RÄTTVIK</t>
        </is>
      </c>
      <c r="I422" t="n">
        <v>4.4</v>
      </c>
      <c r="J422" t="n">
        <v>0</v>
      </c>
      <c r="K422" t="n">
        <v>0</v>
      </c>
      <c r="L422" t="n">
        <v>0</v>
      </c>
      <c r="M422" t="n">
        <v>0</v>
      </c>
      <c r="N422" t="n">
        <v>0</v>
      </c>
      <c r="O422" t="n">
        <v>0</v>
      </c>
      <c r="P422" t="n">
        <v>0</v>
      </c>
      <c r="Q422" t="n">
        <v>0</v>
      </c>
      <c r="R422" t="n">
        <v>0</v>
      </c>
      <c r="S422" t="n">
        <v>0</v>
      </c>
      <c r="T422" t="n">
        <v>0</v>
      </c>
      <c r="U422" s="2" t="inlineStr"/>
    </row>
    <row r="423" ht="15" customHeight="1">
      <c r="A423" t="inlineStr">
        <is>
          <t>A 1070-2025</t>
        </is>
      </c>
      <c r="B423" t="inlineStr">
        <is>
          <t>avverkningsanmälan</t>
        </is>
      </c>
      <c r="C423" t="inlineStr">
        <is>
          <t>Föryngringsavverkning</t>
        </is>
      </c>
      <c r="D423" s="1" t="n">
        <v>45666</v>
      </c>
      <c r="E423" s="1" t="n">
        <v>46218</v>
      </c>
      <c r="F423" t="inlineStr">
        <is>
          <t>DALARNAS LÄN</t>
        </is>
      </c>
      <c r="G423" t="inlineStr">
        <is>
          <t>RÄTTVIK</t>
        </is>
      </c>
      <c r="I423" t="n">
        <v>2.7</v>
      </c>
      <c r="J423" t="n">
        <v>0</v>
      </c>
      <c r="K423" t="n">
        <v>0</v>
      </c>
      <c r="L423" t="n">
        <v>0</v>
      </c>
      <c r="M423" t="n">
        <v>0</v>
      </c>
      <c r="N423" t="n">
        <v>0</v>
      </c>
      <c r="O423" t="n">
        <v>0</v>
      </c>
      <c r="P423" t="n">
        <v>0</v>
      </c>
      <c r="Q423" t="n">
        <v>0</v>
      </c>
      <c r="R423" t="n">
        <v>0</v>
      </c>
      <c r="S423" t="n">
        <v>0</v>
      </c>
      <c r="T423" t="n">
        <v>0</v>
      </c>
      <c r="U423" s="2" t="inlineStr"/>
    </row>
    <row r="424" ht="15" customHeight="1">
      <c r="A424" t="inlineStr">
        <is>
          <t>A 57740-2023</t>
        </is>
      </c>
      <c r="B424" t="inlineStr">
        <is>
          <t>avverkningsanmälan</t>
        </is>
      </c>
      <c r="C424" t="inlineStr">
        <is>
          <t>Föryngringsavverkning</t>
        </is>
      </c>
      <c r="D424" s="1" t="n">
        <v>45243</v>
      </c>
      <c r="E424" s="1" t="n">
        <v>46218</v>
      </c>
      <c r="F424" t="inlineStr">
        <is>
          <t>DALARNAS LÄN</t>
        </is>
      </c>
      <c r="G424" t="inlineStr">
        <is>
          <t>RÄTTVIK</t>
        </is>
      </c>
      <c r="I424" t="n">
        <v>2.7</v>
      </c>
      <c r="J424" t="n">
        <v>0</v>
      </c>
      <c r="K424" t="n">
        <v>0</v>
      </c>
      <c r="L424" t="n">
        <v>0</v>
      </c>
      <c r="M424" t="n">
        <v>0</v>
      </c>
      <c r="N424" t="n">
        <v>0</v>
      </c>
      <c r="O424" t="n">
        <v>0</v>
      </c>
      <c r="P424" t="n">
        <v>0</v>
      </c>
      <c r="Q424" t="n">
        <v>0</v>
      </c>
      <c r="R424" t="n">
        <v>0</v>
      </c>
      <c r="S424" t="n">
        <v>0</v>
      </c>
      <c r="T424" t="n">
        <v>0</v>
      </c>
      <c r="U424" s="2" t="inlineStr"/>
    </row>
    <row r="425" ht="15" customHeight="1">
      <c r="A425" t="inlineStr">
        <is>
          <t>A 9672-2024</t>
        </is>
      </c>
      <c r="B425" t="inlineStr">
        <is>
          <t>avverkningsanmälan</t>
        </is>
      </c>
      <c r="C425" t="inlineStr">
        <is>
          <t>Föryngringsavverkning</t>
        </is>
      </c>
      <c r="D425" s="1" t="n">
        <v>45362</v>
      </c>
      <c r="E425" s="1" t="n">
        <v>46218</v>
      </c>
      <c r="F425" t="inlineStr">
        <is>
          <t>DALARNAS LÄN</t>
        </is>
      </c>
      <c r="G425" t="inlineStr">
        <is>
          <t>RÄTTVIK</t>
        </is>
      </c>
      <c r="I425" t="n">
        <v>3</v>
      </c>
      <c r="J425" t="n">
        <v>0</v>
      </c>
      <c r="K425" t="n">
        <v>0</v>
      </c>
      <c r="L425" t="n">
        <v>0</v>
      </c>
      <c r="M425" t="n">
        <v>0</v>
      </c>
      <c r="N425" t="n">
        <v>0</v>
      </c>
      <c r="O425" t="n">
        <v>0</v>
      </c>
      <c r="P425" t="n">
        <v>0</v>
      </c>
      <c r="Q425" t="n">
        <v>0</v>
      </c>
      <c r="R425" t="n">
        <v>0</v>
      </c>
      <c r="S425" t="n">
        <v>0</v>
      </c>
      <c r="T425" t="n">
        <v>0</v>
      </c>
      <c r="U425" s="2" t="inlineStr"/>
    </row>
    <row r="426" ht="15" customHeight="1">
      <c r="A426" t="inlineStr">
        <is>
          <t>A 46943-2023</t>
        </is>
      </c>
      <c r="B426" t="inlineStr">
        <is>
          <t>avverkningsanmälan</t>
        </is>
      </c>
      <c r="C426" t="inlineStr">
        <is>
          <t>Föryngringsavverkning</t>
        </is>
      </c>
      <c r="D426" s="1" t="n">
        <v>45201</v>
      </c>
      <c r="E426" s="1" t="n">
        <v>46218</v>
      </c>
      <c r="F426" t="inlineStr">
        <is>
          <t>DALARNAS LÄN</t>
        </is>
      </c>
      <c r="G426" t="inlineStr">
        <is>
          <t>RÄTTVIK</t>
        </is>
      </c>
      <c r="I426" t="n">
        <v>2.6</v>
      </c>
      <c r="J426" t="n">
        <v>0</v>
      </c>
      <c r="K426" t="n">
        <v>0</v>
      </c>
      <c r="L426" t="n">
        <v>0</v>
      </c>
      <c r="M426" t="n">
        <v>0</v>
      </c>
      <c r="N426" t="n">
        <v>0</v>
      </c>
      <c r="O426" t="n">
        <v>0</v>
      </c>
      <c r="P426" t="n">
        <v>0</v>
      </c>
      <c r="Q426" t="n">
        <v>0</v>
      </c>
      <c r="R426" t="n">
        <v>0</v>
      </c>
      <c r="S426" t="n">
        <v>0</v>
      </c>
      <c r="T426" t="n">
        <v>0</v>
      </c>
      <c r="U426" s="2" t="inlineStr"/>
    </row>
    <row r="427" ht="15" customHeight="1">
      <c r="A427" t="inlineStr">
        <is>
          <t>A 14588-2025</t>
        </is>
      </c>
      <c r="B427" t="inlineStr">
        <is>
          <t>avverkningsanmälan</t>
        </is>
      </c>
      <c r="C427" t="inlineStr">
        <is>
          <t>Föryngringsavverkning</t>
        </is>
      </c>
      <c r="D427" s="1" t="n">
        <v>45742</v>
      </c>
      <c r="E427" s="1" t="n">
        <v>46218</v>
      </c>
      <c r="F427" t="inlineStr">
        <is>
          <t>DALARNAS LÄN</t>
        </is>
      </c>
      <c r="G427" t="inlineStr">
        <is>
          <t>RÄTTVIK</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20616-2025</t>
        </is>
      </c>
      <c r="B428" t="inlineStr">
        <is>
          <t>avverkningsanmälan</t>
        </is>
      </c>
      <c r="C428" t="inlineStr">
        <is>
          <t>Föryngringsavverkning</t>
        </is>
      </c>
      <c r="D428" s="1" t="n">
        <v>45776</v>
      </c>
      <c r="E428" s="1" t="n">
        <v>46218</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51448-2025</t>
        </is>
      </c>
      <c r="B429" t="inlineStr">
        <is>
          <t>avverkningsanmälan</t>
        </is>
      </c>
      <c r="C429" t="inlineStr">
        <is>
          <t>Föryngringsavverkning</t>
        </is>
      </c>
      <c r="D429" s="1" t="n">
        <v>45950</v>
      </c>
      <c r="E429" s="1" t="n">
        <v>46218</v>
      </c>
      <c r="F429" t="inlineStr">
        <is>
          <t>DALARNAS LÄN</t>
        </is>
      </c>
      <c r="G429" t="inlineStr">
        <is>
          <t>RÄTTVIK</t>
        </is>
      </c>
      <c r="H429" t="inlineStr">
        <is>
          <t>Bergvik skog väst AB</t>
        </is>
      </c>
      <c r="I429" t="n">
        <v>10.3</v>
      </c>
      <c r="J429" t="n">
        <v>0</v>
      </c>
      <c r="K429" t="n">
        <v>0</v>
      </c>
      <c r="L429" t="n">
        <v>0</v>
      </c>
      <c r="M429" t="n">
        <v>0</v>
      </c>
      <c r="N429" t="n">
        <v>0</v>
      </c>
      <c r="O429" t="n">
        <v>0</v>
      </c>
      <c r="P429" t="n">
        <v>0</v>
      </c>
      <c r="Q429" t="n">
        <v>0</v>
      </c>
      <c r="R429" t="n">
        <v>0</v>
      </c>
      <c r="S429" t="n">
        <v>0</v>
      </c>
      <c r="T429" t="n">
        <v>0</v>
      </c>
      <c r="U429" s="2" t="inlineStr"/>
    </row>
    <row r="430" ht="15" customHeight="1">
      <c r="A430" t="inlineStr">
        <is>
          <t>A 20652-2025</t>
        </is>
      </c>
      <c r="B430" t="inlineStr">
        <is>
          <t>avverkningsanmälan</t>
        </is>
      </c>
      <c r="C430" t="inlineStr">
        <is>
          <t>Föryngringsavverkning</t>
        </is>
      </c>
      <c r="D430" s="1" t="n">
        <v>45776</v>
      </c>
      <c r="E430" s="1" t="n">
        <v>46218</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21238-2025</t>
        </is>
      </c>
      <c r="B431" t="inlineStr">
        <is>
          <t>avverkningsanmälan</t>
        </is>
      </c>
      <c r="C431" t="inlineStr">
        <is>
          <t>Föryngringsavverkning</t>
        </is>
      </c>
      <c r="D431" s="1" t="n">
        <v>45779</v>
      </c>
      <c r="E431" s="1" t="n">
        <v>46218</v>
      </c>
      <c r="F431" t="inlineStr">
        <is>
          <t>DALARNAS LÄN</t>
        </is>
      </c>
      <c r="G431" t="inlineStr">
        <is>
          <t>RÄTTVIK</t>
        </is>
      </c>
      <c r="H431" t="inlineStr">
        <is>
          <t>Sveaskog</t>
        </is>
      </c>
      <c r="I431" t="n">
        <v>13.1</v>
      </c>
      <c r="J431" t="n">
        <v>0</v>
      </c>
      <c r="K431" t="n">
        <v>0</v>
      </c>
      <c r="L431" t="n">
        <v>0</v>
      </c>
      <c r="M431" t="n">
        <v>0</v>
      </c>
      <c r="N431" t="n">
        <v>0</v>
      </c>
      <c r="O431" t="n">
        <v>0</v>
      </c>
      <c r="P431" t="n">
        <v>0</v>
      </c>
      <c r="Q431" t="n">
        <v>0</v>
      </c>
      <c r="R431" t="n">
        <v>0</v>
      </c>
      <c r="S431" t="n">
        <v>0</v>
      </c>
      <c r="T431" t="n">
        <v>0</v>
      </c>
      <c r="U431" s="2" t="inlineStr"/>
    </row>
    <row r="432" ht="15" customHeight="1">
      <c r="A432" t="inlineStr">
        <is>
          <t>A 28014-2022</t>
        </is>
      </c>
      <c r="B432" t="inlineStr">
        <is>
          <t>avverkningsanmälan</t>
        </is>
      </c>
      <c r="C432" t="inlineStr">
        <is>
          <t>Föryngringsavverkning</t>
        </is>
      </c>
      <c r="D432" s="1" t="n">
        <v>44746</v>
      </c>
      <c r="E432" s="1" t="n">
        <v>46218</v>
      </c>
      <c r="F432" t="inlineStr">
        <is>
          <t>DALARNAS LÄN</t>
        </is>
      </c>
      <c r="G432" t="inlineStr">
        <is>
          <t>RÄTTVIK</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55379-2022</t>
        </is>
      </c>
      <c r="B433" t="inlineStr">
        <is>
          <t>avverkningsanmälan</t>
        </is>
      </c>
      <c r="C433" t="inlineStr">
        <is>
          <t>Föryngringsavverkning</t>
        </is>
      </c>
      <c r="D433" s="1" t="n">
        <v>44882</v>
      </c>
      <c r="E433" s="1" t="n">
        <v>46218</v>
      </c>
      <c r="F433" t="inlineStr">
        <is>
          <t>DALARNAS LÄN</t>
        </is>
      </c>
      <c r="G433" t="inlineStr">
        <is>
          <t>RÄTTVIK</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52158-2025</t>
        </is>
      </c>
      <c r="B434" t="inlineStr">
        <is>
          <t>avverkningsanmälan</t>
        </is>
      </c>
      <c r="C434" t="inlineStr">
        <is>
          <t>Föryngringsavverkning</t>
        </is>
      </c>
      <c r="D434" s="1" t="n">
        <v>45953</v>
      </c>
      <c r="E434" s="1" t="n">
        <v>46218</v>
      </c>
      <c r="F434" t="inlineStr">
        <is>
          <t>DALARNAS LÄN</t>
        </is>
      </c>
      <c r="G434" t="inlineStr">
        <is>
          <t>RÄTTVIK</t>
        </is>
      </c>
      <c r="I434" t="n">
        <v>3.1</v>
      </c>
      <c r="J434" t="n">
        <v>0</v>
      </c>
      <c r="K434" t="n">
        <v>0</v>
      </c>
      <c r="L434" t="n">
        <v>0</v>
      </c>
      <c r="M434" t="n">
        <v>0</v>
      </c>
      <c r="N434" t="n">
        <v>0</v>
      </c>
      <c r="O434" t="n">
        <v>0</v>
      </c>
      <c r="P434" t="n">
        <v>0</v>
      </c>
      <c r="Q434" t="n">
        <v>0</v>
      </c>
      <c r="R434" t="n">
        <v>0</v>
      </c>
      <c r="S434" t="n">
        <v>0</v>
      </c>
      <c r="T434" t="n">
        <v>0</v>
      </c>
      <c r="U434" s="2" t="inlineStr"/>
    </row>
    <row r="435" ht="15" customHeight="1">
      <c r="A435" t="inlineStr">
        <is>
          <t>A 61996-2022</t>
        </is>
      </c>
      <c r="B435" t="inlineStr">
        <is>
          <t>avverkningsanmälan</t>
        </is>
      </c>
      <c r="C435" t="inlineStr">
        <is>
          <t>Föryngringsavverkning</t>
        </is>
      </c>
      <c r="D435" s="1" t="n">
        <v>44914</v>
      </c>
      <c r="E435" s="1" t="n">
        <v>46218</v>
      </c>
      <c r="F435" t="inlineStr">
        <is>
          <t>DALARNAS LÄN</t>
        </is>
      </c>
      <c r="G435" t="inlineStr">
        <is>
          <t>RÄTTVIK</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5622-2023</t>
        </is>
      </c>
      <c r="B436" t="inlineStr">
        <is>
          <t>avverkningsanmälan</t>
        </is>
      </c>
      <c r="C436" t="inlineStr">
        <is>
          <t>Föryngringsavverkning</t>
        </is>
      </c>
      <c r="D436" s="1" t="n">
        <v>44960</v>
      </c>
      <c r="E436" s="1" t="n">
        <v>46218</v>
      </c>
      <c r="F436" t="inlineStr">
        <is>
          <t>DALARNAS LÄN</t>
        </is>
      </c>
      <c r="G436" t="inlineStr">
        <is>
          <t>RÄTTVIK</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54115-2024</t>
        </is>
      </c>
      <c r="B437" t="inlineStr">
        <is>
          <t>avverkningsanmälan</t>
        </is>
      </c>
      <c r="C437" t="inlineStr">
        <is>
          <t>Föryngringsavverkning</t>
        </is>
      </c>
      <c r="D437" s="1" t="n">
        <v>45616</v>
      </c>
      <c r="E437" s="1" t="n">
        <v>46218</v>
      </c>
      <c r="F437" t="inlineStr">
        <is>
          <t>DALARNAS LÄN</t>
        </is>
      </c>
      <c r="G437" t="inlineStr">
        <is>
          <t>RÄTTVIK</t>
        </is>
      </c>
      <c r="I437" t="n">
        <v>9.300000000000001</v>
      </c>
      <c r="J437" t="n">
        <v>0</v>
      </c>
      <c r="K437" t="n">
        <v>0</v>
      </c>
      <c r="L437" t="n">
        <v>0</v>
      </c>
      <c r="M437" t="n">
        <v>0</v>
      </c>
      <c r="N437" t="n">
        <v>0</v>
      </c>
      <c r="O437" t="n">
        <v>0</v>
      </c>
      <c r="P437" t="n">
        <v>0</v>
      </c>
      <c r="Q437" t="n">
        <v>0</v>
      </c>
      <c r="R437" t="n">
        <v>0</v>
      </c>
      <c r="S437" t="n">
        <v>0</v>
      </c>
      <c r="T437" t="n">
        <v>0</v>
      </c>
      <c r="U437" s="2" t="inlineStr"/>
    </row>
    <row r="438" ht="15" customHeight="1">
      <c r="A438" t="inlineStr">
        <is>
          <t>A 61919-2024</t>
        </is>
      </c>
      <c r="B438" t="inlineStr">
        <is>
          <t>avverkningsanmälan</t>
        </is>
      </c>
      <c r="C438" t="inlineStr">
        <is>
          <t>Föryngringsavverkning</t>
        </is>
      </c>
      <c r="D438" s="1" t="n">
        <v>45653</v>
      </c>
      <c r="E438" s="1" t="n">
        <v>46218</v>
      </c>
      <c r="F438" t="inlineStr">
        <is>
          <t>DALARNAS LÄN</t>
        </is>
      </c>
      <c r="G438" t="inlineStr">
        <is>
          <t>RÄTTVIK</t>
        </is>
      </c>
      <c r="H438" t="inlineStr">
        <is>
          <t>Kommuner</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21460-2025</t>
        </is>
      </c>
      <c r="B439" t="inlineStr">
        <is>
          <t>avverkningsanmälan</t>
        </is>
      </c>
      <c r="C439" t="inlineStr">
        <is>
          <t>Föryngringsavverkning</t>
        </is>
      </c>
      <c r="D439" s="1" t="n">
        <v>45782</v>
      </c>
      <c r="E439" s="1" t="n">
        <v>46218</v>
      </c>
      <c r="F439" t="inlineStr">
        <is>
          <t>DALARNAS LÄN</t>
        </is>
      </c>
      <c r="G439" t="inlineStr">
        <is>
          <t>RÄTTVIK</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13772-2025</t>
        </is>
      </c>
      <c r="B440" t="inlineStr">
        <is>
          <t>avverkningsanmälan</t>
        </is>
      </c>
      <c r="C440" t="inlineStr">
        <is>
          <t>Föryngringsavverkning</t>
        </is>
      </c>
      <c r="D440" s="1" t="n">
        <v>45737</v>
      </c>
      <c r="E440" s="1" t="n">
        <v>46218</v>
      </c>
      <c r="F440" t="inlineStr">
        <is>
          <t>DALARNAS LÄN</t>
        </is>
      </c>
      <c r="G440" t="inlineStr">
        <is>
          <t>RÄTTVIK</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64094-2023</t>
        </is>
      </c>
      <c r="B441" t="inlineStr">
        <is>
          <t>avverkningsanmälan</t>
        </is>
      </c>
      <c r="C441" t="inlineStr">
        <is>
          <t>Föryngringsavverkning</t>
        </is>
      </c>
      <c r="D441" s="1" t="n">
        <v>45279</v>
      </c>
      <c r="E441" s="1" t="n">
        <v>46218</v>
      </c>
      <c r="F441" t="inlineStr">
        <is>
          <t>DALARNAS LÄN</t>
        </is>
      </c>
      <c r="G441" t="inlineStr">
        <is>
          <t>RÄTTVIK</t>
        </is>
      </c>
      <c r="I441" t="n">
        <v>4.1</v>
      </c>
      <c r="J441" t="n">
        <v>0</v>
      </c>
      <c r="K441" t="n">
        <v>0</v>
      </c>
      <c r="L441" t="n">
        <v>0</v>
      </c>
      <c r="M441" t="n">
        <v>0</v>
      </c>
      <c r="N441" t="n">
        <v>0</v>
      </c>
      <c r="O441" t="n">
        <v>0</v>
      </c>
      <c r="P441" t="n">
        <v>0</v>
      </c>
      <c r="Q441" t="n">
        <v>0</v>
      </c>
      <c r="R441" t="n">
        <v>0</v>
      </c>
      <c r="S441" t="n">
        <v>0</v>
      </c>
      <c r="T441" t="n">
        <v>0</v>
      </c>
      <c r="U441" s="2" t="inlineStr"/>
    </row>
    <row r="442" ht="15" customHeight="1">
      <c r="A442" t="inlineStr">
        <is>
          <t>A 31390-2024</t>
        </is>
      </c>
      <c r="B442" t="inlineStr">
        <is>
          <t>avverkningsanmälan</t>
        </is>
      </c>
      <c r="C442" t="inlineStr">
        <is>
          <t>Föryngringsavverkning</t>
        </is>
      </c>
      <c r="D442" s="1" t="n">
        <v>45505</v>
      </c>
      <c r="E442" s="1" t="n">
        <v>46218</v>
      </c>
      <c r="F442" t="inlineStr">
        <is>
          <t>DALARNAS LÄN</t>
        </is>
      </c>
      <c r="G442" t="inlineStr">
        <is>
          <t>RÄTTVIK</t>
        </is>
      </c>
      <c r="I442" t="n">
        <v>5.8</v>
      </c>
      <c r="J442" t="n">
        <v>0</v>
      </c>
      <c r="K442" t="n">
        <v>0</v>
      </c>
      <c r="L442" t="n">
        <v>0</v>
      </c>
      <c r="M442" t="n">
        <v>0</v>
      </c>
      <c r="N442" t="n">
        <v>0</v>
      </c>
      <c r="O442" t="n">
        <v>0</v>
      </c>
      <c r="P442" t="n">
        <v>0</v>
      </c>
      <c r="Q442" t="n">
        <v>0</v>
      </c>
      <c r="R442" t="n">
        <v>0</v>
      </c>
      <c r="S442" t="n">
        <v>0</v>
      </c>
      <c r="T442" t="n">
        <v>0</v>
      </c>
      <c r="U442" s="2" t="inlineStr"/>
    </row>
    <row r="443" ht="15" customHeight="1">
      <c r="A443" t="inlineStr">
        <is>
          <t>A 26427-2022</t>
        </is>
      </c>
      <c r="B443" t="inlineStr">
        <is>
          <t>avverkningsanmälan</t>
        </is>
      </c>
      <c r="C443" t="inlineStr">
        <is>
          <t>Avverkning för annat ändamål</t>
        </is>
      </c>
      <c r="D443" s="1" t="n">
        <v>44736</v>
      </c>
      <c r="E443" s="1" t="n">
        <v>46218</v>
      </c>
      <c r="F443" t="inlineStr">
        <is>
          <t>DALARNAS LÄN</t>
        </is>
      </c>
      <c r="G443" t="inlineStr">
        <is>
          <t>RÄTTVIK</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14633-2024</t>
        </is>
      </c>
      <c r="B444" t="inlineStr">
        <is>
          <t>avverkningsanmälan</t>
        </is>
      </c>
      <c r="C444" t="inlineStr">
        <is>
          <t>Föryngringsavverkning</t>
        </is>
      </c>
      <c r="D444" s="1" t="n">
        <v>45397</v>
      </c>
      <c r="E444" s="1" t="n">
        <v>46218</v>
      </c>
      <c r="F444" t="inlineStr">
        <is>
          <t>DALARNAS LÄN</t>
        </is>
      </c>
      <c r="G444" t="inlineStr">
        <is>
          <t>RÄTTVIK</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21363-2025</t>
        </is>
      </c>
      <c r="B445" t="inlineStr">
        <is>
          <t>avverkningsanmälan</t>
        </is>
      </c>
      <c r="C445" t="inlineStr">
        <is>
          <t>Föryngringsavverkning</t>
        </is>
      </c>
      <c r="D445" s="1" t="n">
        <v>45782</v>
      </c>
      <c r="E445" s="1" t="n">
        <v>46218</v>
      </c>
      <c r="F445" t="inlineStr">
        <is>
          <t>DALARNAS LÄN</t>
        </is>
      </c>
      <c r="G445" t="inlineStr">
        <is>
          <t>RÄTTVIK</t>
        </is>
      </c>
      <c r="I445" t="n">
        <v>3.8</v>
      </c>
      <c r="J445" t="n">
        <v>0</v>
      </c>
      <c r="K445" t="n">
        <v>0</v>
      </c>
      <c r="L445" t="n">
        <v>0</v>
      </c>
      <c r="M445" t="n">
        <v>0</v>
      </c>
      <c r="N445" t="n">
        <v>0</v>
      </c>
      <c r="O445" t="n">
        <v>0</v>
      </c>
      <c r="P445" t="n">
        <v>0</v>
      </c>
      <c r="Q445" t="n">
        <v>0</v>
      </c>
      <c r="R445" t="n">
        <v>0</v>
      </c>
      <c r="S445" t="n">
        <v>0</v>
      </c>
      <c r="T445" t="n">
        <v>0</v>
      </c>
      <c r="U445" s="2" t="inlineStr"/>
    </row>
    <row r="446" ht="15" customHeight="1">
      <c r="A446" t="inlineStr">
        <is>
          <t>A 53304-2023</t>
        </is>
      </c>
      <c r="B446" t="inlineStr">
        <is>
          <t>avverkningsanmälan</t>
        </is>
      </c>
      <c r="C446" t="inlineStr">
        <is>
          <t>Föryngringsavverkning</t>
        </is>
      </c>
      <c r="D446" s="1" t="n">
        <v>45229</v>
      </c>
      <c r="E446" s="1" t="n">
        <v>46218</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61338-2023</t>
        </is>
      </c>
      <c r="B447" t="inlineStr">
        <is>
          <t>avverkningsanmälan</t>
        </is>
      </c>
      <c r="C447" t="inlineStr">
        <is>
          <t>Föryngringsavverkning</t>
        </is>
      </c>
      <c r="D447" s="1" t="n">
        <v>45264</v>
      </c>
      <c r="E447" s="1" t="n">
        <v>46218</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52296-2025</t>
        </is>
      </c>
      <c r="B448" t="inlineStr">
        <is>
          <t>avverkningsanmälan</t>
        </is>
      </c>
      <c r="C448" t="inlineStr">
        <is>
          <t>Föryngringsavverkning</t>
        </is>
      </c>
      <c r="D448" s="1" t="n">
        <v>45953</v>
      </c>
      <c r="E448" s="1" t="n">
        <v>46218</v>
      </c>
      <c r="F448" t="inlineStr">
        <is>
          <t>DALARNAS LÄN</t>
        </is>
      </c>
      <c r="G448" t="inlineStr">
        <is>
          <t>RÄTTVIK</t>
        </is>
      </c>
      <c r="H448" t="inlineStr">
        <is>
          <t>Bergvik skog väst AB</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42089-2024</t>
        </is>
      </c>
      <c r="B449" t="inlineStr">
        <is>
          <t>avverkningsanmälan</t>
        </is>
      </c>
      <c r="C449" t="inlineStr">
        <is>
          <t>Föryngringsavverkning</t>
        </is>
      </c>
      <c r="D449" s="1" t="n">
        <v>45562</v>
      </c>
      <c r="E449" s="1" t="n">
        <v>46218</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38692-2024</t>
        </is>
      </c>
      <c r="B450" t="inlineStr">
        <is>
          <t>avverkningsanmälan</t>
        </is>
      </c>
      <c r="C450" t="inlineStr">
        <is>
          <t>Föryngringsavverkning</t>
        </is>
      </c>
      <c r="D450" s="1" t="n">
        <v>45547</v>
      </c>
      <c r="E450" s="1" t="n">
        <v>46218</v>
      </c>
      <c r="F450" t="inlineStr">
        <is>
          <t>DALARNAS LÄN</t>
        </is>
      </c>
      <c r="G450" t="inlineStr">
        <is>
          <t>RÄTTVIK</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35702-2022</t>
        </is>
      </c>
      <c r="B451" t="inlineStr">
        <is>
          <t>avverkningsanmälan</t>
        </is>
      </c>
      <c r="C451" t="inlineStr">
        <is>
          <t>Föryngringsavverkning</t>
        </is>
      </c>
      <c r="D451" s="1" t="n">
        <v>44799</v>
      </c>
      <c r="E451" s="1" t="n">
        <v>46218</v>
      </c>
      <c r="F451" t="inlineStr">
        <is>
          <t>DALARNAS LÄN</t>
        </is>
      </c>
      <c r="G451" t="inlineStr">
        <is>
          <t>RÄTTVIK</t>
        </is>
      </c>
      <c r="H451" t="inlineStr">
        <is>
          <t>Sveaskog</t>
        </is>
      </c>
      <c r="I451" t="n">
        <v>1.8</v>
      </c>
      <c r="J451" t="n">
        <v>0</v>
      </c>
      <c r="K451" t="n">
        <v>0</v>
      </c>
      <c r="L451" t="n">
        <v>0</v>
      </c>
      <c r="M451" t="n">
        <v>0</v>
      </c>
      <c r="N451" t="n">
        <v>0</v>
      </c>
      <c r="O451" t="n">
        <v>0</v>
      </c>
      <c r="P451" t="n">
        <v>0</v>
      </c>
      <c r="Q451" t="n">
        <v>0</v>
      </c>
      <c r="R451" t="n">
        <v>0</v>
      </c>
      <c r="S451" t="n">
        <v>0</v>
      </c>
      <c r="T451" t="n">
        <v>0</v>
      </c>
      <c r="U451" s="2" t="inlineStr"/>
    </row>
    <row r="452" ht="15" customHeight="1">
      <c r="A452" t="inlineStr">
        <is>
          <t>A 54821-2024</t>
        </is>
      </c>
      <c r="B452" t="inlineStr">
        <is>
          <t>avverkningsanmälan</t>
        </is>
      </c>
      <c r="C452" t="inlineStr">
        <is>
          <t>Föryngringsavverkning</t>
        </is>
      </c>
      <c r="D452" s="1" t="n">
        <v>45618</v>
      </c>
      <c r="E452" s="1" t="n">
        <v>46218</v>
      </c>
      <c r="F452" t="inlineStr">
        <is>
          <t>DALARNAS LÄN</t>
        </is>
      </c>
      <c r="G452" t="inlineStr">
        <is>
          <t>RÄTTVIK</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52424-2025</t>
        </is>
      </c>
      <c r="B453" t="inlineStr">
        <is>
          <t>avverkningsanmälan</t>
        </is>
      </c>
      <c r="C453" t="inlineStr">
        <is>
          <t>Föryngringsavverkning</t>
        </is>
      </c>
      <c r="D453" s="1" t="n">
        <v>45954</v>
      </c>
      <c r="E453" s="1" t="n">
        <v>46218</v>
      </c>
      <c r="F453" t="inlineStr">
        <is>
          <t>DALARNAS LÄN</t>
        </is>
      </c>
      <c r="G453" t="inlineStr">
        <is>
          <t>RÄTTVIK</t>
        </is>
      </c>
      <c r="I453" t="n">
        <v>5.1</v>
      </c>
      <c r="J453" t="n">
        <v>0</v>
      </c>
      <c r="K453" t="n">
        <v>0</v>
      </c>
      <c r="L453" t="n">
        <v>0</v>
      </c>
      <c r="M453" t="n">
        <v>0</v>
      </c>
      <c r="N453" t="n">
        <v>0</v>
      </c>
      <c r="O453" t="n">
        <v>0</v>
      </c>
      <c r="P453" t="n">
        <v>0</v>
      </c>
      <c r="Q453" t="n">
        <v>0</v>
      </c>
      <c r="R453" t="n">
        <v>0</v>
      </c>
      <c r="S453" t="n">
        <v>0</v>
      </c>
      <c r="T453" t="n">
        <v>0</v>
      </c>
      <c r="U453" s="2" t="inlineStr"/>
    </row>
    <row r="454" ht="15" customHeight="1">
      <c r="A454" t="inlineStr">
        <is>
          <t>A 6169-2024</t>
        </is>
      </c>
      <c r="B454" t="inlineStr">
        <is>
          <t>avverkningsanmälan</t>
        </is>
      </c>
      <c r="C454" t="inlineStr">
        <is>
          <t>Föryngringsavverkning</t>
        </is>
      </c>
      <c r="D454" s="1" t="n">
        <v>45337</v>
      </c>
      <c r="E454" s="1" t="n">
        <v>46218</v>
      </c>
      <c r="F454" t="inlineStr">
        <is>
          <t>DALARNAS LÄN</t>
        </is>
      </c>
      <c r="G454" t="inlineStr">
        <is>
          <t>RÄTTVIK</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50892-2024</t>
        </is>
      </c>
      <c r="B455" t="inlineStr">
        <is>
          <t>avverkningsanmälan</t>
        </is>
      </c>
      <c r="C455" t="inlineStr">
        <is>
          <t>Föryngringsavverkning</t>
        </is>
      </c>
      <c r="D455" s="1" t="n">
        <v>45602</v>
      </c>
      <c r="E455" s="1" t="n">
        <v>46218</v>
      </c>
      <c r="F455" t="inlineStr">
        <is>
          <t>DALARNAS LÄN</t>
        </is>
      </c>
      <c r="G455" t="inlineStr">
        <is>
          <t>RÄTTVIK</t>
        </is>
      </c>
      <c r="I455" t="n">
        <v>7.4</v>
      </c>
      <c r="J455" t="n">
        <v>0</v>
      </c>
      <c r="K455" t="n">
        <v>0</v>
      </c>
      <c r="L455" t="n">
        <v>0</v>
      </c>
      <c r="M455" t="n">
        <v>0</v>
      </c>
      <c r="N455" t="n">
        <v>0</v>
      </c>
      <c r="O455" t="n">
        <v>0</v>
      </c>
      <c r="P455" t="n">
        <v>0</v>
      </c>
      <c r="Q455" t="n">
        <v>0</v>
      </c>
      <c r="R455" t="n">
        <v>0</v>
      </c>
      <c r="S455" t="n">
        <v>0</v>
      </c>
      <c r="T455" t="n">
        <v>0</v>
      </c>
      <c r="U455" s="2" t="inlineStr"/>
    </row>
    <row r="456" ht="15" customHeight="1">
      <c r="A456" t="inlineStr">
        <is>
          <t>A 22027-2025</t>
        </is>
      </c>
      <c r="B456" t="inlineStr">
        <is>
          <t>avverkningsanmälan</t>
        </is>
      </c>
      <c r="C456" t="inlineStr">
        <is>
          <t>Föryngringsavverkning</t>
        </is>
      </c>
      <c r="D456" s="1" t="n">
        <v>45784</v>
      </c>
      <c r="E456" s="1" t="n">
        <v>46218</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8127-2024</t>
        </is>
      </c>
      <c r="B457" t="inlineStr">
        <is>
          <t>avverkningsanmälan</t>
        </is>
      </c>
      <c r="C457" t="inlineStr">
        <is>
          <t>Föryngringsavverkning</t>
        </is>
      </c>
      <c r="D457" s="1" t="n">
        <v>45351</v>
      </c>
      <c r="E457" s="1" t="n">
        <v>46218</v>
      </c>
      <c r="F457" t="inlineStr">
        <is>
          <t>DALARNAS LÄN</t>
        </is>
      </c>
      <c r="G457" t="inlineStr">
        <is>
          <t>RÄTTVIK</t>
        </is>
      </c>
      <c r="I457" t="n">
        <v>5.7</v>
      </c>
      <c r="J457" t="n">
        <v>0</v>
      </c>
      <c r="K457" t="n">
        <v>0</v>
      </c>
      <c r="L457" t="n">
        <v>0</v>
      </c>
      <c r="M457" t="n">
        <v>0</v>
      </c>
      <c r="N457" t="n">
        <v>0</v>
      </c>
      <c r="O457" t="n">
        <v>0</v>
      </c>
      <c r="P457" t="n">
        <v>0</v>
      </c>
      <c r="Q457" t="n">
        <v>0</v>
      </c>
      <c r="R457" t="n">
        <v>0</v>
      </c>
      <c r="S457" t="n">
        <v>0</v>
      </c>
      <c r="T457" t="n">
        <v>0</v>
      </c>
      <c r="U457" s="2" t="inlineStr"/>
    </row>
    <row r="458" ht="15" customHeight="1">
      <c r="A458" t="inlineStr">
        <is>
          <t>A 38266-2024</t>
        </is>
      </c>
      <c r="B458" t="inlineStr">
        <is>
          <t>avverkningsanmälan</t>
        </is>
      </c>
      <c r="C458" t="inlineStr">
        <is>
          <t>Föryngringsavverkning</t>
        </is>
      </c>
      <c r="D458" s="1" t="n">
        <v>45545</v>
      </c>
      <c r="E458" s="1" t="n">
        <v>46218</v>
      </c>
      <c r="F458" t="inlineStr">
        <is>
          <t>DALARNAS LÄN</t>
        </is>
      </c>
      <c r="G458" t="inlineStr">
        <is>
          <t>RÄTTVIK</t>
        </is>
      </c>
      <c r="I458" t="n">
        <v>3</v>
      </c>
      <c r="J458" t="n">
        <v>0</v>
      </c>
      <c r="K458" t="n">
        <v>0</v>
      </c>
      <c r="L458" t="n">
        <v>0</v>
      </c>
      <c r="M458" t="n">
        <v>0</v>
      </c>
      <c r="N458" t="n">
        <v>0</v>
      </c>
      <c r="O458" t="n">
        <v>0</v>
      </c>
      <c r="P458" t="n">
        <v>0</v>
      </c>
      <c r="Q458" t="n">
        <v>0</v>
      </c>
      <c r="R458" t="n">
        <v>0</v>
      </c>
      <c r="S458" t="n">
        <v>0</v>
      </c>
      <c r="T458" t="n">
        <v>0</v>
      </c>
      <c r="U458" s="2" t="inlineStr"/>
    </row>
    <row r="459" ht="15" customHeight="1">
      <c r="A459" t="inlineStr">
        <is>
          <t>A 16833-2023</t>
        </is>
      </c>
      <c r="B459" t="inlineStr">
        <is>
          <t>avverkningsanmälan</t>
        </is>
      </c>
      <c r="C459" t="inlineStr">
        <is>
          <t>Föryngringsavverkning</t>
        </is>
      </c>
      <c r="D459" s="1" t="n">
        <v>45033</v>
      </c>
      <c r="E459" s="1" t="n">
        <v>46218</v>
      </c>
      <c r="F459" t="inlineStr">
        <is>
          <t>DALARNAS LÄN</t>
        </is>
      </c>
      <c r="G459" t="inlineStr">
        <is>
          <t>RÄTTVIK</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3640-2024</t>
        </is>
      </c>
      <c r="B460" t="inlineStr">
        <is>
          <t>avverkningsanmälan</t>
        </is>
      </c>
      <c r="C460" t="inlineStr">
        <is>
          <t>Föryngringsavverkning</t>
        </is>
      </c>
      <c r="D460" s="1" t="n">
        <v>45321</v>
      </c>
      <c r="E460" s="1" t="n">
        <v>46218</v>
      </c>
      <c r="F460" t="inlineStr">
        <is>
          <t>DALARNAS LÄN</t>
        </is>
      </c>
      <c r="G460" t="inlineStr">
        <is>
          <t>RÄTTVIK</t>
        </is>
      </c>
      <c r="I460" t="n">
        <v>0.2</v>
      </c>
      <c r="J460" t="n">
        <v>0</v>
      </c>
      <c r="K460" t="n">
        <v>0</v>
      </c>
      <c r="L460" t="n">
        <v>0</v>
      </c>
      <c r="M460" t="n">
        <v>0</v>
      </c>
      <c r="N460" t="n">
        <v>0</v>
      </c>
      <c r="O460" t="n">
        <v>0</v>
      </c>
      <c r="P460" t="n">
        <v>0</v>
      </c>
      <c r="Q460" t="n">
        <v>0</v>
      </c>
      <c r="R460" t="n">
        <v>0</v>
      </c>
      <c r="S460" t="n">
        <v>0</v>
      </c>
      <c r="T460" t="n">
        <v>0</v>
      </c>
      <c r="U460" s="2" t="inlineStr"/>
    </row>
    <row r="461" ht="15" customHeight="1">
      <c r="A461" t="inlineStr">
        <is>
          <t>A 53226-2025</t>
        </is>
      </c>
      <c r="B461" t="inlineStr">
        <is>
          <t>avverkningsanmälan</t>
        </is>
      </c>
      <c r="C461" t="inlineStr">
        <is>
          <t>Föryngringsavverkning</t>
        </is>
      </c>
      <c r="D461" s="1" t="n">
        <v>45957</v>
      </c>
      <c r="E461" s="1" t="n">
        <v>46218</v>
      </c>
      <c r="F461" t="inlineStr">
        <is>
          <t>DALARNAS LÄN</t>
        </is>
      </c>
      <c r="G461" t="inlineStr">
        <is>
          <t>RÄTTVIK</t>
        </is>
      </c>
      <c r="I461" t="n">
        <v>3.9</v>
      </c>
      <c r="J461" t="n">
        <v>0</v>
      </c>
      <c r="K461" t="n">
        <v>0</v>
      </c>
      <c r="L461" t="n">
        <v>0</v>
      </c>
      <c r="M461" t="n">
        <v>0</v>
      </c>
      <c r="N461" t="n">
        <v>0</v>
      </c>
      <c r="O461" t="n">
        <v>0</v>
      </c>
      <c r="P461" t="n">
        <v>0</v>
      </c>
      <c r="Q461" t="n">
        <v>0</v>
      </c>
      <c r="R461" t="n">
        <v>0</v>
      </c>
      <c r="S461" t="n">
        <v>0</v>
      </c>
      <c r="T461" t="n">
        <v>0</v>
      </c>
      <c r="U461" s="2" t="inlineStr"/>
    </row>
    <row r="462" ht="15" customHeight="1">
      <c r="A462" t="inlineStr">
        <is>
          <t>A 53231-2025</t>
        </is>
      </c>
      <c r="B462" t="inlineStr">
        <is>
          <t>avverkningsanmälan</t>
        </is>
      </c>
      <c r="C462" t="inlineStr">
        <is>
          <t>Föryngringsavverkning</t>
        </is>
      </c>
      <c r="D462" s="1" t="n">
        <v>45957</v>
      </c>
      <c r="E462" s="1" t="n">
        <v>46218</v>
      </c>
      <c r="F462" t="inlineStr">
        <is>
          <t>DALARNAS LÄN</t>
        </is>
      </c>
      <c r="G462" t="inlineStr">
        <is>
          <t>RÄTTVIK</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37055-2024</t>
        </is>
      </c>
      <c r="B463" t="inlineStr">
        <is>
          <t>avverkningsanmälan</t>
        </is>
      </c>
      <c r="C463" t="inlineStr">
        <is>
          <t>Föryngringsavverkning</t>
        </is>
      </c>
      <c r="D463" s="1" t="n">
        <v>45539</v>
      </c>
      <c r="E463" s="1" t="n">
        <v>46218</v>
      </c>
      <c r="F463" t="inlineStr">
        <is>
          <t>DALARNAS LÄN</t>
        </is>
      </c>
      <c r="G463" t="inlineStr">
        <is>
          <t>RÄTTVIK</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63239-2023</t>
        </is>
      </c>
      <c r="B464" t="inlineStr">
        <is>
          <t>avverkningsanmälan</t>
        </is>
      </c>
      <c r="C464" t="inlineStr">
        <is>
          <t>Föryngringsavverkning</t>
        </is>
      </c>
      <c r="D464" s="1" t="n">
        <v>45273</v>
      </c>
      <c r="E464" s="1" t="n">
        <v>46218</v>
      </c>
      <c r="F464" t="inlineStr">
        <is>
          <t>DALARNAS LÄN</t>
        </is>
      </c>
      <c r="G464" t="inlineStr">
        <is>
          <t>RÄTTVIK</t>
        </is>
      </c>
      <c r="I464" t="n">
        <v>1.9</v>
      </c>
      <c r="J464" t="n">
        <v>0</v>
      </c>
      <c r="K464" t="n">
        <v>0</v>
      </c>
      <c r="L464" t="n">
        <v>0</v>
      </c>
      <c r="M464" t="n">
        <v>0</v>
      </c>
      <c r="N464" t="n">
        <v>0</v>
      </c>
      <c r="O464" t="n">
        <v>0</v>
      </c>
      <c r="P464" t="n">
        <v>0</v>
      </c>
      <c r="Q464" t="n">
        <v>0</v>
      </c>
      <c r="R464" t="n">
        <v>0</v>
      </c>
      <c r="S464" t="n">
        <v>0</v>
      </c>
      <c r="T464" t="n">
        <v>0</v>
      </c>
      <c r="U464" s="2" t="inlineStr"/>
    </row>
    <row r="465" ht="15" customHeight="1">
      <c r="A465" t="inlineStr">
        <is>
          <t>A 13090-2023</t>
        </is>
      </c>
      <c r="B465" t="inlineStr">
        <is>
          <t>avverkningsanmälan</t>
        </is>
      </c>
      <c r="C465" t="inlineStr">
        <is>
          <t>Föryngringsavverkning</t>
        </is>
      </c>
      <c r="D465" s="1" t="n">
        <v>45002</v>
      </c>
      <c r="E465" s="1" t="n">
        <v>46218</v>
      </c>
      <c r="F465" t="inlineStr">
        <is>
          <t>DALARNAS LÄN</t>
        </is>
      </c>
      <c r="G465" t="inlineStr">
        <is>
          <t>RÄTTVIK</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3-2022</t>
        </is>
      </c>
      <c r="B466" t="inlineStr">
        <is>
          <t>avverkningsanmälan</t>
        </is>
      </c>
      <c r="C466" t="inlineStr">
        <is>
          <t>Föryngringsavverkning</t>
        </is>
      </c>
      <c r="D466" s="1" t="n">
        <v>44562</v>
      </c>
      <c r="E466" s="1" t="n">
        <v>46218</v>
      </c>
      <c r="F466" t="inlineStr">
        <is>
          <t>DALARNAS LÄN</t>
        </is>
      </c>
      <c r="G466" t="inlineStr">
        <is>
          <t>RÄTTVIK</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51925-2023</t>
        </is>
      </c>
      <c r="B467" t="inlineStr">
        <is>
          <t>avverkningsanmälan</t>
        </is>
      </c>
      <c r="C467" t="inlineStr">
        <is>
          <t>Föryngringsavverkning</t>
        </is>
      </c>
      <c r="D467" s="1" t="n">
        <v>45223</v>
      </c>
      <c r="E467" s="1" t="n">
        <v>46218</v>
      </c>
      <c r="F467" t="inlineStr">
        <is>
          <t>DALARNAS LÄN</t>
        </is>
      </c>
      <c r="G467" t="inlineStr">
        <is>
          <t>RÄTTVIK</t>
        </is>
      </c>
      <c r="H467" t="inlineStr">
        <is>
          <t>Bergvik skog väst AB</t>
        </is>
      </c>
      <c r="I467" t="n">
        <v>4</v>
      </c>
      <c r="J467" t="n">
        <v>0</v>
      </c>
      <c r="K467" t="n">
        <v>0</v>
      </c>
      <c r="L467" t="n">
        <v>0</v>
      </c>
      <c r="M467" t="n">
        <v>0</v>
      </c>
      <c r="N467" t="n">
        <v>0</v>
      </c>
      <c r="O467" t="n">
        <v>0</v>
      </c>
      <c r="P467" t="n">
        <v>0</v>
      </c>
      <c r="Q467" t="n">
        <v>0</v>
      </c>
      <c r="R467" t="n">
        <v>0</v>
      </c>
      <c r="S467" t="n">
        <v>0</v>
      </c>
      <c r="T467" t="n">
        <v>0</v>
      </c>
      <c r="U467" s="2" t="inlineStr"/>
    </row>
    <row r="468" ht="15" customHeight="1">
      <c r="A468" t="inlineStr">
        <is>
          <t>A 31388-2024</t>
        </is>
      </c>
      <c r="B468" t="inlineStr">
        <is>
          <t>avverkningsanmälan</t>
        </is>
      </c>
      <c r="C468" t="inlineStr">
        <is>
          <t>Föryngringsavverkning</t>
        </is>
      </c>
      <c r="D468" s="1" t="n">
        <v>45505</v>
      </c>
      <c r="E468" s="1" t="n">
        <v>46218</v>
      </c>
      <c r="F468" t="inlineStr">
        <is>
          <t>DALARNAS LÄN</t>
        </is>
      </c>
      <c r="G468" t="inlineStr">
        <is>
          <t>RÄTTVIK</t>
        </is>
      </c>
      <c r="I468" t="n">
        <v>6.9</v>
      </c>
      <c r="J468" t="n">
        <v>0</v>
      </c>
      <c r="K468" t="n">
        <v>0</v>
      </c>
      <c r="L468" t="n">
        <v>0</v>
      </c>
      <c r="M468" t="n">
        <v>0</v>
      </c>
      <c r="N468" t="n">
        <v>0</v>
      </c>
      <c r="O468" t="n">
        <v>0</v>
      </c>
      <c r="P468" t="n">
        <v>0</v>
      </c>
      <c r="Q468" t="n">
        <v>0</v>
      </c>
      <c r="R468" t="n">
        <v>0</v>
      </c>
      <c r="S468" t="n">
        <v>0</v>
      </c>
      <c r="T468" t="n">
        <v>0</v>
      </c>
      <c r="U468" s="2" t="inlineStr"/>
    </row>
    <row r="469" ht="15" customHeight="1">
      <c r="A469" t="inlineStr">
        <is>
          <t>A 42530-2023</t>
        </is>
      </c>
      <c r="B469" t="inlineStr">
        <is>
          <t>avverkningsanmälan</t>
        </is>
      </c>
      <c r="C469" t="inlineStr">
        <is>
          <t>Föryngringsavverkning</t>
        </is>
      </c>
      <c r="D469" s="1" t="n">
        <v>45176</v>
      </c>
      <c r="E469" s="1" t="n">
        <v>46218</v>
      </c>
      <c r="F469" t="inlineStr">
        <is>
          <t>DALARNAS LÄN</t>
        </is>
      </c>
      <c r="G469" t="inlineStr">
        <is>
          <t>RÄTTVIK</t>
        </is>
      </c>
      <c r="I469" t="n">
        <v>9</v>
      </c>
      <c r="J469" t="n">
        <v>0</v>
      </c>
      <c r="K469" t="n">
        <v>0</v>
      </c>
      <c r="L469" t="n">
        <v>0</v>
      </c>
      <c r="M469" t="n">
        <v>0</v>
      </c>
      <c r="N469" t="n">
        <v>0</v>
      </c>
      <c r="O469" t="n">
        <v>0</v>
      </c>
      <c r="P469" t="n">
        <v>0</v>
      </c>
      <c r="Q469" t="n">
        <v>0</v>
      </c>
      <c r="R469" t="n">
        <v>0</v>
      </c>
      <c r="S469" t="n">
        <v>0</v>
      </c>
      <c r="T469" t="n">
        <v>0</v>
      </c>
      <c r="U469" s="2" t="inlineStr"/>
    </row>
    <row r="470" ht="15" customHeight="1">
      <c r="A470" t="inlineStr">
        <is>
          <t>A 53229-2025</t>
        </is>
      </c>
      <c r="B470" t="inlineStr">
        <is>
          <t>avverkningsanmälan</t>
        </is>
      </c>
      <c r="C470" t="inlineStr">
        <is>
          <t>Föryngringsavverkning</t>
        </is>
      </c>
      <c r="D470" s="1" t="n">
        <v>45958</v>
      </c>
      <c r="E470" s="1" t="n">
        <v>46218</v>
      </c>
      <c r="F470" t="inlineStr">
        <is>
          <t>DALARNAS LÄN</t>
        </is>
      </c>
      <c r="G470" t="inlineStr">
        <is>
          <t>RÄTTVIK</t>
        </is>
      </c>
      <c r="H470" t="inlineStr">
        <is>
          <t>Bergvik skog väst AB</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53064-2025</t>
        </is>
      </c>
      <c r="B471" t="inlineStr">
        <is>
          <t>avverkningsanmälan</t>
        </is>
      </c>
      <c r="C471" t="inlineStr">
        <is>
          <t>Föryngringsavverkning</t>
        </is>
      </c>
      <c r="D471" s="1" t="n">
        <v>45958</v>
      </c>
      <c r="E471" s="1" t="n">
        <v>46218</v>
      </c>
      <c r="F471" t="inlineStr">
        <is>
          <t>DALARNAS LÄN</t>
        </is>
      </c>
      <c r="G471" t="inlineStr">
        <is>
          <t>RÄTTVIK</t>
        </is>
      </c>
      <c r="I471" t="n">
        <v>5.1</v>
      </c>
      <c r="J471" t="n">
        <v>0</v>
      </c>
      <c r="K471" t="n">
        <v>0</v>
      </c>
      <c r="L471" t="n">
        <v>0</v>
      </c>
      <c r="M471" t="n">
        <v>0</v>
      </c>
      <c r="N471" t="n">
        <v>0</v>
      </c>
      <c r="O471" t="n">
        <v>0</v>
      </c>
      <c r="P471" t="n">
        <v>0</v>
      </c>
      <c r="Q471" t="n">
        <v>0</v>
      </c>
      <c r="R471" t="n">
        <v>0</v>
      </c>
      <c r="S471" t="n">
        <v>0</v>
      </c>
      <c r="T471" t="n">
        <v>0</v>
      </c>
      <c r="U471" s="2" t="inlineStr"/>
    </row>
    <row r="472" ht="15" customHeight="1">
      <c r="A472" t="inlineStr">
        <is>
          <t>A 46387-2024</t>
        </is>
      </c>
      <c r="B472" t="inlineStr">
        <is>
          <t>avverkningsanmälan</t>
        </is>
      </c>
      <c r="C472" t="inlineStr">
        <is>
          <t>Föryngringsavverkning</t>
        </is>
      </c>
      <c r="D472" s="1" t="n">
        <v>45582</v>
      </c>
      <c r="E472" s="1" t="n">
        <v>46218</v>
      </c>
      <c r="F472" t="inlineStr">
        <is>
          <t>DALARNAS LÄN</t>
        </is>
      </c>
      <c r="G472" t="inlineStr">
        <is>
          <t>RÄTTVIK</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7128-2025</t>
        </is>
      </c>
      <c r="B473" t="inlineStr">
        <is>
          <t>avverkningsanmälan</t>
        </is>
      </c>
      <c r="C473" t="inlineStr">
        <is>
          <t>Avverkning för annat ändamål</t>
        </is>
      </c>
      <c r="D473" s="1" t="n">
        <v>45702</v>
      </c>
      <c r="E473" s="1" t="n">
        <v>46218</v>
      </c>
      <c r="F473" t="inlineStr">
        <is>
          <t>DALARNAS LÄN</t>
        </is>
      </c>
      <c r="G473" t="inlineStr">
        <is>
          <t>RÄTTVIK</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63540-2023</t>
        </is>
      </c>
      <c r="B474" t="inlineStr">
        <is>
          <t>avverkningsanmälan</t>
        </is>
      </c>
      <c r="C474" t="inlineStr">
        <is>
          <t>Föryngringsavverkning</t>
        </is>
      </c>
      <c r="D474" s="1" t="n">
        <v>45275</v>
      </c>
      <c r="E474" s="1" t="n">
        <v>46218</v>
      </c>
      <c r="F474" t="inlineStr">
        <is>
          <t>DALARNAS LÄN</t>
        </is>
      </c>
      <c r="G474" t="inlineStr">
        <is>
          <t>RÄTTVIK</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31386-2024</t>
        </is>
      </c>
      <c r="B475" t="inlineStr">
        <is>
          <t>avverkningsanmälan</t>
        </is>
      </c>
      <c r="C475" t="inlineStr">
        <is>
          <t>Föryngringsavverkning</t>
        </is>
      </c>
      <c r="D475" s="1" t="n">
        <v>45505</v>
      </c>
      <c r="E475" s="1" t="n">
        <v>46218</v>
      </c>
      <c r="F475" t="inlineStr">
        <is>
          <t>DALARNAS LÄN</t>
        </is>
      </c>
      <c r="G475" t="inlineStr">
        <is>
          <t>RÄTTVIK</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5953-2025</t>
        </is>
      </c>
      <c r="B476" t="inlineStr">
        <is>
          <t>avverkningsanmälan</t>
        </is>
      </c>
      <c r="C476" t="inlineStr">
        <is>
          <t>Föryngringsavverkning</t>
        </is>
      </c>
      <c r="D476" s="1" t="n">
        <v>45695</v>
      </c>
      <c r="E476" s="1" t="n">
        <v>46218</v>
      </c>
      <c r="F476" t="inlineStr">
        <is>
          <t>DALARNAS LÄN</t>
        </is>
      </c>
      <c r="G476" t="inlineStr">
        <is>
          <t>RÄTTVIK</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19129-2024</t>
        </is>
      </c>
      <c r="B477" t="inlineStr">
        <is>
          <t>avverkningsanmälan</t>
        </is>
      </c>
      <c r="C477" t="inlineStr">
        <is>
          <t>Föryngringsavverkning</t>
        </is>
      </c>
      <c r="D477" s="1" t="n">
        <v>45428</v>
      </c>
      <c r="E477" s="1" t="n">
        <v>46218</v>
      </c>
      <c r="F477" t="inlineStr">
        <is>
          <t>DALARNAS LÄN</t>
        </is>
      </c>
      <c r="G477" t="inlineStr">
        <is>
          <t>RÄTTVIK</t>
        </is>
      </c>
      <c r="I477" t="n">
        <v>4</v>
      </c>
      <c r="J477" t="n">
        <v>0</v>
      </c>
      <c r="K477" t="n">
        <v>0</v>
      </c>
      <c r="L477" t="n">
        <v>0</v>
      </c>
      <c r="M477" t="n">
        <v>0</v>
      </c>
      <c r="N477" t="n">
        <v>0</v>
      </c>
      <c r="O477" t="n">
        <v>0</v>
      </c>
      <c r="P477" t="n">
        <v>0</v>
      </c>
      <c r="Q477" t="n">
        <v>0</v>
      </c>
      <c r="R477" t="n">
        <v>0</v>
      </c>
      <c r="S477" t="n">
        <v>0</v>
      </c>
      <c r="T477" t="n">
        <v>0</v>
      </c>
      <c r="U477" s="2" t="inlineStr"/>
    </row>
    <row r="478" ht="15" customHeight="1">
      <c r="A478" t="inlineStr">
        <is>
          <t>A 38004-2024</t>
        </is>
      </c>
      <c r="B478" t="inlineStr">
        <is>
          <t>avverkningsanmälan</t>
        </is>
      </c>
      <c r="C478" t="inlineStr">
        <is>
          <t>Avverkning för annat ändamål</t>
        </is>
      </c>
      <c r="D478" s="1" t="n">
        <v>45544</v>
      </c>
      <c r="E478" s="1" t="n">
        <v>46218</v>
      </c>
      <c r="F478" t="inlineStr">
        <is>
          <t>DALARNAS LÄN</t>
        </is>
      </c>
      <c r="G478" t="inlineStr">
        <is>
          <t>RÄTTVIK</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32837-2024</t>
        </is>
      </c>
      <c r="B479" t="inlineStr">
        <is>
          <t>avverkningsanmälan</t>
        </is>
      </c>
      <c r="C479" t="inlineStr">
        <is>
          <t>Föryngringsavverkning</t>
        </is>
      </c>
      <c r="D479" s="1" t="n">
        <v>45516</v>
      </c>
      <c r="E479" s="1" t="n">
        <v>46218</v>
      </c>
      <c r="F479" t="inlineStr">
        <is>
          <t>DALARNAS LÄN</t>
        </is>
      </c>
      <c r="G479" t="inlineStr">
        <is>
          <t>RÄTTVIK</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38143-2023</t>
        </is>
      </c>
      <c r="B480" t="inlineStr">
        <is>
          <t>avverkningsanmälan</t>
        </is>
      </c>
      <c r="C480" t="inlineStr">
        <is>
          <t>Föryngringsavverkning</t>
        </is>
      </c>
      <c r="D480" s="1" t="n">
        <v>45161</v>
      </c>
      <c r="E480" s="1" t="n">
        <v>46218</v>
      </c>
      <c r="F480" t="inlineStr">
        <is>
          <t>DALARNAS LÄN</t>
        </is>
      </c>
      <c r="G480" t="inlineStr">
        <is>
          <t>RÄTTVIK</t>
        </is>
      </c>
      <c r="I480" t="n">
        <v>3.5</v>
      </c>
      <c r="J480" t="n">
        <v>0</v>
      </c>
      <c r="K480" t="n">
        <v>0</v>
      </c>
      <c r="L480" t="n">
        <v>0</v>
      </c>
      <c r="M480" t="n">
        <v>0</v>
      </c>
      <c r="N480" t="n">
        <v>0</v>
      </c>
      <c r="O480" t="n">
        <v>0</v>
      </c>
      <c r="P480" t="n">
        <v>0</v>
      </c>
      <c r="Q480" t="n">
        <v>0</v>
      </c>
      <c r="R480" t="n">
        <v>0</v>
      </c>
      <c r="S480" t="n">
        <v>0</v>
      </c>
      <c r="T480" t="n">
        <v>0</v>
      </c>
      <c r="U480" s="2" t="inlineStr"/>
    </row>
    <row r="481" ht="15" customHeight="1">
      <c r="A481" t="inlineStr">
        <is>
          <t>A 22788-2025</t>
        </is>
      </c>
      <c r="B481" t="inlineStr">
        <is>
          <t>avverkningsanmälan</t>
        </is>
      </c>
      <c r="C481" t="inlineStr">
        <is>
          <t>Föryngringsavverkning</t>
        </is>
      </c>
      <c r="D481" s="1" t="n">
        <v>45789</v>
      </c>
      <c r="E481" s="1" t="n">
        <v>46218</v>
      </c>
      <c r="F481" t="inlineStr">
        <is>
          <t>DALARNAS LÄN</t>
        </is>
      </c>
      <c r="G481" t="inlineStr">
        <is>
          <t>RÄTTVIK</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22762-2025</t>
        </is>
      </c>
      <c r="B482" t="inlineStr">
        <is>
          <t>avverkningsanmälan</t>
        </is>
      </c>
      <c r="C482" t="inlineStr">
        <is>
          <t>Föryngringsavverkning</t>
        </is>
      </c>
      <c r="D482" s="1" t="n">
        <v>45789</v>
      </c>
      <c r="E482" s="1" t="n">
        <v>46218</v>
      </c>
      <c r="F482" t="inlineStr">
        <is>
          <t>DALARNAS LÄN</t>
        </is>
      </c>
      <c r="G482" t="inlineStr">
        <is>
          <t>RÄTTVIK</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51041-2021</t>
        </is>
      </c>
      <c r="B483" t="inlineStr">
        <is>
          <t>avverkningsanmälan</t>
        </is>
      </c>
      <c r="C483" t="inlineStr">
        <is>
          <t>Föryngringsavverkning</t>
        </is>
      </c>
      <c r="D483" s="1" t="n">
        <v>44461</v>
      </c>
      <c r="E483" s="1" t="n">
        <v>46218</v>
      </c>
      <c r="F483" t="inlineStr">
        <is>
          <t>DALARNAS LÄN</t>
        </is>
      </c>
      <c r="G483" t="inlineStr">
        <is>
          <t>RÄTTVIK</t>
        </is>
      </c>
      <c r="I483" t="n">
        <v>3.7</v>
      </c>
      <c r="J483" t="n">
        <v>0</v>
      </c>
      <c r="K483" t="n">
        <v>0</v>
      </c>
      <c r="L483" t="n">
        <v>0</v>
      </c>
      <c r="M483" t="n">
        <v>0</v>
      </c>
      <c r="N483" t="n">
        <v>0</v>
      </c>
      <c r="O483" t="n">
        <v>0</v>
      </c>
      <c r="P483" t="n">
        <v>0</v>
      </c>
      <c r="Q483" t="n">
        <v>0</v>
      </c>
      <c r="R483" t="n">
        <v>0</v>
      </c>
      <c r="S483" t="n">
        <v>0</v>
      </c>
      <c r="T483" t="n">
        <v>0</v>
      </c>
      <c r="U483" s="2" t="inlineStr"/>
    </row>
    <row r="484" ht="15" customHeight="1">
      <c r="A484" t="inlineStr">
        <is>
          <t>A 17138-2024</t>
        </is>
      </c>
      <c r="B484" t="inlineStr">
        <is>
          <t>avverkningsanmälan</t>
        </is>
      </c>
      <c r="C484" t="inlineStr">
        <is>
          <t>Avverkning för annat ändamål</t>
        </is>
      </c>
      <c r="D484" s="1" t="n">
        <v>45412</v>
      </c>
      <c r="E484" s="1" t="n">
        <v>46218</v>
      </c>
      <c r="F484" t="inlineStr">
        <is>
          <t>DALARNAS LÄN</t>
        </is>
      </c>
      <c r="G484" t="inlineStr">
        <is>
          <t>RÄTTVIK</t>
        </is>
      </c>
      <c r="H484" t="inlineStr">
        <is>
          <t>Sveaskog</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37249-2022</t>
        </is>
      </c>
      <c r="B485" t="inlineStr">
        <is>
          <t>avverkningsanmälan</t>
        </is>
      </c>
      <c r="C485" t="inlineStr">
        <is>
          <t>Föryngringsavverkning</t>
        </is>
      </c>
      <c r="D485" s="1" t="n">
        <v>44807</v>
      </c>
      <c r="E485" s="1" t="n">
        <v>46218</v>
      </c>
      <c r="F485" t="inlineStr">
        <is>
          <t>DALARNAS LÄN</t>
        </is>
      </c>
      <c r="G485" t="inlineStr">
        <is>
          <t>RÄTTVIK</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39712-2024</t>
        </is>
      </c>
      <c r="B486" t="inlineStr">
        <is>
          <t>avverkningsanmälan</t>
        </is>
      </c>
      <c r="C486" t="inlineStr">
        <is>
          <t>Föryngringsavverkning</t>
        </is>
      </c>
      <c r="D486" s="1" t="n">
        <v>45552</v>
      </c>
      <c r="E486" s="1" t="n">
        <v>46218</v>
      </c>
      <c r="F486" t="inlineStr">
        <is>
          <t>DALARNAS LÄN</t>
        </is>
      </c>
      <c r="G486" t="inlineStr">
        <is>
          <t>RÄTTVIK</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40020-2021</t>
        </is>
      </c>
      <c r="B487" t="inlineStr">
        <is>
          <t>avverkningsanmälan</t>
        </is>
      </c>
      <c r="C487" t="inlineStr">
        <is>
          <t>Föryngringsavverkning</t>
        </is>
      </c>
      <c r="D487" s="1" t="n">
        <v>44418</v>
      </c>
      <c r="E487" s="1" t="n">
        <v>46218</v>
      </c>
      <c r="F487" t="inlineStr">
        <is>
          <t>DALARNAS LÄN</t>
        </is>
      </c>
      <c r="G487" t="inlineStr">
        <is>
          <t>RÄTTVIK</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23257-2025</t>
        </is>
      </c>
      <c r="B488" t="inlineStr">
        <is>
          <t>avverkningsanmälan</t>
        </is>
      </c>
      <c r="C488" t="inlineStr">
        <is>
          <t>Föryngringsavverkning</t>
        </is>
      </c>
      <c r="D488" s="1" t="n">
        <v>45791</v>
      </c>
      <c r="E488" s="1" t="n">
        <v>46218</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17379-2025</t>
        </is>
      </c>
      <c r="B489" t="inlineStr">
        <is>
          <t>avverkningsanmälan</t>
        </is>
      </c>
      <c r="C489" t="inlineStr">
        <is>
          <t>Föryngringsavverkning</t>
        </is>
      </c>
      <c r="D489" s="1" t="n">
        <v>45757</v>
      </c>
      <c r="E489" s="1" t="n">
        <v>46218</v>
      </c>
      <c r="F489" t="inlineStr">
        <is>
          <t>DALARNAS LÄN</t>
        </is>
      </c>
      <c r="G489" t="inlineStr">
        <is>
          <t>RÄTTVIK</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53667-2025</t>
        </is>
      </c>
      <c r="B490" t="inlineStr">
        <is>
          <t>avverkningsanmälan</t>
        </is>
      </c>
      <c r="C490" t="inlineStr">
        <is>
          <t>Föryngringsavverkning</t>
        </is>
      </c>
      <c r="D490" s="1" t="n">
        <v>45960</v>
      </c>
      <c r="E490" s="1" t="n">
        <v>46218</v>
      </c>
      <c r="F490" t="inlineStr">
        <is>
          <t>DALARNAS LÄN</t>
        </is>
      </c>
      <c r="G490" t="inlineStr">
        <is>
          <t>RÄTTVIK</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53711-2025</t>
        </is>
      </c>
      <c r="B491" t="inlineStr">
        <is>
          <t>avverkningsanmälan</t>
        </is>
      </c>
      <c r="C491" t="inlineStr">
        <is>
          <t>Föryngringsavverkning</t>
        </is>
      </c>
      <c r="D491" s="1" t="n">
        <v>45960</v>
      </c>
      <c r="E491" s="1" t="n">
        <v>46218</v>
      </c>
      <c r="F491" t="inlineStr">
        <is>
          <t>DALARNAS LÄN</t>
        </is>
      </c>
      <c r="G491" t="inlineStr">
        <is>
          <t>RÄTTVIK</t>
        </is>
      </c>
      <c r="I491" t="n">
        <v>2.4</v>
      </c>
      <c r="J491" t="n">
        <v>0</v>
      </c>
      <c r="K491" t="n">
        <v>0</v>
      </c>
      <c r="L491" t="n">
        <v>0</v>
      </c>
      <c r="M491" t="n">
        <v>0</v>
      </c>
      <c r="N491" t="n">
        <v>0</v>
      </c>
      <c r="O491" t="n">
        <v>0</v>
      </c>
      <c r="P491" t="n">
        <v>0</v>
      </c>
      <c r="Q491" t="n">
        <v>0</v>
      </c>
      <c r="R491" t="n">
        <v>0</v>
      </c>
      <c r="S491" t="n">
        <v>0</v>
      </c>
      <c r="T491" t="n">
        <v>0</v>
      </c>
      <c r="U491" s="2" t="inlineStr"/>
    </row>
    <row r="492" ht="15" customHeight="1">
      <c r="A492" t="inlineStr">
        <is>
          <t>A 25891-2023</t>
        </is>
      </c>
      <c r="B492" t="inlineStr">
        <is>
          <t>avverkningsanmälan</t>
        </is>
      </c>
      <c r="C492" t="inlineStr">
        <is>
          <t>Föryngringsavverkning</t>
        </is>
      </c>
      <c r="D492" s="1" t="n">
        <v>45085</v>
      </c>
      <c r="E492" s="1" t="n">
        <v>46218</v>
      </c>
      <c r="F492" t="inlineStr">
        <is>
          <t>DALARNAS LÄN</t>
        </is>
      </c>
      <c r="G492" t="inlineStr">
        <is>
          <t>RÄTTVIK</t>
        </is>
      </c>
      <c r="I492" t="n">
        <v>0.8</v>
      </c>
      <c r="J492" t="n">
        <v>0</v>
      </c>
      <c r="K492" t="n">
        <v>0</v>
      </c>
      <c r="L492" t="n">
        <v>0</v>
      </c>
      <c r="M492" t="n">
        <v>0</v>
      </c>
      <c r="N492" t="n">
        <v>0</v>
      </c>
      <c r="O492" t="n">
        <v>0</v>
      </c>
      <c r="P492" t="n">
        <v>0</v>
      </c>
      <c r="Q492" t="n">
        <v>0</v>
      </c>
      <c r="R492" t="n">
        <v>0</v>
      </c>
      <c r="S492" t="n">
        <v>0</v>
      </c>
      <c r="T492" t="n">
        <v>0</v>
      </c>
      <c r="U492" s="2" t="inlineStr"/>
    </row>
    <row r="493" ht="15" customHeight="1">
      <c r="A493" t="inlineStr">
        <is>
          <t>A 53673-2025</t>
        </is>
      </c>
      <c r="B493" t="inlineStr">
        <is>
          <t>avverkningsanmälan</t>
        </is>
      </c>
      <c r="C493" t="inlineStr">
        <is>
          <t>Föryngringsavverkning</t>
        </is>
      </c>
      <c r="D493" s="1" t="n">
        <v>45960</v>
      </c>
      <c r="E493" s="1" t="n">
        <v>46218</v>
      </c>
      <c r="F493" t="inlineStr">
        <is>
          <t>DALARNAS LÄN</t>
        </is>
      </c>
      <c r="G493" t="inlineStr">
        <is>
          <t>RÄTTVIK</t>
        </is>
      </c>
      <c r="H493" t="inlineStr">
        <is>
          <t>Bergvik skog väst AB</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53944-2025</t>
        </is>
      </c>
      <c r="B494" t="inlineStr">
        <is>
          <t>avverkningsanmälan</t>
        </is>
      </c>
      <c r="C494" t="inlineStr">
        <is>
          <t>Föryngringsavverkning</t>
        </is>
      </c>
      <c r="D494" s="1" t="n">
        <v>45961</v>
      </c>
      <c r="E494" s="1" t="n">
        <v>46218</v>
      </c>
      <c r="F494" t="inlineStr">
        <is>
          <t>DALARNAS LÄN</t>
        </is>
      </c>
      <c r="G494" t="inlineStr">
        <is>
          <t>RÄTTVIK</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22904-2025</t>
        </is>
      </c>
      <c r="B495" t="inlineStr">
        <is>
          <t>avverkningsanmälan</t>
        </is>
      </c>
      <c r="C495" t="inlineStr">
        <is>
          <t>Föryngringsavverkning</t>
        </is>
      </c>
      <c r="D495" s="1" t="n">
        <v>45790</v>
      </c>
      <c r="E495" s="1" t="n">
        <v>46218</v>
      </c>
      <c r="F495" t="inlineStr">
        <is>
          <t>DALARNAS LÄN</t>
        </is>
      </c>
      <c r="G495" t="inlineStr">
        <is>
          <t>RÄTTVIK</t>
        </is>
      </c>
      <c r="I495" t="n">
        <v>0.6</v>
      </c>
      <c r="J495" t="n">
        <v>0</v>
      </c>
      <c r="K495" t="n">
        <v>0</v>
      </c>
      <c r="L495" t="n">
        <v>0</v>
      </c>
      <c r="M495" t="n">
        <v>0</v>
      </c>
      <c r="N495" t="n">
        <v>0</v>
      </c>
      <c r="O495" t="n">
        <v>0</v>
      </c>
      <c r="P495" t="n">
        <v>0</v>
      </c>
      <c r="Q495" t="n">
        <v>0</v>
      </c>
      <c r="R495" t="n">
        <v>0</v>
      </c>
      <c r="S495" t="n">
        <v>0</v>
      </c>
      <c r="T495" t="n">
        <v>0</v>
      </c>
      <c r="U495" s="2" t="inlineStr"/>
    </row>
    <row r="496" ht="15" customHeight="1">
      <c r="A496" t="inlineStr">
        <is>
          <t>A 53987-2025</t>
        </is>
      </c>
      <c r="B496" t="inlineStr">
        <is>
          <t>avverkningsanmälan</t>
        </is>
      </c>
      <c r="C496" t="inlineStr">
        <is>
          <t>Avverkning för annat ändamål</t>
        </is>
      </c>
      <c r="D496" s="1" t="n">
        <v>45961</v>
      </c>
      <c r="E496" s="1" t="n">
        <v>46218</v>
      </c>
      <c r="F496" t="inlineStr">
        <is>
          <t>DALARNAS LÄN</t>
        </is>
      </c>
      <c r="G496" t="inlineStr">
        <is>
          <t>RÄTTVIK</t>
        </is>
      </c>
      <c r="H496" t="inlineStr">
        <is>
          <t>Sveaskog</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53602-2025</t>
        </is>
      </c>
      <c r="B497" t="inlineStr">
        <is>
          <t>avverkningsanmälan</t>
        </is>
      </c>
      <c r="C497" t="inlineStr">
        <is>
          <t>Föryngringsavverkning</t>
        </is>
      </c>
      <c r="D497" s="1" t="n">
        <v>45960</v>
      </c>
      <c r="E497" s="1" t="n">
        <v>46218</v>
      </c>
      <c r="F497" t="inlineStr">
        <is>
          <t>DALARNAS LÄN</t>
        </is>
      </c>
      <c r="G497" t="inlineStr">
        <is>
          <t>RÄTTVIK</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44248-2023</t>
        </is>
      </c>
      <c r="B498" t="inlineStr">
        <is>
          <t>avverkningsanmälan</t>
        </is>
      </c>
      <c r="C498" t="inlineStr">
        <is>
          <t>Föryngringsavverkning</t>
        </is>
      </c>
      <c r="D498" s="1" t="n">
        <v>45188</v>
      </c>
      <c r="E498" s="1" t="n">
        <v>46218</v>
      </c>
      <c r="F498" t="inlineStr">
        <is>
          <t>DALARNAS LÄN</t>
        </is>
      </c>
      <c r="G498" t="inlineStr">
        <is>
          <t>RÄTTVIK</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53698-2025</t>
        </is>
      </c>
      <c r="B499" t="inlineStr">
        <is>
          <t>avverkningsanmälan</t>
        </is>
      </c>
      <c r="C499" t="inlineStr">
        <is>
          <t>Föryngringsavverkning</t>
        </is>
      </c>
      <c r="D499" s="1" t="n">
        <v>45960</v>
      </c>
      <c r="E499" s="1" t="n">
        <v>46218</v>
      </c>
      <c r="F499" t="inlineStr">
        <is>
          <t>DALARNAS LÄN</t>
        </is>
      </c>
      <c r="G499" t="inlineStr">
        <is>
          <t>RÄTTVIK</t>
        </is>
      </c>
      <c r="I499" t="n">
        <v>0.4</v>
      </c>
      <c r="J499" t="n">
        <v>0</v>
      </c>
      <c r="K499" t="n">
        <v>0</v>
      </c>
      <c r="L499" t="n">
        <v>0</v>
      </c>
      <c r="M499" t="n">
        <v>0</v>
      </c>
      <c r="N499" t="n">
        <v>0</v>
      </c>
      <c r="O499" t="n">
        <v>0</v>
      </c>
      <c r="P499" t="n">
        <v>0</v>
      </c>
      <c r="Q499" t="n">
        <v>0</v>
      </c>
      <c r="R499" t="n">
        <v>0</v>
      </c>
      <c r="S499" t="n">
        <v>0</v>
      </c>
      <c r="T499" t="n">
        <v>0</v>
      </c>
      <c r="U499" s="2" t="inlineStr"/>
    </row>
    <row r="500" ht="15" customHeight="1">
      <c r="A500" t="inlineStr">
        <is>
          <t>A 33167-2024</t>
        </is>
      </c>
      <c r="B500" t="inlineStr">
        <is>
          <t>avverkningsanmälan</t>
        </is>
      </c>
      <c r="C500" t="inlineStr">
        <is>
          <t>Föryngringsavverkning</t>
        </is>
      </c>
      <c r="D500" s="1" t="n">
        <v>45518</v>
      </c>
      <c r="E500" s="1" t="n">
        <v>46218</v>
      </c>
      <c r="F500" t="inlineStr">
        <is>
          <t>DALARNAS LÄN</t>
        </is>
      </c>
      <c r="G500" t="inlineStr">
        <is>
          <t>RÄTTVIK</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54388-2025</t>
        </is>
      </c>
      <c r="B501" t="inlineStr">
        <is>
          <t>avverkningsanmälan</t>
        </is>
      </c>
      <c r="C501" t="inlineStr">
        <is>
          <t>Föryngringsavverkning</t>
        </is>
      </c>
      <c r="D501" s="1" t="n">
        <v>45965</v>
      </c>
      <c r="E501" s="1" t="n">
        <v>46218</v>
      </c>
      <c r="F501" t="inlineStr">
        <is>
          <t>DALARNAS LÄN</t>
        </is>
      </c>
      <c r="G501" t="inlineStr">
        <is>
          <t>RÄTTVIK</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14320-2025</t>
        </is>
      </c>
      <c r="B502" t="inlineStr">
        <is>
          <t>avverkningsanmälan</t>
        </is>
      </c>
      <c r="C502" t="inlineStr">
        <is>
          <t>Föryngringsavverkning</t>
        </is>
      </c>
      <c r="D502" s="1" t="n">
        <v>45740</v>
      </c>
      <c r="E502" s="1" t="n">
        <v>46218</v>
      </c>
      <c r="F502" t="inlineStr">
        <is>
          <t>DALARNAS LÄN</t>
        </is>
      </c>
      <c r="G502" t="inlineStr">
        <is>
          <t>RÄTTVIK</t>
        </is>
      </c>
      <c r="H502" t="inlineStr">
        <is>
          <t>Bergvik skog väst AB</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61357-2023</t>
        </is>
      </c>
      <c r="B503" t="inlineStr">
        <is>
          <t>avverkningsanmälan</t>
        </is>
      </c>
      <c r="C503" t="inlineStr">
        <is>
          <t>Föryngringsavverkning</t>
        </is>
      </c>
      <c r="D503" s="1" t="n">
        <v>45264</v>
      </c>
      <c r="E503" s="1" t="n">
        <v>46218</v>
      </c>
      <c r="F503" t="inlineStr">
        <is>
          <t>DALARNAS LÄN</t>
        </is>
      </c>
      <c r="G503" t="inlineStr">
        <is>
          <t>RÄTTVIK</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23814-2025</t>
        </is>
      </c>
      <c r="B504" t="inlineStr">
        <is>
          <t>avverkningsanmälan</t>
        </is>
      </c>
      <c r="C504" t="inlineStr">
        <is>
          <t>Föryngringsavverkning</t>
        </is>
      </c>
      <c r="D504" s="1" t="n">
        <v>45793</v>
      </c>
      <c r="E504" s="1" t="n">
        <v>46218</v>
      </c>
      <c r="F504" t="inlineStr">
        <is>
          <t>DALARNAS LÄN</t>
        </is>
      </c>
      <c r="G504" t="inlineStr">
        <is>
          <t>RÄTTVIK</t>
        </is>
      </c>
      <c r="H504" t="inlineStr">
        <is>
          <t>Sveaskog</t>
        </is>
      </c>
      <c r="I504" t="n">
        <v>7.5</v>
      </c>
      <c r="J504" t="n">
        <v>0</v>
      </c>
      <c r="K504" t="n">
        <v>0</v>
      </c>
      <c r="L504" t="n">
        <v>0</v>
      </c>
      <c r="M504" t="n">
        <v>0</v>
      </c>
      <c r="N504" t="n">
        <v>0</v>
      </c>
      <c r="O504" t="n">
        <v>0</v>
      </c>
      <c r="P504" t="n">
        <v>0</v>
      </c>
      <c r="Q504" t="n">
        <v>0</v>
      </c>
      <c r="R504" t="n">
        <v>0</v>
      </c>
      <c r="S504" t="n">
        <v>0</v>
      </c>
      <c r="T504" t="n">
        <v>0</v>
      </c>
      <c r="U504" s="2" t="inlineStr"/>
    </row>
    <row r="505" ht="15" customHeight="1">
      <c r="A505" t="inlineStr">
        <is>
          <t>A 23836-2025</t>
        </is>
      </c>
      <c r="B505" t="inlineStr">
        <is>
          <t>avverkningsanmälan</t>
        </is>
      </c>
      <c r="C505" t="inlineStr">
        <is>
          <t>Föryngringsavverkning</t>
        </is>
      </c>
      <c r="D505" s="1" t="n">
        <v>45793</v>
      </c>
      <c r="E505" s="1" t="n">
        <v>46218</v>
      </c>
      <c r="F505" t="inlineStr">
        <is>
          <t>DALARNAS LÄN</t>
        </is>
      </c>
      <c r="G505" t="inlineStr">
        <is>
          <t>RÄTTVIK</t>
        </is>
      </c>
      <c r="I505" t="n">
        <v>6.2</v>
      </c>
      <c r="J505" t="n">
        <v>0</v>
      </c>
      <c r="K505" t="n">
        <v>0</v>
      </c>
      <c r="L505" t="n">
        <v>0</v>
      </c>
      <c r="M505" t="n">
        <v>0</v>
      </c>
      <c r="N505" t="n">
        <v>0</v>
      </c>
      <c r="O505" t="n">
        <v>0</v>
      </c>
      <c r="P505" t="n">
        <v>0</v>
      </c>
      <c r="Q505" t="n">
        <v>0</v>
      </c>
      <c r="R505" t="n">
        <v>0</v>
      </c>
      <c r="S505" t="n">
        <v>0</v>
      </c>
      <c r="T505" t="n">
        <v>0</v>
      </c>
      <c r="U505" s="2" t="inlineStr"/>
    </row>
    <row r="506" ht="15" customHeight="1">
      <c r="A506" t="inlineStr">
        <is>
          <t>A 27522-2023</t>
        </is>
      </c>
      <c r="B506" t="inlineStr">
        <is>
          <t>avverkningsanmälan</t>
        </is>
      </c>
      <c r="C506" t="inlineStr">
        <is>
          <t>Föryngringsavverkning</t>
        </is>
      </c>
      <c r="D506" s="1" t="n">
        <v>45097</v>
      </c>
      <c r="E506" s="1" t="n">
        <v>46218</v>
      </c>
      <c r="F506" t="inlineStr">
        <is>
          <t>DALARNAS LÄN</t>
        </is>
      </c>
      <c r="G506" t="inlineStr">
        <is>
          <t>RÄTTVIK</t>
        </is>
      </c>
      <c r="H506" t="inlineStr">
        <is>
          <t>Bergvik skog väst AB</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27535-2023</t>
        </is>
      </c>
      <c r="B507" t="inlineStr">
        <is>
          <t>avverkningsanmälan</t>
        </is>
      </c>
      <c r="C507" t="inlineStr">
        <is>
          <t>Föryngringsavverkning</t>
        </is>
      </c>
      <c r="D507" s="1" t="n">
        <v>45097</v>
      </c>
      <c r="E507" s="1" t="n">
        <v>46218</v>
      </c>
      <c r="F507" t="inlineStr">
        <is>
          <t>DALARNAS LÄN</t>
        </is>
      </c>
      <c r="G507" t="inlineStr">
        <is>
          <t>RÄTTVIK</t>
        </is>
      </c>
      <c r="H507" t="inlineStr">
        <is>
          <t>Bergvik skog väst AB</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33276-2024</t>
        </is>
      </c>
      <c r="B508" t="inlineStr">
        <is>
          <t>avverkningsanmälan</t>
        </is>
      </c>
      <c r="C508" t="inlineStr">
        <is>
          <t>Föryngringsavverkning</t>
        </is>
      </c>
      <c r="D508" s="1" t="n">
        <v>45518</v>
      </c>
      <c r="E508" s="1" t="n">
        <v>46218</v>
      </c>
      <c r="F508" t="inlineStr">
        <is>
          <t>DALARNAS LÄN</t>
        </is>
      </c>
      <c r="G508" t="inlineStr">
        <is>
          <t>RÄTTVIK</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51209-2024</t>
        </is>
      </c>
      <c r="B509" t="inlineStr">
        <is>
          <t>avverkningsanmälan</t>
        </is>
      </c>
      <c r="C509" t="inlineStr">
        <is>
          <t>Föryngringsavverkning</t>
        </is>
      </c>
      <c r="D509" s="1" t="n">
        <v>45603</v>
      </c>
      <c r="E509" s="1" t="n">
        <v>46218</v>
      </c>
      <c r="F509" t="inlineStr">
        <is>
          <t>DALARNAS LÄN</t>
        </is>
      </c>
      <c r="G509" t="inlineStr">
        <is>
          <t>RÄTTVIK</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48939-2024</t>
        </is>
      </c>
      <c r="B510" t="inlineStr">
        <is>
          <t>avverkningsanmälan</t>
        </is>
      </c>
      <c r="C510" t="inlineStr">
        <is>
          <t>Föryngringsavverkning</t>
        </is>
      </c>
      <c r="D510" s="1" t="n">
        <v>45594</v>
      </c>
      <c r="E510" s="1" t="n">
        <v>46218</v>
      </c>
      <c r="F510" t="inlineStr">
        <is>
          <t>DALARNAS LÄN</t>
        </is>
      </c>
      <c r="G510" t="inlineStr">
        <is>
          <t>RÄTTVIK</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4197-2024</t>
        </is>
      </c>
      <c r="B511" t="inlineStr">
        <is>
          <t>avverkningsanmälan</t>
        </is>
      </c>
      <c r="C511" t="inlineStr">
        <is>
          <t>Avverkning för annat ändamål</t>
        </is>
      </c>
      <c r="D511" s="1" t="n">
        <v>45324</v>
      </c>
      <c r="E511" s="1" t="n">
        <v>46218</v>
      </c>
      <c r="F511" t="inlineStr">
        <is>
          <t>DALARNAS LÄN</t>
        </is>
      </c>
      <c r="G511" t="inlineStr">
        <is>
          <t>RÄTTVIK</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57208-2023</t>
        </is>
      </c>
      <c r="B512" t="inlineStr">
        <is>
          <t>avverkningsanmälan</t>
        </is>
      </c>
      <c r="C512" t="inlineStr">
        <is>
          <t>Föryngringsavverkning</t>
        </is>
      </c>
      <c r="D512" s="1" t="n">
        <v>45245</v>
      </c>
      <c r="E512" s="1" t="n">
        <v>46218</v>
      </c>
      <c r="F512" t="inlineStr">
        <is>
          <t>DALARNAS LÄN</t>
        </is>
      </c>
      <c r="G512" t="inlineStr">
        <is>
          <t>RÄTTVIK</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54386-2025</t>
        </is>
      </c>
      <c r="B513" t="inlineStr">
        <is>
          <t>avverkningsanmälan</t>
        </is>
      </c>
      <c r="C513" t="inlineStr">
        <is>
          <t>Föryngringsavverkning</t>
        </is>
      </c>
      <c r="D513" s="1" t="n">
        <v>45965</v>
      </c>
      <c r="E513" s="1" t="n">
        <v>46218</v>
      </c>
      <c r="F513" t="inlineStr">
        <is>
          <t>DALARNAS LÄN</t>
        </is>
      </c>
      <c r="G513" t="inlineStr">
        <is>
          <t>RÄTTVIK</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40344-2023</t>
        </is>
      </c>
      <c r="B514" t="inlineStr">
        <is>
          <t>avverkningsanmälan</t>
        </is>
      </c>
      <c r="C514" t="inlineStr">
        <is>
          <t>Föryngringsavverkning</t>
        </is>
      </c>
      <c r="D514" s="1" t="n">
        <v>45168</v>
      </c>
      <c r="E514" s="1" t="n">
        <v>46218</v>
      </c>
      <c r="F514" t="inlineStr">
        <is>
          <t>DALARNAS LÄN</t>
        </is>
      </c>
      <c r="G514" t="inlineStr">
        <is>
          <t>RÄTTVIK</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47802-2024</t>
        </is>
      </c>
      <c r="B515" t="inlineStr">
        <is>
          <t>avverkningsanmälan</t>
        </is>
      </c>
      <c r="C515" t="inlineStr">
        <is>
          <t>Föryngringsavverkning</t>
        </is>
      </c>
      <c r="D515" s="1" t="n">
        <v>45588</v>
      </c>
      <c r="E515" s="1" t="n">
        <v>46218</v>
      </c>
      <c r="F515" t="inlineStr">
        <is>
          <t>DALARNAS LÄN</t>
        </is>
      </c>
      <c r="G515" t="inlineStr">
        <is>
          <t>RÄTTVIK</t>
        </is>
      </c>
      <c r="H515" t="inlineStr">
        <is>
          <t>Bergvik skog väst AB</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24022-2025</t>
        </is>
      </c>
      <c r="B516" t="inlineStr">
        <is>
          <t>avverkningsanmälan</t>
        </is>
      </c>
      <c r="C516" t="inlineStr">
        <is>
          <t>Föryngringsavverkning</t>
        </is>
      </c>
      <c r="D516" s="1" t="n">
        <v>45796</v>
      </c>
      <c r="E516" s="1" t="n">
        <v>46218</v>
      </c>
      <c r="F516" t="inlineStr">
        <is>
          <t>DALARNAS LÄN</t>
        </is>
      </c>
      <c r="G516" t="inlineStr">
        <is>
          <t>RÄTTVIK</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35889-2024</t>
        </is>
      </c>
      <c r="B517" t="inlineStr">
        <is>
          <t>avverkningsanmälan</t>
        </is>
      </c>
      <c r="C517" t="inlineStr">
        <is>
          <t>Avverkning för annat ändamål</t>
        </is>
      </c>
      <c r="D517" s="1" t="n">
        <v>45533</v>
      </c>
      <c r="E517" s="1" t="n">
        <v>46218</v>
      </c>
      <c r="F517" t="inlineStr">
        <is>
          <t>DALARNAS LÄN</t>
        </is>
      </c>
      <c r="G517" t="inlineStr">
        <is>
          <t>RÄTTVIK</t>
        </is>
      </c>
      <c r="I517" t="n">
        <v>3.8</v>
      </c>
      <c r="J517" t="n">
        <v>0</v>
      </c>
      <c r="K517" t="n">
        <v>0</v>
      </c>
      <c r="L517" t="n">
        <v>0</v>
      </c>
      <c r="M517" t="n">
        <v>0</v>
      </c>
      <c r="N517" t="n">
        <v>0</v>
      </c>
      <c r="O517" t="n">
        <v>0</v>
      </c>
      <c r="P517" t="n">
        <v>0</v>
      </c>
      <c r="Q517" t="n">
        <v>0</v>
      </c>
      <c r="R517" t="n">
        <v>0</v>
      </c>
      <c r="S517" t="n">
        <v>0</v>
      </c>
      <c r="T517" t="n">
        <v>0</v>
      </c>
      <c r="U517" s="2" t="inlineStr"/>
    </row>
    <row r="518" ht="15" customHeight="1">
      <c r="A518" t="inlineStr">
        <is>
          <t>A 24024-2025</t>
        </is>
      </c>
      <c r="B518" t="inlineStr">
        <is>
          <t>avverkningsanmälan</t>
        </is>
      </c>
      <c r="C518" t="inlineStr">
        <is>
          <t>Föryngringsavverkning</t>
        </is>
      </c>
      <c r="D518" s="1" t="n">
        <v>45796</v>
      </c>
      <c r="E518" s="1" t="n">
        <v>46218</v>
      </c>
      <c r="F518" t="inlineStr">
        <is>
          <t>DALARNAS LÄN</t>
        </is>
      </c>
      <c r="G518" t="inlineStr">
        <is>
          <t>RÄTTVIK</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23982-2025</t>
        </is>
      </c>
      <c r="B519" t="inlineStr">
        <is>
          <t>avverkningsanmälan</t>
        </is>
      </c>
      <c r="C519" t="inlineStr">
        <is>
          <t>Föryngringsavverkning</t>
        </is>
      </c>
      <c r="D519" s="1" t="n">
        <v>45796</v>
      </c>
      <c r="E519" s="1" t="n">
        <v>46218</v>
      </c>
      <c r="F519" t="inlineStr">
        <is>
          <t>DALARNAS LÄN</t>
        </is>
      </c>
      <c r="G519" t="inlineStr">
        <is>
          <t>RÄTTVIK</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27388-2022</t>
        </is>
      </c>
      <c r="B520" t="inlineStr">
        <is>
          <t>avverkningsanmälan</t>
        </is>
      </c>
      <c r="C520" t="inlineStr">
        <is>
          <t>Föryngringsavverkning</t>
        </is>
      </c>
      <c r="D520" s="1" t="n">
        <v>44742</v>
      </c>
      <c r="E520" s="1" t="n">
        <v>46218</v>
      </c>
      <c r="F520" t="inlineStr">
        <is>
          <t>DALARNAS LÄN</t>
        </is>
      </c>
      <c r="G520" t="inlineStr">
        <is>
          <t>RÄTTVIK</t>
        </is>
      </c>
      <c r="I520" t="n">
        <v>6</v>
      </c>
      <c r="J520" t="n">
        <v>0</v>
      </c>
      <c r="K520" t="n">
        <v>0</v>
      </c>
      <c r="L520" t="n">
        <v>0</v>
      </c>
      <c r="M520" t="n">
        <v>0</v>
      </c>
      <c r="N520" t="n">
        <v>0</v>
      </c>
      <c r="O520" t="n">
        <v>0</v>
      </c>
      <c r="P520" t="n">
        <v>0</v>
      </c>
      <c r="Q520" t="n">
        <v>0</v>
      </c>
      <c r="R520" t="n">
        <v>0</v>
      </c>
      <c r="S520" t="n">
        <v>0</v>
      </c>
      <c r="T520" t="n">
        <v>0</v>
      </c>
      <c r="U520" s="2" t="inlineStr"/>
    </row>
    <row r="521" ht="15" customHeight="1">
      <c r="A521" t="inlineStr">
        <is>
          <t>A 55055-2025</t>
        </is>
      </c>
      <c r="B521" t="inlineStr">
        <is>
          <t>avverkningsanmälan</t>
        </is>
      </c>
      <c r="C521" t="inlineStr">
        <is>
          <t>Föryngringsavverkning</t>
        </is>
      </c>
      <c r="D521" s="1" t="n">
        <v>45967</v>
      </c>
      <c r="E521" s="1" t="n">
        <v>46218</v>
      </c>
      <c r="F521" t="inlineStr">
        <is>
          <t>DALARNAS LÄN</t>
        </is>
      </c>
      <c r="G521" t="inlineStr">
        <is>
          <t>RÄTTVIK</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58572-2024</t>
        </is>
      </c>
      <c r="B522" t="inlineStr">
        <is>
          <t>avverkningsanmälan</t>
        </is>
      </c>
      <c r="C522" t="inlineStr">
        <is>
          <t>Föryngringsavverkning</t>
        </is>
      </c>
      <c r="D522" s="1" t="n">
        <v>45632</v>
      </c>
      <c r="E522" s="1" t="n">
        <v>46218</v>
      </c>
      <c r="F522" t="inlineStr">
        <is>
          <t>DALARNAS LÄN</t>
        </is>
      </c>
      <c r="G522" t="inlineStr">
        <is>
          <t>RÄTTVIK</t>
        </is>
      </c>
      <c r="I522" t="n">
        <v>5.8</v>
      </c>
      <c r="J522" t="n">
        <v>0</v>
      </c>
      <c r="K522" t="n">
        <v>0</v>
      </c>
      <c r="L522" t="n">
        <v>0</v>
      </c>
      <c r="M522" t="n">
        <v>0</v>
      </c>
      <c r="N522" t="n">
        <v>0</v>
      </c>
      <c r="O522" t="n">
        <v>0</v>
      </c>
      <c r="P522" t="n">
        <v>0</v>
      </c>
      <c r="Q522" t="n">
        <v>0</v>
      </c>
      <c r="R522" t="n">
        <v>0</v>
      </c>
      <c r="S522" t="n">
        <v>0</v>
      </c>
      <c r="T522" t="n">
        <v>0</v>
      </c>
      <c r="U522" s="2" t="inlineStr"/>
    </row>
    <row r="523" ht="15" customHeight="1">
      <c r="A523" t="inlineStr">
        <is>
          <t>A 58485-2023</t>
        </is>
      </c>
      <c r="B523" t="inlineStr">
        <is>
          <t>avverkningsanmälan</t>
        </is>
      </c>
      <c r="C523" t="inlineStr">
        <is>
          <t>Föryngringsavverkning</t>
        </is>
      </c>
      <c r="D523" s="1" t="n">
        <v>45251</v>
      </c>
      <c r="E523" s="1" t="n">
        <v>46218</v>
      </c>
      <c r="F523" t="inlineStr">
        <is>
          <t>DALARNAS LÄN</t>
        </is>
      </c>
      <c r="G523" t="inlineStr">
        <is>
          <t>RÄTTVIK</t>
        </is>
      </c>
      <c r="I523" t="n">
        <v>4.8</v>
      </c>
      <c r="J523" t="n">
        <v>0</v>
      </c>
      <c r="K523" t="n">
        <v>0</v>
      </c>
      <c r="L523" t="n">
        <v>0</v>
      </c>
      <c r="M523" t="n">
        <v>0</v>
      </c>
      <c r="N523" t="n">
        <v>0</v>
      </c>
      <c r="O523" t="n">
        <v>0</v>
      </c>
      <c r="P523" t="n">
        <v>0</v>
      </c>
      <c r="Q523" t="n">
        <v>0</v>
      </c>
      <c r="R523" t="n">
        <v>0</v>
      </c>
      <c r="S523" t="n">
        <v>0</v>
      </c>
      <c r="T523" t="n">
        <v>0</v>
      </c>
      <c r="U523" s="2" t="inlineStr"/>
    </row>
    <row r="524" ht="15" customHeight="1">
      <c r="A524" t="inlineStr">
        <is>
          <t>A 23248-2023</t>
        </is>
      </c>
      <c r="B524" t="inlineStr">
        <is>
          <t>avverkningsanmälan</t>
        </is>
      </c>
      <c r="C524" t="inlineStr">
        <is>
          <t>Föryngringsavverkning</t>
        </is>
      </c>
      <c r="D524" s="1" t="n">
        <v>45071</v>
      </c>
      <c r="E524" s="1" t="n">
        <v>46218</v>
      </c>
      <c r="F524" t="inlineStr">
        <is>
          <t>DALARNAS LÄN</t>
        </is>
      </c>
      <c r="G524" t="inlineStr">
        <is>
          <t>RÄTTVIK</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54928-2025</t>
        </is>
      </c>
      <c r="B525" t="inlineStr">
        <is>
          <t>avverkningsanmälan</t>
        </is>
      </c>
      <c r="C525" t="inlineStr">
        <is>
          <t>Föryngringsavverkning</t>
        </is>
      </c>
      <c r="D525" s="1" t="n">
        <v>45967</v>
      </c>
      <c r="E525" s="1" t="n">
        <v>46218</v>
      </c>
      <c r="F525" t="inlineStr">
        <is>
          <t>DALARNAS LÄN</t>
        </is>
      </c>
      <c r="G525" t="inlineStr">
        <is>
          <t>RÄTTVIK</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24573-2025</t>
        </is>
      </c>
      <c r="B526" t="inlineStr">
        <is>
          <t>avverkningsanmälan</t>
        </is>
      </c>
      <c r="C526" t="inlineStr">
        <is>
          <t>Föryngringsavverkning</t>
        </is>
      </c>
      <c r="D526" s="1" t="n">
        <v>45798</v>
      </c>
      <c r="E526" s="1" t="n">
        <v>46218</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24811-2025</t>
        </is>
      </c>
      <c r="B527" t="inlineStr">
        <is>
          <t>avverkningsanmälan</t>
        </is>
      </c>
      <c r="C527" t="inlineStr">
        <is>
          <t>Föryngringsavverkning</t>
        </is>
      </c>
      <c r="D527" s="1" t="n">
        <v>45799</v>
      </c>
      <c r="E527" s="1" t="n">
        <v>46218</v>
      </c>
      <c r="F527" t="inlineStr">
        <is>
          <t>DALARNAS LÄN</t>
        </is>
      </c>
      <c r="G527" t="inlineStr">
        <is>
          <t>RÄTTVIK</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15661-2023</t>
        </is>
      </c>
      <c r="B528" t="inlineStr">
        <is>
          <t>avverkningsanmälan</t>
        </is>
      </c>
      <c r="C528" t="inlineStr">
        <is>
          <t>Föryngringsavverkning</t>
        </is>
      </c>
      <c r="D528" s="1" t="n">
        <v>45019</v>
      </c>
      <c r="E528" s="1" t="n">
        <v>46218</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15668-2023</t>
        </is>
      </c>
      <c r="B529" t="inlineStr">
        <is>
          <t>avverkningsanmälan</t>
        </is>
      </c>
      <c r="C529" t="inlineStr">
        <is>
          <t>Föryngringsavverkning</t>
        </is>
      </c>
      <c r="D529" s="1" t="n">
        <v>45019</v>
      </c>
      <c r="E529" s="1" t="n">
        <v>46218</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s="2" t="inlineStr"/>
    </row>
    <row r="530" ht="15" customHeight="1">
      <c r="A530" t="inlineStr">
        <is>
          <t>A 40409-2024</t>
        </is>
      </c>
      <c r="B530" t="inlineStr">
        <is>
          <t>avverkningsanmälan</t>
        </is>
      </c>
      <c r="C530" t="inlineStr">
        <is>
          <t>Föryngringsavverkning</t>
        </is>
      </c>
      <c r="D530" s="1" t="n">
        <v>45555</v>
      </c>
      <c r="E530" s="1" t="n">
        <v>46218</v>
      </c>
      <c r="F530" t="inlineStr">
        <is>
          <t>DALARNAS LÄN</t>
        </is>
      </c>
      <c r="G530" t="inlineStr">
        <is>
          <t>RÄTTVIK</t>
        </is>
      </c>
      <c r="I530" t="n">
        <v>2.1</v>
      </c>
      <c r="J530" t="n">
        <v>0</v>
      </c>
      <c r="K530" t="n">
        <v>0</v>
      </c>
      <c r="L530" t="n">
        <v>0</v>
      </c>
      <c r="M530" t="n">
        <v>0</v>
      </c>
      <c r="N530" t="n">
        <v>0</v>
      </c>
      <c r="O530" t="n">
        <v>0</v>
      </c>
      <c r="P530" t="n">
        <v>0</v>
      </c>
      <c r="Q530" t="n">
        <v>0</v>
      </c>
      <c r="R530" t="n">
        <v>0</v>
      </c>
      <c r="S530" t="n">
        <v>0</v>
      </c>
      <c r="T530" t="n">
        <v>0</v>
      </c>
      <c r="U530" s="2" t="inlineStr"/>
    </row>
    <row r="531" ht="15" customHeight="1">
      <c r="A531" t="inlineStr">
        <is>
          <t>A 1945-2023</t>
        </is>
      </c>
      <c r="B531" t="inlineStr">
        <is>
          <t>avverkningsanmälan</t>
        </is>
      </c>
      <c r="C531" t="inlineStr">
        <is>
          <t>Föryngringsavverkning</t>
        </is>
      </c>
      <c r="D531" s="1" t="n">
        <v>44939</v>
      </c>
      <c r="E531" s="1" t="n">
        <v>46218</v>
      </c>
      <c r="F531" t="inlineStr">
        <is>
          <t>DALARNAS LÄN</t>
        </is>
      </c>
      <c r="G531" t="inlineStr">
        <is>
          <t>RÄTTVIK</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55059-2025</t>
        </is>
      </c>
      <c r="B532" t="inlineStr">
        <is>
          <t>avverkningsanmälan</t>
        </is>
      </c>
      <c r="C532" t="inlineStr">
        <is>
          <t>Föryngringsavverkning</t>
        </is>
      </c>
      <c r="D532" s="1" t="n">
        <v>45967</v>
      </c>
      <c r="E532" s="1" t="n">
        <v>46218</v>
      </c>
      <c r="F532" t="inlineStr">
        <is>
          <t>DALARNAS LÄN</t>
        </is>
      </c>
      <c r="G532" t="inlineStr">
        <is>
          <t>RÄTTVIK</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54648-2025</t>
        </is>
      </c>
      <c r="B533" t="inlineStr">
        <is>
          <t>avverkningsanmälan</t>
        </is>
      </c>
      <c r="C533" t="inlineStr">
        <is>
          <t>Föryngringsavverkning</t>
        </is>
      </c>
      <c r="D533" s="1" t="n">
        <v>45966</v>
      </c>
      <c r="E533" s="1" t="n">
        <v>46218</v>
      </c>
      <c r="F533" t="inlineStr">
        <is>
          <t>DALARNAS LÄN</t>
        </is>
      </c>
      <c r="G533" t="inlineStr">
        <is>
          <t>RÄTTVIK</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48290-2023</t>
        </is>
      </c>
      <c r="B534" t="inlineStr">
        <is>
          <t>avverkningsanmälan</t>
        </is>
      </c>
      <c r="C534" t="inlineStr">
        <is>
          <t>Föryngringsavverkning</t>
        </is>
      </c>
      <c r="D534" s="1" t="n">
        <v>45205</v>
      </c>
      <c r="E534" s="1" t="n">
        <v>46218</v>
      </c>
      <c r="F534" t="inlineStr">
        <is>
          <t>DALARNAS LÄN</t>
        </is>
      </c>
      <c r="G534" t="inlineStr">
        <is>
          <t>RÄTTVIK</t>
        </is>
      </c>
      <c r="H534" t="inlineStr">
        <is>
          <t>Bergvik skog väst AB</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11630-2024</t>
        </is>
      </c>
      <c r="B535" t="inlineStr">
        <is>
          <t>avverkningsanmälan</t>
        </is>
      </c>
      <c r="C535" t="inlineStr">
        <is>
          <t>Föryngringsavverkning</t>
        </is>
      </c>
      <c r="D535" s="1" t="n">
        <v>45373</v>
      </c>
      <c r="E535" s="1" t="n">
        <v>46218</v>
      </c>
      <c r="F535" t="inlineStr">
        <is>
          <t>DALARNAS LÄN</t>
        </is>
      </c>
      <c r="G535" t="inlineStr">
        <is>
          <t>RÄTTVIK</t>
        </is>
      </c>
      <c r="I535" t="n">
        <v>2</v>
      </c>
      <c r="J535" t="n">
        <v>0</v>
      </c>
      <c r="K535" t="n">
        <v>0</v>
      </c>
      <c r="L535" t="n">
        <v>0</v>
      </c>
      <c r="M535" t="n">
        <v>0</v>
      </c>
      <c r="N535" t="n">
        <v>0</v>
      </c>
      <c r="O535" t="n">
        <v>0</v>
      </c>
      <c r="P535" t="n">
        <v>0</v>
      </c>
      <c r="Q535" t="n">
        <v>0</v>
      </c>
      <c r="R535" t="n">
        <v>0</v>
      </c>
      <c r="S535" t="n">
        <v>0</v>
      </c>
      <c r="T535" t="n">
        <v>0</v>
      </c>
      <c r="U535" s="2" t="inlineStr"/>
    </row>
    <row r="536" ht="15" customHeight="1">
      <c r="A536" t="inlineStr">
        <is>
          <t>A 25559-2025</t>
        </is>
      </c>
      <c r="B536" t="inlineStr">
        <is>
          <t>avverkningsanmälan</t>
        </is>
      </c>
      <c r="C536" t="inlineStr">
        <is>
          <t>Föryngringsavverkning</t>
        </is>
      </c>
      <c r="D536" s="1" t="n">
        <v>45803</v>
      </c>
      <c r="E536" s="1" t="n">
        <v>46218</v>
      </c>
      <c r="F536" t="inlineStr">
        <is>
          <t>DALARNAS LÄN</t>
        </is>
      </c>
      <c r="G536" t="inlineStr">
        <is>
          <t>RÄTTVIK</t>
        </is>
      </c>
      <c r="H536" t="inlineStr">
        <is>
          <t>Sveaskog</t>
        </is>
      </c>
      <c r="I536" t="n">
        <v>9.699999999999999</v>
      </c>
      <c r="J536" t="n">
        <v>0</v>
      </c>
      <c r="K536" t="n">
        <v>0</v>
      </c>
      <c r="L536" t="n">
        <v>0</v>
      </c>
      <c r="M536" t="n">
        <v>0</v>
      </c>
      <c r="N536" t="n">
        <v>0</v>
      </c>
      <c r="O536" t="n">
        <v>0</v>
      </c>
      <c r="P536" t="n">
        <v>0</v>
      </c>
      <c r="Q536" t="n">
        <v>0</v>
      </c>
      <c r="R536" t="n">
        <v>0</v>
      </c>
      <c r="S536" t="n">
        <v>0</v>
      </c>
      <c r="T536" t="n">
        <v>0</v>
      </c>
      <c r="U536" s="2" t="inlineStr"/>
    </row>
    <row r="537" ht="15" customHeight="1">
      <c r="A537" t="inlineStr">
        <is>
          <t>A 25567-2025</t>
        </is>
      </c>
      <c r="B537" t="inlineStr">
        <is>
          <t>avverkningsanmälan</t>
        </is>
      </c>
      <c r="C537" t="inlineStr">
        <is>
          <t>Föryngringsavverkning</t>
        </is>
      </c>
      <c r="D537" s="1" t="n">
        <v>45803</v>
      </c>
      <c r="E537" s="1" t="n">
        <v>46218</v>
      </c>
      <c r="F537" t="inlineStr">
        <is>
          <t>DALARNAS LÄN</t>
        </is>
      </c>
      <c r="G537" t="inlineStr">
        <is>
          <t>RÄTTVIK</t>
        </is>
      </c>
      <c r="H537" t="inlineStr">
        <is>
          <t>Sveaskog</t>
        </is>
      </c>
      <c r="I537" t="n">
        <v>3.5</v>
      </c>
      <c r="J537" t="n">
        <v>0</v>
      </c>
      <c r="K537" t="n">
        <v>0</v>
      </c>
      <c r="L537" t="n">
        <v>0</v>
      </c>
      <c r="M537" t="n">
        <v>0</v>
      </c>
      <c r="N537" t="n">
        <v>0</v>
      </c>
      <c r="O537" t="n">
        <v>0</v>
      </c>
      <c r="P537" t="n">
        <v>0</v>
      </c>
      <c r="Q537" t="n">
        <v>0</v>
      </c>
      <c r="R537" t="n">
        <v>0</v>
      </c>
      <c r="S537" t="n">
        <v>0</v>
      </c>
      <c r="T537" t="n">
        <v>0</v>
      </c>
      <c r="U537" s="2" t="inlineStr"/>
    </row>
    <row r="538" ht="15" customHeight="1">
      <c r="A538" t="inlineStr">
        <is>
          <t>A 16878-2025</t>
        </is>
      </c>
      <c r="B538" t="inlineStr">
        <is>
          <t>avverkningsanmälan</t>
        </is>
      </c>
      <c r="C538" t="inlineStr">
        <is>
          <t>Föryngringsavverkning</t>
        </is>
      </c>
      <c r="D538" s="1" t="n">
        <v>45755</v>
      </c>
      <c r="E538" s="1" t="n">
        <v>46218</v>
      </c>
      <c r="F538" t="inlineStr">
        <is>
          <t>DALARNAS LÄN</t>
        </is>
      </c>
      <c r="G538" t="inlineStr">
        <is>
          <t>RÄTTVIK</t>
        </is>
      </c>
      <c r="I538" t="n">
        <v>2.9</v>
      </c>
      <c r="J538" t="n">
        <v>0</v>
      </c>
      <c r="K538" t="n">
        <v>0</v>
      </c>
      <c r="L538" t="n">
        <v>0</v>
      </c>
      <c r="M538" t="n">
        <v>0</v>
      </c>
      <c r="N538" t="n">
        <v>0</v>
      </c>
      <c r="O538" t="n">
        <v>0</v>
      </c>
      <c r="P538" t="n">
        <v>0</v>
      </c>
      <c r="Q538" t="n">
        <v>0</v>
      </c>
      <c r="R538" t="n">
        <v>0</v>
      </c>
      <c r="S538" t="n">
        <v>0</v>
      </c>
      <c r="T538" t="n">
        <v>0</v>
      </c>
      <c r="U538" s="2" t="inlineStr"/>
    </row>
    <row r="539" ht="15" customHeight="1">
      <c r="A539" t="inlineStr">
        <is>
          <t>A 55708-2024</t>
        </is>
      </c>
      <c r="B539" t="inlineStr">
        <is>
          <t>avverkningsanmälan</t>
        </is>
      </c>
      <c r="C539" t="inlineStr">
        <is>
          <t>Föryngringsavverkning</t>
        </is>
      </c>
      <c r="D539" s="1" t="n">
        <v>45622</v>
      </c>
      <c r="E539" s="1" t="n">
        <v>46218</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55708-2025</t>
        </is>
      </c>
      <c r="B540" t="inlineStr">
        <is>
          <t>avverkningsanmälan</t>
        </is>
      </c>
      <c r="C540" t="inlineStr">
        <is>
          <t>Föryngringsavverkning</t>
        </is>
      </c>
      <c r="D540" s="1" t="n">
        <v>45971</v>
      </c>
      <c r="E540" s="1" t="n">
        <v>46218</v>
      </c>
      <c r="F540" t="inlineStr">
        <is>
          <t>DALARNAS LÄN</t>
        </is>
      </c>
      <c r="G540" t="inlineStr">
        <is>
          <t>RÄTTVIK</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54300-2024</t>
        </is>
      </c>
      <c r="B541" t="inlineStr">
        <is>
          <t>avverkningsanmälan</t>
        </is>
      </c>
      <c r="C541" t="inlineStr">
        <is>
          <t>Avverkning för annat ändamål</t>
        </is>
      </c>
      <c r="D541" s="1" t="n">
        <v>45617</v>
      </c>
      <c r="E541" s="1" t="n">
        <v>46218</v>
      </c>
      <c r="F541" t="inlineStr">
        <is>
          <t>DALARNAS LÄN</t>
        </is>
      </c>
      <c r="G541" t="inlineStr">
        <is>
          <t>RÄTTVIK</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59718-2024</t>
        </is>
      </c>
      <c r="B542" t="inlineStr">
        <is>
          <t>avverkningsanmälan</t>
        </is>
      </c>
      <c r="C542" t="inlineStr">
        <is>
          <t>Föryngringsavverkning</t>
        </is>
      </c>
      <c r="D542" s="1" t="n">
        <v>45639</v>
      </c>
      <c r="E542" s="1" t="n">
        <v>46218</v>
      </c>
      <c r="F542" t="inlineStr">
        <is>
          <t>DALARNAS LÄN</t>
        </is>
      </c>
      <c r="G542" t="inlineStr">
        <is>
          <t>RÄTTVIK</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55321-2025</t>
        </is>
      </c>
      <c r="B543" t="inlineStr">
        <is>
          <t>avverkningsanmälan</t>
        </is>
      </c>
      <c r="C543" t="inlineStr">
        <is>
          <t>Föryngringsavverkning</t>
        </is>
      </c>
      <c r="D543" s="1" t="n">
        <v>45971</v>
      </c>
      <c r="E543" s="1" t="n">
        <v>46218</v>
      </c>
      <c r="F543" t="inlineStr">
        <is>
          <t>DALARNAS LÄN</t>
        </is>
      </c>
      <c r="G543" t="inlineStr">
        <is>
          <t>RÄTTVIK</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2262-2024</t>
        </is>
      </c>
      <c r="B544" t="inlineStr">
        <is>
          <t>avverkningsanmälan</t>
        </is>
      </c>
      <c r="C544" t="inlineStr">
        <is>
          <t>Föryngringsavverkning</t>
        </is>
      </c>
      <c r="D544" s="1" t="n">
        <v>45310</v>
      </c>
      <c r="E544" s="1" t="n">
        <v>46218</v>
      </c>
      <c r="F544" t="inlineStr">
        <is>
          <t>DALARNAS LÄN</t>
        </is>
      </c>
      <c r="G544" t="inlineStr">
        <is>
          <t>RÄTTVIK</t>
        </is>
      </c>
      <c r="I544" t="n">
        <v>0.2</v>
      </c>
      <c r="J544" t="n">
        <v>0</v>
      </c>
      <c r="K544" t="n">
        <v>0</v>
      </c>
      <c r="L544" t="n">
        <v>0</v>
      </c>
      <c r="M544" t="n">
        <v>0</v>
      </c>
      <c r="N544" t="n">
        <v>0</v>
      </c>
      <c r="O544" t="n">
        <v>0</v>
      </c>
      <c r="P544" t="n">
        <v>0</v>
      </c>
      <c r="Q544" t="n">
        <v>0</v>
      </c>
      <c r="R544" t="n">
        <v>0</v>
      </c>
      <c r="S544" t="n">
        <v>0</v>
      </c>
      <c r="T544" t="n">
        <v>0</v>
      </c>
      <c r="U544" s="2" t="inlineStr"/>
    </row>
    <row r="545" ht="15" customHeight="1">
      <c r="A545" t="inlineStr">
        <is>
          <t>A 61970-2023</t>
        </is>
      </c>
      <c r="B545" t="inlineStr">
        <is>
          <t>avverkningsanmälan</t>
        </is>
      </c>
      <c r="C545" t="inlineStr">
        <is>
          <t>Föryngringsavverkning</t>
        </is>
      </c>
      <c r="D545" s="1" t="n">
        <v>45266</v>
      </c>
      <c r="E545" s="1" t="n">
        <v>46218</v>
      </c>
      <c r="F545" t="inlineStr">
        <is>
          <t>DALARNAS LÄN</t>
        </is>
      </c>
      <c r="G545" t="inlineStr">
        <is>
          <t>RÄTTVIK</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55704-2025</t>
        </is>
      </c>
      <c r="B546" t="inlineStr">
        <is>
          <t>avverkningsanmälan</t>
        </is>
      </c>
      <c r="C546" t="inlineStr">
        <is>
          <t>Föryngringsavverkning</t>
        </is>
      </c>
      <c r="D546" s="1" t="n">
        <v>45971</v>
      </c>
      <c r="E546" s="1" t="n">
        <v>46218</v>
      </c>
      <c r="F546" t="inlineStr">
        <is>
          <t>DALARNAS LÄN</t>
        </is>
      </c>
      <c r="G546" t="inlineStr">
        <is>
          <t>RÄTTVIK</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55898-2024</t>
        </is>
      </c>
      <c r="B547" t="inlineStr">
        <is>
          <t>avverkningsanmälan</t>
        </is>
      </c>
      <c r="C547" t="inlineStr">
        <is>
          <t>Föryngringsavverkning</t>
        </is>
      </c>
      <c r="D547" s="1" t="n">
        <v>45623</v>
      </c>
      <c r="E547" s="1" t="n">
        <v>46218</v>
      </c>
      <c r="F547" t="inlineStr">
        <is>
          <t>DALARNAS LÄN</t>
        </is>
      </c>
      <c r="G547" t="inlineStr">
        <is>
          <t>RÄTTVIK</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55712-2025</t>
        </is>
      </c>
      <c r="B548" t="inlineStr">
        <is>
          <t>avverkningsanmälan</t>
        </is>
      </c>
      <c r="C548" t="inlineStr">
        <is>
          <t>Föryngringsavverkning</t>
        </is>
      </c>
      <c r="D548" s="1" t="n">
        <v>45971</v>
      </c>
      <c r="E548" s="1" t="n">
        <v>46218</v>
      </c>
      <c r="F548" t="inlineStr">
        <is>
          <t>DALARNAS LÄN</t>
        </is>
      </c>
      <c r="G548" t="inlineStr">
        <is>
          <t>RÄTTVIK</t>
        </is>
      </c>
      <c r="I548" t="n">
        <v>2</v>
      </c>
      <c r="J548" t="n">
        <v>0</v>
      </c>
      <c r="K548" t="n">
        <v>0</v>
      </c>
      <c r="L548" t="n">
        <v>0</v>
      </c>
      <c r="M548" t="n">
        <v>0</v>
      </c>
      <c r="N548" t="n">
        <v>0</v>
      </c>
      <c r="O548" t="n">
        <v>0</v>
      </c>
      <c r="P548" t="n">
        <v>0</v>
      </c>
      <c r="Q548" t="n">
        <v>0</v>
      </c>
      <c r="R548" t="n">
        <v>0</v>
      </c>
      <c r="S548" t="n">
        <v>0</v>
      </c>
      <c r="T548" t="n">
        <v>0</v>
      </c>
      <c r="U548" s="2" t="inlineStr"/>
    </row>
    <row r="549" ht="15" customHeight="1">
      <c r="A549" t="inlineStr">
        <is>
          <t>A 66673-2021</t>
        </is>
      </c>
      <c r="B549" t="inlineStr">
        <is>
          <t>avverkningsanmälan</t>
        </is>
      </c>
      <c r="C549" t="inlineStr">
        <is>
          <t>Föryngringsavverkning</t>
        </is>
      </c>
      <c r="D549" s="1" t="n">
        <v>44519</v>
      </c>
      <c r="E549" s="1" t="n">
        <v>46218</v>
      </c>
      <c r="F549" t="inlineStr">
        <is>
          <t>DALARNAS LÄN</t>
        </is>
      </c>
      <c r="G549" t="inlineStr">
        <is>
          <t>RÄTTVIK</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36415-2024</t>
        </is>
      </c>
      <c r="B550" t="inlineStr">
        <is>
          <t>avverkningsanmälan</t>
        </is>
      </c>
      <c r="C550" t="inlineStr">
        <is>
          <t>Föryngringsavverkning</t>
        </is>
      </c>
      <c r="D550" s="1" t="n">
        <v>45536</v>
      </c>
      <c r="E550" s="1" t="n">
        <v>46218</v>
      </c>
      <c r="F550" t="inlineStr">
        <is>
          <t>DALARNAS LÄN</t>
        </is>
      </c>
      <c r="G550" t="inlineStr">
        <is>
          <t>RÄTTVIK</t>
        </is>
      </c>
      <c r="I550" t="n">
        <v>3</v>
      </c>
      <c r="J550" t="n">
        <v>0</v>
      </c>
      <c r="K550" t="n">
        <v>0</v>
      </c>
      <c r="L550" t="n">
        <v>0</v>
      </c>
      <c r="M550" t="n">
        <v>0</v>
      </c>
      <c r="N550" t="n">
        <v>0</v>
      </c>
      <c r="O550" t="n">
        <v>0</v>
      </c>
      <c r="P550" t="n">
        <v>0</v>
      </c>
      <c r="Q550" t="n">
        <v>0</v>
      </c>
      <c r="R550" t="n">
        <v>0</v>
      </c>
      <c r="S550" t="n">
        <v>0</v>
      </c>
      <c r="T550" t="n">
        <v>0</v>
      </c>
      <c r="U550" s="2" t="inlineStr"/>
    </row>
    <row r="551" ht="15" customHeight="1">
      <c r="A551" t="inlineStr">
        <is>
          <t>A 55412-2025</t>
        </is>
      </c>
      <c r="B551" t="inlineStr">
        <is>
          <t>avverkningsanmälan</t>
        </is>
      </c>
      <c r="C551" t="inlineStr">
        <is>
          <t>Föryngringsavverkning</t>
        </is>
      </c>
      <c r="D551" s="1" t="n">
        <v>45971</v>
      </c>
      <c r="E551" s="1" t="n">
        <v>46218</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s="2" t="inlineStr"/>
    </row>
    <row r="552" ht="15" customHeight="1">
      <c r="A552" t="inlineStr">
        <is>
          <t>A 9971-2022</t>
        </is>
      </c>
      <c r="B552" t="inlineStr">
        <is>
          <t>avverkningsanmälan</t>
        </is>
      </c>
      <c r="C552" t="inlineStr">
        <is>
          <t>Avverkning för annat ändamål</t>
        </is>
      </c>
      <c r="D552" s="1" t="n">
        <v>44621</v>
      </c>
      <c r="E552" s="1" t="n">
        <v>46218</v>
      </c>
      <c r="F552" t="inlineStr">
        <is>
          <t>DALARNAS LÄN</t>
        </is>
      </c>
      <c r="G552" t="inlineStr">
        <is>
          <t>RÄTTVIK</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55196-2025</t>
        </is>
      </c>
      <c r="B553" t="inlineStr">
        <is>
          <t>avverkningsanmälan</t>
        </is>
      </c>
      <c r="C553" t="inlineStr">
        <is>
          <t>Föryngringsavverkning</t>
        </is>
      </c>
      <c r="D553" s="1" t="n">
        <v>45968</v>
      </c>
      <c r="E553" s="1" t="n">
        <v>46218</v>
      </c>
      <c r="F553" t="inlineStr">
        <is>
          <t>DALARNAS LÄN</t>
        </is>
      </c>
      <c r="G553" t="inlineStr">
        <is>
          <t>RÄTTVIK</t>
        </is>
      </c>
      <c r="I553" t="n">
        <v>1.5</v>
      </c>
      <c r="J553" t="n">
        <v>0</v>
      </c>
      <c r="K553" t="n">
        <v>0</v>
      </c>
      <c r="L553" t="n">
        <v>0</v>
      </c>
      <c r="M553" t="n">
        <v>0</v>
      </c>
      <c r="N553" t="n">
        <v>0</v>
      </c>
      <c r="O553" t="n">
        <v>0</v>
      </c>
      <c r="P553" t="n">
        <v>0</v>
      </c>
      <c r="Q553" t="n">
        <v>0</v>
      </c>
      <c r="R553" t="n">
        <v>0</v>
      </c>
      <c r="S553" t="n">
        <v>0</v>
      </c>
      <c r="T553" t="n">
        <v>0</v>
      </c>
      <c r="U553" s="2" t="inlineStr"/>
    </row>
    <row r="554" ht="15" customHeight="1">
      <c r="A554" t="inlineStr">
        <is>
          <t>A 59307-2023</t>
        </is>
      </c>
      <c r="B554" t="inlineStr">
        <is>
          <t>avverkningsanmälan</t>
        </is>
      </c>
      <c r="C554" t="inlineStr">
        <is>
          <t>Föryngringsavverkning</t>
        </is>
      </c>
      <c r="D554" s="1" t="n">
        <v>45253</v>
      </c>
      <c r="E554" s="1" t="n">
        <v>46218</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2775-2023</t>
        </is>
      </c>
      <c r="B555" t="inlineStr">
        <is>
          <t>avverkningsanmälan</t>
        </is>
      </c>
      <c r="C555" t="inlineStr">
        <is>
          <t>Föryngringsavverkning</t>
        </is>
      </c>
      <c r="D555" s="1" t="n">
        <v>44944</v>
      </c>
      <c r="E555" s="1" t="n">
        <v>46218</v>
      </c>
      <c r="F555" t="inlineStr">
        <is>
          <t>DALARNAS LÄN</t>
        </is>
      </c>
      <c r="G555" t="inlineStr">
        <is>
          <t>RÄTTVIK</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43671-2022</t>
        </is>
      </c>
      <c r="B556" t="inlineStr">
        <is>
          <t>avverkningsanmälan</t>
        </is>
      </c>
      <c r="C556" t="inlineStr">
        <is>
          <t>Föryngringsavverkning</t>
        </is>
      </c>
      <c r="D556" s="1" t="n">
        <v>44834</v>
      </c>
      <c r="E556" s="1" t="n">
        <v>46218</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1046-2025</t>
        </is>
      </c>
      <c r="B557" t="inlineStr">
        <is>
          <t>avverkningsanmälan</t>
        </is>
      </c>
      <c r="C557" t="inlineStr">
        <is>
          <t>Föryngringsavverkning</t>
        </is>
      </c>
      <c r="D557" s="1" t="n">
        <v>45666</v>
      </c>
      <c r="E557" s="1" t="n">
        <v>46218</v>
      </c>
      <c r="F557" t="inlineStr">
        <is>
          <t>DALARNAS LÄN</t>
        </is>
      </c>
      <c r="G557" t="inlineStr">
        <is>
          <t>RÄTTVIK</t>
        </is>
      </c>
      <c r="I557" t="n">
        <v>4.2</v>
      </c>
      <c r="J557" t="n">
        <v>0</v>
      </c>
      <c r="K557" t="n">
        <v>0</v>
      </c>
      <c r="L557" t="n">
        <v>0</v>
      </c>
      <c r="M557" t="n">
        <v>0</v>
      </c>
      <c r="N557" t="n">
        <v>0</v>
      </c>
      <c r="O557" t="n">
        <v>0</v>
      </c>
      <c r="P557" t="n">
        <v>0</v>
      </c>
      <c r="Q557" t="n">
        <v>0</v>
      </c>
      <c r="R557" t="n">
        <v>0</v>
      </c>
      <c r="S557" t="n">
        <v>0</v>
      </c>
      <c r="T557" t="n">
        <v>0</v>
      </c>
      <c r="U557" s="2" t="inlineStr"/>
    </row>
    <row r="558" ht="15" customHeight="1">
      <c r="A558" t="inlineStr">
        <is>
          <t>A 12029-2024</t>
        </is>
      </c>
      <c r="B558" t="inlineStr">
        <is>
          <t>avverkningsanmälan</t>
        </is>
      </c>
      <c r="C558" t="inlineStr">
        <is>
          <t>Föryngringsavverkning</t>
        </is>
      </c>
      <c r="D558" s="1" t="n">
        <v>45377</v>
      </c>
      <c r="E558" s="1" t="n">
        <v>46218</v>
      </c>
      <c r="F558" t="inlineStr">
        <is>
          <t>DALARNAS LÄN</t>
        </is>
      </c>
      <c r="G558" t="inlineStr">
        <is>
          <t>RÄTTVIK</t>
        </is>
      </c>
      <c r="H558" t="inlineStr">
        <is>
          <t>Övriga statliga verk och myndigheter</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27512-2025</t>
        </is>
      </c>
      <c r="B559" t="inlineStr">
        <is>
          <t>avverkningsanmälan</t>
        </is>
      </c>
      <c r="C559" t="inlineStr">
        <is>
          <t>Föryngringsavverkning</t>
        </is>
      </c>
      <c r="D559" s="1" t="n">
        <v>45813</v>
      </c>
      <c r="E559" s="1" t="n">
        <v>46218</v>
      </c>
      <c r="F559" t="inlineStr">
        <is>
          <t>DALARNAS LÄN</t>
        </is>
      </c>
      <c r="G559" t="inlineStr">
        <is>
          <t>RÄTTVIK</t>
        </is>
      </c>
      <c r="H559" t="inlineStr">
        <is>
          <t>Bergvik skog väst AB</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56063-2025</t>
        </is>
      </c>
      <c r="B560" t="inlineStr">
        <is>
          <t>avverkningsanmälan</t>
        </is>
      </c>
      <c r="C560" t="inlineStr">
        <is>
          <t>Föryngringsavverkning</t>
        </is>
      </c>
      <c r="D560" s="1" t="n">
        <v>45973</v>
      </c>
      <c r="E560" s="1" t="n">
        <v>46218</v>
      </c>
      <c r="F560" t="inlineStr">
        <is>
          <t>DALARNAS LÄN</t>
        </is>
      </c>
      <c r="G560" t="inlineStr">
        <is>
          <t>RÄTTVIK</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55740-2025</t>
        </is>
      </c>
      <c r="B561" t="inlineStr">
        <is>
          <t>avverkningsanmälan</t>
        </is>
      </c>
      <c r="C561" t="inlineStr">
        <is>
          <t>Föryngringsavverkning</t>
        </is>
      </c>
      <c r="D561" s="1" t="n">
        <v>45972</v>
      </c>
      <c r="E561" s="1" t="n">
        <v>46218</v>
      </c>
      <c r="F561" t="inlineStr">
        <is>
          <t>DALARNAS LÄN</t>
        </is>
      </c>
      <c r="G561" t="inlineStr">
        <is>
          <t>RÄTTVIK</t>
        </is>
      </c>
      <c r="H561" t="inlineStr">
        <is>
          <t>Bergvik skog väst AB</t>
        </is>
      </c>
      <c r="I561" t="n">
        <v>9.9</v>
      </c>
      <c r="J561" t="n">
        <v>0</v>
      </c>
      <c r="K561" t="n">
        <v>0</v>
      </c>
      <c r="L561" t="n">
        <v>0</v>
      </c>
      <c r="M561" t="n">
        <v>0</v>
      </c>
      <c r="N561" t="n">
        <v>0</v>
      </c>
      <c r="O561" t="n">
        <v>0</v>
      </c>
      <c r="P561" t="n">
        <v>0</v>
      </c>
      <c r="Q561" t="n">
        <v>0</v>
      </c>
      <c r="R561" t="n">
        <v>0</v>
      </c>
      <c r="S561" t="n">
        <v>0</v>
      </c>
      <c r="T561" t="n">
        <v>0</v>
      </c>
      <c r="U561" s="2" t="inlineStr"/>
    </row>
    <row r="562" ht="15" customHeight="1">
      <c r="A562" t="inlineStr">
        <is>
          <t>A 56049-2025</t>
        </is>
      </c>
      <c r="B562" t="inlineStr">
        <is>
          <t>avverkningsanmälan</t>
        </is>
      </c>
      <c r="C562" t="inlineStr">
        <is>
          <t>Föryngringsavverkning</t>
        </is>
      </c>
      <c r="D562" s="1" t="n">
        <v>45973</v>
      </c>
      <c r="E562" s="1" t="n">
        <v>46218</v>
      </c>
      <c r="F562" t="inlineStr">
        <is>
          <t>DALARNAS LÄN</t>
        </is>
      </c>
      <c r="G562" t="inlineStr">
        <is>
          <t>RÄTTVIK</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37659-2023</t>
        </is>
      </c>
      <c r="B563" t="inlineStr">
        <is>
          <t>avverkningsanmälan</t>
        </is>
      </c>
      <c r="C563" t="inlineStr">
        <is>
          <t>Avverkning för annat ändamål</t>
        </is>
      </c>
      <c r="D563" s="1" t="n">
        <v>45159</v>
      </c>
      <c r="E563" s="1" t="n">
        <v>46218</v>
      </c>
      <c r="F563" t="inlineStr">
        <is>
          <t>DALARNAS LÄN</t>
        </is>
      </c>
      <c r="G563" t="inlineStr">
        <is>
          <t>RÄTTVIK</t>
        </is>
      </c>
      <c r="H563" t="inlineStr">
        <is>
          <t>Sveaskog</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27656-2025</t>
        </is>
      </c>
      <c r="B564" t="inlineStr">
        <is>
          <t>avverkningsanmälan</t>
        </is>
      </c>
      <c r="C564" t="inlineStr">
        <is>
          <t>Föryngringsavverkning</t>
        </is>
      </c>
      <c r="D564" s="1" t="n">
        <v>45813</v>
      </c>
      <c r="E564" s="1" t="n">
        <v>46218</v>
      </c>
      <c r="F564" t="inlineStr">
        <is>
          <t>DALARNAS LÄN</t>
        </is>
      </c>
      <c r="G564" t="inlineStr">
        <is>
          <t>RÄTTVIK</t>
        </is>
      </c>
      <c r="H564" t="inlineStr">
        <is>
          <t>Sveaskog</t>
        </is>
      </c>
      <c r="I564" t="n">
        <v>8.800000000000001</v>
      </c>
      <c r="J564" t="n">
        <v>0</v>
      </c>
      <c r="K564" t="n">
        <v>0</v>
      </c>
      <c r="L564" t="n">
        <v>0</v>
      </c>
      <c r="M564" t="n">
        <v>0</v>
      </c>
      <c r="N564" t="n">
        <v>0</v>
      </c>
      <c r="O564" t="n">
        <v>0</v>
      </c>
      <c r="P564" t="n">
        <v>0</v>
      </c>
      <c r="Q564" t="n">
        <v>0</v>
      </c>
      <c r="R564" t="n">
        <v>0</v>
      </c>
      <c r="S564" t="n">
        <v>0</v>
      </c>
      <c r="T564" t="n">
        <v>0</v>
      </c>
      <c r="U564" s="2" t="inlineStr"/>
    </row>
    <row r="565" ht="15" customHeight="1">
      <c r="A565" t="inlineStr">
        <is>
          <t>A 56492-2025</t>
        </is>
      </c>
      <c r="B565" t="inlineStr">
        <is>
          <t>avverkningsanmälan</t>
        </is>
      </c>
      <c r="C565" t="inlineStr">
        <is>
          <t>Föryngringsavverkning</t>
        </is>
      </c>
      <c r="D565" s="1" t="n">
        <v>45974</v>
      </c>
      <c r="E565" s="1" t="n">
        <v>46218</v>
      </c>
      <c r="F565" t="inlineStr">
        <is>
          <t>DALARNAS LÄN</t>
        </is>
      </c>
      <c r="G565" t="inlineStr">
        <is>
          <t>RÄTTVIK</t>
        </is>
      </c>
      <c r="I565" t="n">
        <v>2.6</v>
      </c>
      <c r="J565" t="n">
        <v>0</v>
      </c>
      <c r="K565" t="n">
        <v>0</v>
      </c>
      <c r="L565" t="n">
        <v>0</v>
      </c>
      <c r="M565" t="n">
        <v>0</v>
      </c>
      <c r="N565" t="n">
        <v>0</v>
      </c>
      <c r="O565" t="n">
        <v>0</v>
      </c>
      <c r="P565" t="n">
        <v>0</v>
      </c>
      <c r="Q565" t="n">
        <v>0</v>
      </c>
      <c r="R565" t="n">
        <v>0</v>
      </c>
      <c r="S565" t="n">
        <v>0</v>
      </c>
      <c r="T565" t="n">
        <v>0</v>
      </c>
      <c r="U565" s="2" t="inlineStr"/>
    </row>
    <row r="566" ht="15" customHeight="1">
      <c r="A566" t="inlineStr">
        <is>
          <t>A 56236-2025</t>
        </is>
      </c>
      <c r="B566" t="inlineStr">
        <is>
          <t>avverkningsanmälan</t>
        </is>
      </c>
      <c r="C566" t="inlineStr">
        <is>
          <t>Föryngringsavverkning</t>
        </is>
      </c>
      <c r="D566" s="1" t="n">
        <v>45974</v>
      </c>
      <c r="E566" s="1" t="n">
        <v>46218</v>
      </c>
      <c r="F566" t="inlineStr">
        <is>
          <t>DALARNAS LÄN</t>
        </is>
      </c>
      <c r="G566" t="inlineStr">
        <is>
          <t>RÄTTVIK</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56377-2025</t>
        </is>
      </c>
      <c r="B567" t="inlineStr">
        <is>
          <t>avverkningsanmälan</t>
        </is>
      </c>
      <c r="C567" t="inlineStr">
        <is>
          <t>Föryngringsavverkning</t>
        </is>
      </c>
      <c r="D567" s="1" t="n">
        <v>45974</v>
      </c>
      <c r="E567" s="1" t="n">
        <v>46218</v>
      </c>
      <c r="F567" t="inlineStr">
        <is>
          <t>DALARNAS LÄN</t>
        </is>
      </c>
      <c r="G567" t="inlineStr">
        <is>
          <t>RÄTTVIK</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27704-2025</t>
        </is>
      </c>
      <c r="B568" t="inlineStr">
        <is>
          <t>avverkningsanmälan</t>
        </is>
      </c>
      <c r="C568" t="inlineStr">
        <is>
          <t>Föryngringsavverkning</t>
        </is>
      </c>
      <c r="D568" s="1" t="n">
        <v>45813</v>
      </c>
      <c r="E568" s="1" t="n">
        <v>46218</v>
      </c>
      <c r="F568" t="inlineStr">
        <is>
          <t>DALARNAS LÄN</t>
        </is>
      </c>
      <c r="G568" t="inlineStr">
        <is>
          <t>RÄTTVIK</t>
        </is>
      </c>
      <c r="I568" t="n">
        <v>2.3</v>
      </c>
      <c r="J568" t="n">
        <v>0</v>
      </c>
      <c r="K568" t="n">
        <v>0</v>
      </c>
      <c r="L568" t="n">
        <v>0</v>
      </c>
      <c r="M568" t="n">
        <v>0</v>
      </c>
      <c r="N568" t="n">
        <v>0</v>
      </c>
      <c r="O568" t="n">
        <v>0</v>
      </c>
      <c r="P568" t="n">
        <v>0</v>
      </c>
      <c r="Q568" t="n">
        <v>0</v>
      </c>
      <c r="R568" t="n">
        <v>0</v>
      </c>
      <c r="S568" t="n">
        <v>0</v>
      </c>
      <c r="T568" t="n">
        <v>0</v>
      </c>
      <c r="U568" s="2" t="inlineStr"/>
    </row>
    <row r="569" ht="15" customHeight="1">
      <c r="A569" t="inlineStr">
        <is>
          <t>A 56628-2025</t>
        </is>
      </c>
      <c r="B569" t="inlineStr">
        <is>
          <t>avverkningsanmälan</t>
        </is>
      </c>
      <c r="C569" t="inlineStr">
        <is>
          <t>Föryngringsavverkning</t>
        </is>
      </c>
      <c r="D569" s="1" t="n">
        <v>45975</v>
      </c>
      <c r="E569" s="1" t="n">
        <v>46218</v>
      </c>
      <c r="F569" t="inlineStr">
        <is>
          <t>DALARNAS LÄN</t>
        </is>
      </c>
      <c r="G569" t="inlineStr">
        <is>
          <t>RÄTTVIK</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3154-2025</t>
        </is>
      </c>
      <c r="B570" t="inlineStr">
        <is>
          <t>avverkningsanmälan</t>
        </is>
      </c>
      <c r="C570" t="inlineStr">
        <is>
          <t>Föryngringsavverkning</t>
        </is>
      </c>
      <c r="D570" s="1" t="n">
        <v>45679</v>
      </c>
      <c r="E570" s="1" t="n">
        <v>46218</v>
      </c>
      <c r="F570" t="inlineStr">
        <is>
          <t>DALARNAS LÄN</t>
        </is>
      </c>
      <c r="G570" t="inlineStr">
        <is>
          <t>RÄTTVIK</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32561-2024</t>
        </is>
      </c>
      <c r="B571" t="inlineStr">
        <is>
          <t>avverkningsanmälan</t>
        </is>
      </c>
      <c r="C571" t="inlineStr">
        <is>
          <t>Föryngringsavverkning</t>
        </is>
      </c>
      <c r="D571" s="1" t="n">
        <v>45513</v>
      </c>
      <c r="E571" s="1" t="n">
        <v>46218</v>
      </c>
      <c r="F571" t="inlineStr">
        <is>
          <t>DALARNAS LÄN</t>
        </is>
      </c>
      <c r="G571" t="inlineStr">
        <is>
          <t>RÄTTVIK</t>
        </is>
      </c>
      <c r="H571" t="inlineStr">
        <is>
          <t>Sveaskog</t>
        </is>
      </c>
      <c r="I571" t="n">
        <v>5.9</v>
      </c>
      <c r="J571" t="n">
        <v>0</v>
      </c>
      <c r="K571" t="n">
        <v>0</v>
      </c>
      <c r="L571" t="n">
        <v>0</v>
      </c>
      <c r="M571" t="n">
        <v>0</v>
      </c>
      <c r="N571" t="n">
        <v>0</v>
      </c>
      <c r="O571" t="n">
        <v>0</v>
      </c>
      <c r="P571" t="n">
        <v>0</v>
      </c>
      <c r="Q571" t="n">
        <v>0</v>
      </c>
      <c r="R571" t="n">
        <v>0</v>
      </c>
      <c r="S571" t="n">
        <v>0</v>
      </c>
      <c r="T571" t="n">
        <v>0</v>
      </c>
      <c r="U571" s="2" t="inlineStr"/>
    </row>
    <row r="572" ht="15" customHeight="1">
      <c r="A572" t="inlineStr">
        <is>
          <t>A 28044-2025</t>
        </is>
      </c>
      <c r="B572" t="inlineStr">
        <is>
          <t>avverkningsanmälan</t>
        </is>
      </c>
      <c r="C572" t="inlineStr">
        <is>
          <t>Föryngringsavverkning</t>
        </is>
      </c>
      <c r="D572" s="1" t="n">
        <v>45817</v>
      </c>
      <c r="E572" s="1" t="n">
        <v>46218</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13744-2025</t>
        </is>
      </c>
      <c r="B573" t="inlineStr">
        <is>
          <t>avverkningsanmälan</t>
        </is>
      </c>
      <c r="C573" t="inlineStr">
        <is>
          <t>Föryngringsavverkning</t>
        </is>
      </c>
      <c r="D573" s="1" t="n">
        <v>45737</v>
      </c>
      <c r="E573" s="1" t="n">
        <v>46218</v>
      </c>
      <c r="F573" t="inlineStr">
        <is>
          <t>DALARNAS LÄN</t>
        </is>
      </c>
      <c r="G573" t="inlineStr">
        <is>
          <t>RÄTTVIK</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2043-2025</t>
        </is>
      </c>
      <c r="B574" t="inlineStr">
        <is>
          <t>avverkningsanmälan</t>
        </is>
      </c>
      <c r="C574" t="inlineStr">
        <is>
          <t>Föryngringsavverkning</t>
        </is>
      </c>
      <c r="D574" s="1" t="n">
        <v>45671</v>
      </c>
      <c r="E574" s="1" t="n">
        <v>46218</v>
      </c>
      <c r="F574" t="inlineStr">
        <is>
          <t>DALARNAS LÄN</t>
        </is>
      </c>
      <c r="G574" t="inlineStr">
        <is>
          <t>RÄTTVIK</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4417-2025</t>
        </is>
      </c>
      <c r="B575" t="inlineStr">
        <is>
          <t>avverkningsanmälan</t>
        </is>
      </c>
      <c r="C575" t="inlineStr">
        <is>
          <t>Föryngringsavverkning</t>
        </is>
      </c>
      <c r="D575" s="1" t="n">
        <v>45686</v>
      </c>
      <c r="E575" s="1" t="n">
        <v>46218</v>
      </c>
      <c r="F575" t="inlineStr">
        <is>
          <t>DALARNAS LÄN</t>
        </is>
      </c>
      <c r="G575" t="inlineStr">
        <is>
          <t>RÄTTVIK</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37328-2023</t>
        </is>
      </c>
      <c r="B576" t="inlineStr">
        <is>
          <t>avverkningsanmälan</t>
        </is>
      </c>
      <c r="C576" t="inlineStr">
        <is>
          <t>Föryngringsavverkning</t>
        </is>
      </c>
      <c r="D576" s="1" t="n">
        <v>45155</v>
      </c>
      <c r="E576" s="1" t="n">
        <v>46218</v>
      </c>
      <c r="F576" t="inlineStr">
        <is>
          <t>DALARNAS LÄN</t>
        </is>
      </c>
      <c r="G576" t="inlineStr">
        <is>
          <t>RÄTTVIK</t>
        </is>
      </c>
      <c r="I576" t="n">
        <v>10.4</v>
      </c>
      <c r="J576" t="n">
        <v>0</v>
      </c>
      <c r="K576" t="n">
        <v>0</v>
      </c>
      <c r="L576" t="n">
        <v>0</v>
      </c>
      <c r="M576" t="n">
        <v>0</v>
      </c>
      <c r="N576" t="n">
        <v>0</v>
      </c>
      <c r="O576" t="n">
        <v>0</v>
      </c>
      <c r="P576" t="n">
        <v>0</v>
      </c>
      <c r="Q576" t="n">
        <v>0</v>
      </c>
      <c r="R576" t="n">
        <v>0</v>
      </c>
      <c r="S576" t="n">
        <v>0</v>
      </c>
      <c r="T576" t="n">
        <v>0</v>
      </c>
      <c r="U576" s="2" t="inlineStr"/>
    </row>
    <row r="577" ht="15" customHeight="1">
      <c r="A577" t="inlineStr">
        <is>
          <t>A 61135-2024</t>
        </is>
      </c>
      <c r="B577" t="inlineStr">
        <is>
          <t>avverkningsanmälan</t>
        </is>
      </c>
      <c r="C577" t="inlineStr">
        <is>
          <t>Föryngringsavverkning</t>
        </is>
      </c>
      <c r="D577" s="1" t="n">
        <v>45645</v>
      </c>
      <c r="E577" s="1" t="n">
        <v>46218</v>
      </c>
      <c r="F577" t="inlineStr">
        <is>
          <t>DALARNAS LÄN</t>
        </is>
      </c>
      <c r="G577" t="inlineStr">
        <is>
          <t>RÄTTVIK</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38385-2024</t>
        </is>
      </c>
      <c r="B578" t="inlineStr">
        <is>
          <t>avverkningsanmälan</t>
        </is>
      </c>
      <c r="C578" t="inlineStr">
        <is>
          <t>Föryngringsavverkning</t>
        </is>
      </c>
      <c r="D578" s="1" t="n">
        <v>45546</v>
      </c>
      <c r="E578" s="1" t="n">
        <v>46218</v>
      </c>
      <c r="F578" t="inlineStr">
        <is>
          <t>DALARNAS LÄN</t>
        </is>
      </c>
      <c r="G578" t="inlineStr">
        <is>
          <t>RÄTTVIK</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28683-2025</t>
        </is>
      </c>
      <c r="B579" t="inlineStr">
        <is>
          <t>avverkningsanmälan</t>
        </is>
      </c>
      <c r="C579" t="inlineStr">
        <is>
          <t>Föryngringsavverkning</t>
        </is>
      </c>
      <c r="D579" s="1" t="n">
        <v>45819</v>
      </c>
      <c r="E579" s="1" t="n">
        <v>46218</v>
      </c>
      <c r="F579" t="inlineStr">
        <is>
          <t>DALARNAS LÄN</t>
        </is>
      </c>
      <c r="G579" t="inlineStr">
        <is>
          <t>RÄTTVIK</t>
        </is>
      </c>
      <c r="I579" t="n">
        <v>3.2</v>
      </c>
      <c r="J579" t="n">
        <v>0</v>
      </c>
      <c r="K579" t="n">
        <v>0</v>
      </c>
      <c r="L579" t="n">
        <v>0</v>
      </c>
      <c r="M579" t="n">
        <v>0</v>
      </c>
      <c r="N579" t="n">
        <v>0</v>
      </c>
      <c r="O579" t="n">
        <v>0</v>
      </c>
      <c r="P579" t="n">
        <v>0</v>
      </c>
      <c r="Q579" t="n">
        <v>0</v>
      </c>
      <c r="R579" t="n">
        <v>0</v>
      </c>
      <c r="S579" t="n">
        <v>0</v>
      </c>
      <c r="T579" t="n">
        <v>0</v>
      </c>
      <c r="U579" s="2" t="inlineStr"/>
    </row>
    <row r="580" ht="15" customHeight="1">
      <c r="A580" t="inlineStr">
        <is>
          <t>A 62193-2023</t>
        </is>
      </c>
      <c r="B580" t="inlineStr">
        <is>
          <t>avverkningsanmälan</t>
        </is>
      </c>
      <c r="C580" t="inlineStr">
        <is>
          <t>Föryngringsavverkning</t>
        </is>
      </c>
      <c r="D580" s="1" t="n">
        <v>45267</v>
      </c>
      <c r="E580" s="1" t="n">
        <v>46218</v>
      </c>
      <c r="F580" t="inlineStr">
        <is>
          <t>DALARNAS LÄN</t>
        </is>
      </c>
      <c r="G580" t="inlineStr">
        <is>
          <t>RÄTTVIK</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29135-2025</t>
        </is>
      </c>
      <c r="B581" t="inlineStr">
        <is>
          <t>avverkningsanmälan</t>
        </is>
      </c>
      <c r="C581" t="inlineStr">
        <is>
          <t>Föryngringsavverkning</t>
        </is>
      </c>
      <c r="D581" s="1" t="n">
        <v>45821</v>
      </c>
      <c r="E581" s="1" t="n">
        <v>46218</v>
      </c>
      <c r="F581" t="inlineStr">
        <is>
          <t>DALARNAS LÄN</t>
        </is>
      </c>
      <c r="G581" t="inlineStr">
        <is>
          <t>RÄTTVIK</t>
        </is>
      </c>
      <c r="I581" t="n">
        <v>4.3</v>
      </c>
      <c r="J581" t="n">
        <v>0</v>
      </c>
      <c r="K581" t="n">
        <v>0</v>
      </c>
      <c r="L581" t="n">
        <v>0</v>
      </c>
      <c r="M581" t="n">
        <v>0</v>
      </c>
      <c r="N581" t="n">
        <v>0</v>
      </c>
      <c r="O581" t="n">
        <v>0</v>
      </c>
      <c r="P581" t="n">
        <v>0</v>
      </c>
      <c r="Q581" t="n">
        <v>0</v>
      </c>
      <c r="R581" t="n">
        <v>0</v>
      </c>
      <c r="S581" t="n">
        <v>0</v>
      </c>
      <c r="T581" t="n">
        <v>0</v>
      </c>
      <c r="U581" s="2" t="inlineStr"/>
    </row>
    <row r="582" ht="15" customHeight="1">
      <c r="A582" t="inlineStr">
        <is>
          <t>A 53932-2024</t>
        </is>
      </c>
      <c r="B582" t="inlineStr">
        <is>
          <t>avverkningsanmälan</t>
        </is>
      </c>
      <c r="C582" t="inlineStr">
        <is>
          <t>Föryngringsavverkning</t>
        </is>
      </c>
      <c r="D582" s="1" t="n">
        <v>45615</v>
      </c>
      <c r="E582" s="1" t="n">
        <v>46218</v>
      </c>
      <c r="F582" t="inlineStr">
        <is>
          <t>DALARNAS LÄN</t>
        </is>
      </c>
      <c r="G582" t="inlineStr">
        <is>
          <t>RÄTTVIK</t>
        </is>
      </c>
      <c r="I582" t="n">
        <v>12.7</v>
      </c>
      <c r="J582" t="n">
        <v>0</v>
      </c>
      <c r="K582" t="n">
        <v>0</v>
      </c>
      <c r="L582" t="n">
        <v>0</v>
      </c>
      <c r="M582" t="n">
        <v>0</v>
      </c>
      <c r="N582" t="n">
        <v>0</v>
      </c>
      <c r="O582" t="n">
        <v>0</v>
      </c>
      <c r="P582" t="n">
        <v>0</v>
      </c>
      <c r="Q582" t="n">
        <v>0</v>
      </c>
      <c r="R582" t="n">
        <v>0</v>
      </c>
      <c r="S582" t="n">
        <v>0</v>
      </c>
      <c r="T582" t="n">
        <v>0</v>
      </c>
      <c r="U582" s="2" t="inlineStr"/>
    </row>
    <row r="583" ht="15" customHeight="1">
      <c r="A583" t="inlineStr">
        <is>
          <t>A 28811-2025</t>
        </is>
      </c>
      <c r="B583" t="inlineStr">
        <is>
          <t>avverkningsanmälan</t>
        </is>
      </c>
      <c r="C583" t="inlineStr">
        <is>
          <t>Föryngringsavverkning</t>
        </is>
      </c>
      <c r="D583" s="1" t="n">
        <v>45820</v>
      </c>
      <c r="E583" s="1" t="n">
        <v>46218</v>
      </c>
      <c r="F583" t="inlineStr">
        <is>
          <t>DALARNAS LÄN</t>
        </is>
      </c>
      <c r="G583" t="inlineStr">
        <is>
          <t>RÄTTVIK</t>
        </is>
      </c>
      <c r="I583" t="n">
        <v>8.1</v>
      </c>
      <c r="J583" t="n">
        <v>0</v>
      </c>
      <c r="K583" t="n">
        <v>0</v>
      </c>
      <c r="L583" t="n">
        <v>0</v>
      </c>
      <c r="M583" t="n">
        <v>0</v>
      </c>
      <c r="N583" t="n">
        <v>0</v>
      </c>
      <c r="O583" t="n">
        <v>0</v>
      </c>
      <c r="P583" t="n">
        <v>0</v>
      </c>
      <c r="Q583" t="n">
        <v>0</v>
      </c>
      <c r="R583" t="n">
        <v>0</v>
      </c>
      <c r="S583" t="n">
        <v>0</v>
      </c>
      <c r="T583" t="n">
        <v>0</v>
      </c>
      <c r="U583" s="2" t="inlineStr"/>
    </row>
    <row r="584" ht="15" customHeight="1">
      <c r="A584" t="inlineStr">
        <is>
          <t>A 29744-2023</t>
        </is>
      </c>
      <c r="B584" t="inlineStr">
        <is>
          <t>avverkningsanmälan</t>
        </is>
      </c>
      <c r="C584" t="inlineStr">
        <is>
          <t>Föryngringsavverkning</t>
        </is>
      </c>
      <c r="D584" s="1" t="n">
        <v>45107</v>
      </c>
      <c r="E584" s="1" t="n">
        <v>46218</v>
      </c>
      <c r="F584" t="inlineStr">
        <is>
          <t>DALARNAS LÄN</t>
        </is>
      </c>
      <c r="G584" t="inlineStr">
        <is>
          <t>RÄTTVIK</t>
        </is>
      </c>
      <c r="I584" t="n">
        <v>2.6</v>
      </c>
      <c r="J584" t="n">
        <v>0</v>
      </c>
      <c r="K584" t="n">
        <v>0</v>
      </c>
      <c r="L584" t="n">
        <v>0</v>
      </c>
      <c r="M584" t="n">
        <v>0</v>
      </c>
      <c r="N584" t="n">
        <v>0</v>
      </c>
      <c r="O584" t="n">
        <v>0</v>
      </c>
      <c r="P584" t="n">
        <v>0</v>
      </c>
      <c r="Q584" t="n">
        <v>0</v>
      </c>
      <c r="R584" t="n">
        <v>0</v>
      </c>
      <c r="S584" t="n">
        <v>0</v>
      </c>
      <c r="T584" t="n">
        <v>0</v>
      </c>
      <c r="U584" s="2" t="inlineStr"/>
    </row>
    <row r="585" ht="15" customHeight="1">
      <c r="A585" t="inlineStr">
        <is>
          <t>A 29758-2023</t>
        </is>
      </c>
      <c r="B585" t="inlineStr">
        <is>
          <t>avverkningsanmälan</t>
        </is>
      </c>
      <c r="C585" t="inlineStr">
        <is>
          <t>Föryngringsavverkning</t>
        </is>
      </c>
      <c r="D585" s="1" t="n">
        <v>45107</v>
      </c>
      <c r="E585" s="1" t="n">
        <v>46218</v>
      </c>
      <c r="F585" t="inlineStr">
        <is>
          <t>DALARNAS LÄN</t>
        </is>
      </c>
      <c r="G585" t="inlineStr">
        <is>
          <t>RÄTTVIK</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25783-2023</t>
        </is>
      </c>
      <c r="B586" t="inlineStr">
        <is>
          <t>avverkningsanmälan</t>
        </is>
      </c>
      <c r="C586" t="inlineStr">
        <is>
          <t>Föryngringsavverkning</t>
        </is>
      </c>
      <c r="D586" s="1" t="n">
        <v>45090</v>
      </c>
      <c r="E586" s="1" t="n">
        <v>46218</v>
      </c>
      <c r="F586" t="inlineStr">
        <is>
          <t>DALARNAS LÄN</t>
        </is>
      </c>
      <c r="G586" t="inlineStr">
        <is>
          <t>RÄTTVIK</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57820-2025</t>
        </is>
      </c>
      <c r="B587" t="inlineStr">
        <is>
          <t>avverkningsanmälan</t>
        </is>
      </c>
      <c r="C587" t="inlineStr">
        <is>
          <t>Föryngringsavverkning</t>
        </is>
      </c>
      <c r="D587" s="1" t="n">
        <v>45981</v>
      </c>
      <c r="E587" s="1" t="n">
        <v>46218</v>
      </c>
      <c r="F587" t="inlineStr">
        <is>
          <t>DALARNAS LÄN</t>
        </is>
      </c>
      <c r="G587" t="inlineStr">
        <is>
          <t>RÄTTVIK</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40570-2022</t>
        </is>
      </c>
      <c r="B588" t="inlineStr">
        <is>
          <t>avverkningsanmälan</t>
        </is>
      </c>
      <c r="C588" t="inlineStr">
        <is>
          <t>Föryngringsavverkning</t>
        </is>
      </c>
      <c r="D588" s="1" t="n">
        <v>44823</v>
      </c>
      <c r="E588" s="1" t="n">
        <v>46218</v>
      </c>
      <c r="F588" t="inlineStr">
        <is>
          <t>DALARNAS LÄN</t>
        </is>
      </c>
      <c r="G588" t="inlineStr">
        <is>
          <t>RÄTTVIK</t>
        </is>
      </c>
      <c r="I588" t="n">
        <v>5.1</v>
      </c>
      <c r="J588" t="n">
        <v>0</v>
      </c>
      <c r="K588" t="n">
        <v>0</v>
      </c>
      <c r="L588" t="n">
        <v>0</v>
      </c>
      <c r="M588" t="n">
        <v>0</v>
      </c>
      <c r="N588" t="n">
        <v>0</v>
      </c>
      <c r="O588" t="n">
        <v>0</v>
      </c>
      <c r="P588" t="n">
        <v>0</v>
      </c>
      <c r="Q588" t="n">
        <v>0</v>
      </c>
      <c r="R588" t="n">
        <v>0</v>
      </c>
      <c r="S588" t="n">
        <v>0</v>
      </c>
      <c r="T588" t="n">
        <v>0</v>
      </c>
      <c r="U588" s="2" t="inlineStr"/>
    </row>
    <row r="589" ht="15" customHeight="1">
      <c r="A589" t="inlineStr">
        <is>
          <t>A 38633-2022</t>
        </is>
      </c>
      <c r="B589" t="inlineStr">
        <is>
          <t>avverkningsanmälan</t>
        </is>
      </c>
      <c r="C589" t="inlineStr">
        <is>
          <t>Föryngringsavverkning</t>
        </is>
      </c>
      <c r="D589" s="1" t="n">
        <v>44813</v>
      </c>
      <c r="E589" s="1" t="n">
        <v>46218</v>
      </c>
      <c r="F589" t="inlineStr">
        <is>
          <t>DALARNAS LÄN</t>
        </is>
      </c>
      <c r="G589" t="inlineStr">
        <is>
          <t>RÄTTVIK</t>
        </is>
      </c>
      <c r="H589" t="inlineStr">
        <is>
          <t>Sveaskog</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53666-2024</t>
        </is>
      </c>
      <c r="B590" t="inlineStr">
        <is>
          <t>avverkningsanmälan</t>
        </is>
      </c>
      <c r="C590" t="inlineStr">
        <is>
          <t>Föryngringsavverkning</t>
        </is>
      </c>
      <c r="D590" s="1" t="n">
        <v>45615</v>
      </c>
      <c r="E590" s="1" t="n">
        <v>46218</v>
      </c>
      <c r="F590" t="inlineStr">
        <is>
          <t>DALARNAS LÄN</t>
        </is>
      </c>
      <c r="G590" t="inlineStr">
        <is>
          <t>RÄTTVIK</t>
        </is>
      </c>
      <c r="I590" t="n">
        <v>9.5</v>
      </c>
      <c r="J590" t="n">
        <v>0</v>
      </c>
      <c r="K590" t="n">
        <v>0</v>
      </c>
      <c r="L590" t="n">
        <v>0</v>
      </c>
      <c r="M590" t="n">
        <v>0</v>
      </c>
      <c r="N590" t="n">
        <v>0</v>
      </c>
      <c r="O590" t="n">
        <v>0</v>
      </c>
      <c r="P590" t="n">
        <v>0</v>
      </c>
      <c r="Q590" t="n">
        <v>0</v>
      </c>
      <c r="R590" t="n">
        <v>0</v>
      </c>
      <c r="S590" t="n">
        <v>0</v>
      </c>
      <c r="T590" t="n">
        <v>0</v>
      </c>
      <c r="U590" s="2" t="inlineStr"/>
    </row>
    <row r="591" ht="15" customHeight="1">
      <c r="A591" t="inlineStr">
        <is>
          <t>A 29695-2025</t>
        </is>
      </c>
      <c r="B591" t="inlineStr">
        <is>
          <t>avverkningsanmälan</t>
        </is>
      </c>
      <c r="C591" t="inlineStr">
        <is>
          <t>Föryngringsavverkning</t>
        </is>
      </c>
      <c r="D591" s="1" t="n">
        <v>45825</v>
      </c>
      <c r="E591" s="1" t="n">
        <v>46218</v>
      </c>
      <c r="F591" t="inlineStr">
        <is>
          <t>DALARNAS LÄN</t>
        </is>
      </c>
      <c r="G591" t="inlineStr">
        <is>
          <t>RÄTTVIK</t>
        </is>
      </c>
      <c r="I591" t="n">
        <v>2.2</v>
      </c>
      <c r="J591" t="n">
        <v>0</v>
      </c>
      <c r="K591" t="n">
        <v>0</v>
      </c>
      <c r="L591" t="n">
        <v>0</v>
      </c>
      <c r="M591" t="n">
        <v>0</v>
      </c>
      <c r="N591" t="n">
        <v>0</v>
      </c>
      <c r="O591" t="n">
        <v>0</v>
      </c>
      <c r="P591" t="n">
        <v>0</v>
      </c>
      <c r="Q591" t="n">
        <v>0</v>
      </c>
      <c r="R591" t="n">
        <v>0</v>
      </c>
      <c r="S591" t="n">
        <v>0</v>
      </c>
      <c r="T591" t="n">
        <v>0</v>
      </c>
      <c r="U591" s="2" t="inlineStr"/>
    </row>
    <row r="592" ht="15" customHeight="1">
      <c r="A592" t="inlineStr">
        <is>
          <t>A 29521-2025</t>
        </is>
      </c>
      <c r="B592" t="inlineStr">
        <is>
          <t>avverkningsanmälan</t>
        </is>
      </c>
      <c r="C592" t="inlineStr">
        <is>
          <t>Föryngringsavverkning</t>
        </is>
      </c>
      <c r="D592" s="1" t="n">
        <v>45825</v>
      </c>
      <c r="E592" s="1" t="n">
        <v>46218</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s="2" t="inlineStr"/>
    </row>
    <row r="593" ht="15" customHeight="1">
      <c r="A593" t="inlineStr">
        <is>
          <t>A 2270-2024</t>
        </is>
      </c>
      <c r="B593" t="inlineStr">
        <is>
          <t>avverkningsanmälan</t>
        </is>
      </c>
      <c r="C593" t="inlineStr">
        <is>
          <t>Föryngringsavverkning</t>
        </is>
      </c>
      <c r="D593" s="1" t="n">
        <v>45310</v>
      </c>
      <c r="E593" s="1" t="n">
        <v>46218</v>
      </c>
      <c r="F593" t="inlineStr">
        <is>
          <t>DALARNAS LÄN</t>
        </is>
      </c>
      <c r="G593" t="inlineStr">
        <is>
          <t>RÄTTVIK</t>
        </is>
      </c>
      <c r="I593" t="n">
        <v>0.3</v>
      </c>
      <c r="J593" t="n">
        <v>0</v>
      </c>
      <c r="K593" t="n">
        <v>0</v>
      </c>
      <c r="L593" t="n">
        <v>0</v>
      </c>
      <c r="M593" t="n">
        <v>0</v>
      </c>
      <c r="N593" t="n">
        <v>0</v>
      </c>
      <c r="O593" t="n">
        <v>0</v>
      </c>
      <c r="P593" t="n">
        <v>0</v>
      </c>
      <c r="Q593" t="n">
        <v>0</v>
      </c>
      <c r="R593" t="n">
        <v>0</v>
      </c>
      <c r="S593" t="n">
        <v>0</v>
      </c>
      <c r="T593" t="n">
        <v>0</v>
      </c>
      <c r="U593" s="2" t="inlineStr"/>
    </row>
    <row r="594" ht="15" customHeight="1">
      <c r="A594" t="inlineStr">
        <is>
          <t>A 58317-2025</t>
        </is>
      </c>
      <c r="B594" t="inlineStr">
        <is>
          <t>avverkningsanmälan</t>
        </is>
      </c>
      <c r="C594" t="inlineStr">
        <is>
          <t>Föryngringsavverkning</t>
        </is>
      </c>
      <c r="D594" s="1" t="n">
        <v>45985</v>
      </c>
      <c r="E594" s="1" t="n">
        <v>46218</v>
      </c>
      <c r="F594" t="inlineStr">
        <is>
          <t>DALARNAS LÄN</t>
        </is>
      </c>
      <c r="G594" t="inlineStr">
        <is>
          <t>RÄTTVIK</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29519-2025</t>
        </is>
      </c>
      <c r="B595" t="inlineStr">
        <is>
          <t>avverkningsanmälan</t>
        </is>
      </c>
      <c r="C595" t="inlineStr">
        <is>
          <t>Föryngringsavverkning</t>
        </is>
      </c>
      <c r="D595" s="1" t="n">
        <v>45825</v>
      </c>
      <c r="E595" s="1" t="n">
        <v>46218</v>
      </c>
      <c r="F595" t="inlineStr">
        <is>
          <t>DALARNAS LÄN</t>
        </is>
      </c>
      <c r="G595" t="inlineStr">
        <is>
          <t>RÄTTVIK</t>
        </is>
      </c>
      <c r="I595" t="n">
        <v>6.8</v>
      </c>
      <c r="J595" t="n">
        <v>0</v>
      </c>
      <c r="K595" t="n">
        <v>0</v>
      </c>
      <c r="L595" t="n">
        <v>0</v>
      </c>
      <c r="M595" t="n">
        <v>0</v>
      </c>
      <c r="N595" t="n">
        <v>0</v>
      </c>
      <c r="O595" t="n">
        <v>0</v>
      </c>
      <c r="P595" t="n">
        <v>0</v>
      </c>
      <c r="Q595" t="n">
        <v>0</v>
      </c>
      <c r="R595" t="n">
        <v>0</v>
      </c>
      <c r="S595" t="n">
        <v>0</v>
      </c>
      <c r="T595" t="n">
        <v>0</v>
      </c>
      <c r="U595" s="2" t="inlineStr"/>
    </row>
    <row r="596" ht="15" customHeight="1">
      <c r="A596" t="inlineStr">
        <is>
          <t>A 29676-2025</t>
        </is>
      </c>
      <c r="B596" t="inlineStr">
        <is>
          <t>avverkningsanmälan</t>
        </is>
      </c>
      <c r="C596" t="inlineStr">
        <is>
          <t>Föryngringsavverkning</t>
        </is>
      </c>
      <c r="D596" s="1" t="n">
        <v>45825</v>
      </c>
      <c r="E596" s="1" t="n">
        <v>46218</v>
      </c>
      <c r="F596" t="inlineStr">
        <is>
          <t>DALARNAS LÄN</t>
        </is>
      </c>
      <c r="G596" t="inlineStr">
        <is>
          <t>RÄTTVIK</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29289-2025</t>
        </is>
      </c>
      <c r="B597" t="inlineStr">
        <is>
          <t>avverkningsanmälan</t>
        </is>
      </c>
      <c r="C597" t="inlineStr">
        <is>
          <t>Föryngringsavverkning</t>
        </is>
      </c>
      <c r="D597" s="1" t="n">
        <v>45824</v>
      </c>
      <c r="E597" s="1" t="n">
        <v>46218</v>
      </c>
      <c r="F597" t="inlineStr">
        <is>
          <t>DALARNAS LÄN</t>
        </is>
      </c>
      <c r="G597" t="inlineStr">
        <is>
          <t>RÄTTVIK</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29360-2025</t>
        </is>
      </c>
      <c r="B598" t="inlineStr">
        <is>
          <t>avverkningsanmälan</t>
        </is>
      </c>
      <c r="C598" t="inlineStr">
        <is>
          <t>Föryngringsavverkning</t>
        </is>
      </c>
      <c r="D598" s="1" t="n">
        <v>45824</v>
      </c>
      <c r="E598" s="1" t="n">
        <v>46218</v>
      </c>
      <c r="F598" t="inlineStr">
        <is>
          <t>DALARNAS LÄN</t>
        </is>
      </c>
      <c r="G598" t="inlineStr">
        <is>
          <t>RÄTTVIK</t>
        </is>
      </c>
      <c r="I598" t="n">
        <v>3.9</v>
      </c>
      <c r="J598" t="n">
        <v>0</v>
      </c>
      <c r="K598" t="n">
        <v>0</v>
      </c>
      <c r="L598" t="n">
        <v>0</v>
      </c>
      <c r="M598" t="n">
        <v>0</v>
      </c>
      <c r="N598" t="n">
        <v>0</v>
      </c>
      <c r="O598" t="n">
        <v>0</v>
      </c>
      <c r="P598" t="n">
        <v>0</v>
      </c>
      <c r="Q598" t="n">
        <v>0</v>
      </c>
      <c r="R598" t="n">
        <v>0</v>
      </c>
      <c r="S598" t="n">
        <v>0</v>
      </c>
      <c r="T598" t="n">
        <v>0</v>
      </c>
      <c r="U598" s="2" t="inlineStr"/>
    </row>
    <row r="599" ht="15" customHeight="1">
      <c r="A599" t="inlineStr">
        <is>
          <t>A 49493-2024</t>
        </is>
      </c>
      <c r="B599" t="inlineStr">
        <is>
          <t>avverkningsanmälan</t>
        </is>
      </c>
      <c r="C599" t="inlineStr">
        <is>
          <t>Föryngringsavverkning</t>
        </is>
      </c>
      <c r="D599" s="1" t="n">
        <v>45596</v>
      </c>
      <c r="E599" s="1" t="n">
        <v>46218</v>
      </c>
      <c r="F599" t="inlineStr">
        <is>
          <t>DALARNAS LÄN</t>
        </is>
      </c>
      <c r="G599" t="inlineStr">
        <is>
          <t>RÄTTVIK</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50186-2025</t>
        </is>
      </c>
      <c r="B600" t="inlineStr">
        <is>
          <t>avverkningsanmälan</t>
        </is>
      </c>
      <c r="C600" t="inlineStr">
        <is>
          <t>Föryngringsavverkning</t>
        </is>
      </c>
      <c r="D600" s="1" t="n">
        <v>45943</v>
      </c>
      <c r="E600" s="1" t="n">
        <v>46218</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31556-2022</t>
        </is>
      </c>
      <c r="B601" t="inlineStr">
        <is>
          <t>avverkningsanmälan</t>
        </is>
      </c>
      <c r="C601" t="inlineStr">
        <is>
          <t>Föryngringsavverkning</t>
        </is>
      </c>
      <c r="D601" s="1" t="n">
        <v>44775</v>
      </c>
      <c r="E601" s="1" t="n">
        <v>46218</v>
      </c>
      <c r="F601" t="inlineStr">
        <is>
          <t>DALARNAS LÄN</t>
        </is>
      </c>
      <c r="G601" t="inlineStr">
        <is>
          <t>RÄTTVIK</t>
        </is>
      </c>
      <c r="I601" t="n">
        <v>3.4</v>
      </c>
      <c r="J601" t="n">
        <v>0</v>
      </c>
      <c r="K601" t="n">
        <v>0</v>
      </c>
      <c r="L601" t="n">
        <v>0</v>
      </c>
      <c r="M601" t="n">
        <v>0</v>
      </c>
      <c r="N601" t="n">
        <v>0</v>
      </c>
      <c r="O601" t="n">
        <v>0</v>
      </c>
      <c r="P601" t="n">
        <v>0</v>
      </c>
      <c r="Q601" t="n">
        <v>0</v>
      </c>
      <c r="R601" t="n">
        <v>0</v>
      </c>
      <c r="S601" t="n">
        <v>0</v>
      </c>
      <c r="T601" t="n">
        <v>0</v>
      </c>
      <c r="U601" s="2" t="inlineStr"/>
    </row>
    <row r="602" ht="15" customHeight="1">
      <c r="A602" t="inlineStr">
        <is>
          <t>A 33118-2025</t>
        </is>
      </c>
      <c r="B602" t="inlineStr">
        <is>
          <t>avverkningsanmälan</t>
        </is>
      </c>
      <c r="C602" t="inlineStr">
        <is>
          <t>Föryngringsavverkning</t>
        </is>
      </c>
      <c r="D602" s="1" t="n">
        <v>45840</v>
      </c>
      <c r="E602" s="1" t="n">
        <v>46218</v>
      </c>
      <c r="F602" t="inlineStr">
        <is>
          <t>DALARNAS LÄN</t>
        </is>
      </c>
      <c r="G602" t="inlineStr">
        <is>
          <t>RÄTTVIK</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39291-2024</t>
        </is>
      </c>
      <c r="B603" t="inlineStr">
        <is>
          <t>avverkningsanmälan</t>
        </is>
      </c>
      <c r="C603" t="inlineStr">
        <is>
          <t>Föryngringsavverkning</t>
        </is>
      </c>
      <c r="D603" s="1" t="n">
        <v>45551</v>
      </c>
      <c r="E603" s="1" t="n">
        <v>46218</v>
      </c>
      <c r="F603" t="inlineStr">
        <is>
          <t>DALARNAS LÄN</t>
        </is>
      </c>
      <c r="G603" t="inlineStr">
        <is>
          <t>RÄTTVIK</t>
        </is>
      </c>
      <c r="I603" t="n">
        <v>4</v>
      </c>
      <c r="J603" t="n">
        <v>0</v>
      </c>
      <c r="K603" t="n">
        <v>0</v>
      </c>
      <c r="L603" t="n">
        <v>0</v>
      </c>
      <c r="M603" t="n">
        <v>0</v>
      </c>
      <c r="N603" t="n">
        <v>0</v>
      </c>
      <c r="O603" t="n">
        <v>0</v>
      </c>
      <c r="P603" t="n">
        <v>0</v>
      </c>
      <c r="Q603" t="n">
        <v>0</v>
      </c>
      <c r="R603" t="n">
        <v>0</v>
      </c>
      <c r="S603" t="n">
        <v>0</v>
      </c>
      <c r="T603" t="n">
        <v>0</v>
      </c>
      <c r="U603" s="2" t="inlineStr"/>
    </row>
    <row r="604" ht="15" customHeight="1">
      <c r="A604" t="inlineStr">
        <is>
          <t>A 21882-2024</t>
        </is>
      </c>
      <c r="B604" t="inlineStr">
        <is>
          <t>avverkningsanmälan</t>
        </is>
      </c>
      <c r="C604" t="inlineStr">
        <is>
          <t>Föryngringsavverkning</t>
        </is>
      </c>
      <c r="D604" s="1" t="n">
        <v>45443</v>
      </c>
      <c r="E604" s="1" t="n">
        <v>46218</v>
      </c>
      <c r="F604" t="inlineStr">
        <is>
          <t>DALARNAS LÄN</t>
        </is>
      </c>
      <c r="G604" t="inlineStr">
        <is>
          <t>RÄTTVIK</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1797-2024</t>
        </is>
      </c>
      <c r="B605" t="inlineStr">
        <is>
          <t>avverkningsanmälan</t>
        </is>
      </c>
      <c r="C605" t="inlineStr">
        <is>
          <t>Föryngringsavverkning</t>
        </is>
      </c>
      <c r="D605" s="1" t="n">
        <v>45307</v>
      </c>
      <c r="E605" s="1" t="n">
        <v>46218</v>
      </c>
      <c r="F605" t="inlineStr">
        <is>
          <t>DALARNAS LÄN</t>
        </is>
      </c>
      <c r="G605" t="inlineStr">
        <is>
          <t>RÄTTVIK</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28938-2024</t>
        </is>
      </c>
      <c r="B606" t="inlineStr">
        <is>
          <t>avverkningsanmälan</t>
        </is>
      </c>
      <c r="C606" t="inlineStr">
        <is>
          <t>Föryngringsavverkning</t>
        </is>
      </c>
      <c r="D606" s="1" t="n">
        <v>45481</v>
      </c>
      <c r="E606" s="1" t="n">
        <v>46218</v>
      </c>
      <c r="F606" t="inlineStr">
        <is>
          <t>DALARNAS LÄN</t>
        </is>
      </c>
      <c r="G606" t="inlineStr">
        <is>
          <t>RÄTTVIK</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29943-2025</t>
        </is>
      </c>
      <c r="B607" t="inlineStr">
        <is>
          <t>avverkningsanmälan</t>
        </is>
      </c>
      <c r="C607" t="inlineStr">
        <is>
          <t>Föryngringsavverkning</t>
        </is>
      </c>
      <c r="D607" s="1" t="n">
        <v>45826</v>
      </c>
      <c r="E607" s="1" t="n">
        <v>46218</v>
      </c>
      <c r="F607" t="inlineStr">
        <is>
          <t>DALARNAS LÄN</t>
        </is>
      </c>
      <c r="G607" t="inlineStr">
        <is>
          <t>RÄTTVIK</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58381-2025</t>
        </is>
      </c>
      <c r="B608" t="inlineStr">
        <is>
          <t>avverkningsanmälan</t>
        </is>
      </c>
      <c r="C608" t="inlineStr">
        <is>
          <t>Föryngringsavverkning</t>
        </is>
      </c>
      <c r="D608" s="1" t="n">
        <v>45985</v>
      </c>
      <c r="E608" s="1" t="n">
        <v>46218</v>
      </c>
      <c r="F608" t="inlineStr">
        <is>
          <t>DALARNAS LÄN</t>
        </is>
      </c>
      <c r="G608" t="inlineStr">
        <is>
          <t>RÄTTVIK</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53968-2025</t>
        </is>
      </c>
      <c r="B609" t="inlineStr">
        <is>
          <t>avverkningsanmälan</t>
        </is>
      </c>
      <c r="C609" t="inlineStr">
        <is>
          <t>Föryngringsavverkning</t>
        </is>
      </c>
      <c r="D609" s="1" t="n">
        <v>45961</v>
      </c>
      <c r="E609" s="1" t="n">
        <v>46218</v>
      </c>
      <c r="F609" t="inlineStr">
        <is>
          <t>DALARNAS LÄN</t>
        </is>
      </c>
      <c r="G609" t="inlineStr">
        <is>
          <t>RÄTTVIK</t>
        </is>
      </c>
      <c r="H609" t="inlineStr">
        <is>
          <t>Övriga statliga verk och myndigheter</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55416-2024</t>
        </is>
      </c>
      <c r="B610" t="inlineStr">
        <is>
          <t>avverkningsanmälan</t>
        </is>
      </c>
      <c r="C610" t="inlineStr">
        <is>
          <t>Föryngringsavverkning</t>
        </is>
      </c>
      <c r="D610" s="1" t="n">
        <v>45621</v>
      </c>
      <c r="E610" s="1" t="n">
        <v>46218</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3261-2025</t>
        </is>
      </c>
      <c r="B611" t="inlineStr">
        <is>
          <t>avverkningsanmälan</t>
        </is>
      </c>
      <c r="C611" t="inlineStr">
        <is>
          <t>Föryngringsavverkning</t>
        </is>
      </c>
      <c r="D611" s="1" t="n">
        <v>45679</v>
      </c>
      <c r="E611" s="1" t="n">
        <v>46218</v>
      </c>
      <c r="F611" t="inlineStr">
        <is>
          <t>DALARNAS LÄN</t>
        </is>
      </c>
      <c r="G611" t="inlineStr">
        <is>
          <t>RÄTTVIK</t>
        </is>
      </c>
      <c r="I611" t="n">
        <v>4.3</v>
      </c>
      <c r="J611" t="n">
        <v>0</v>
      </c>
      <c r="K611" t="n">
        <v>0</v>
      </c>
      <c r="L611" t="n">
        <v>0</v>
      </c>
      <c r="M611" t="n">
        <v>0</v>
      </c>
      <c r="N611" t="n">
        <v>0</v>
      </c>
      <c r="O611" t="n">
        <v>0</v>
      </c>
      <c r="P611" t="n">
        <v>0</v>
      </c>
      <c r="Q611" t="n">
        <v>0</v>
      </c>
      <c r="R611" t="n">
        <v>0</v>
      </c>
      <c r="S611" t="n">
        <v>0</v>
      </c>
      <c r="T611" t="n">
        <v>0</v>
      </c>
      <c r="U611" s="2" t="inlineStr"/>
    </row>
    <row r="612" ht="15" customHeight="1">
      <c r="A612" t="inlineStr">
        <is>
          <t>A 47031-2024</t>
        </is>
      </c>
      <c r="B612" t="inlineStr">
        <is>
          <t>avverkningsanmälan</t>
        </is>
      </c>
      <c r="C612" t="inlineStr">
        <is>
          <t>Föryngringsavverkning</t>
        </is>
      </c>
      <c r="D612" s="1" t="n">
        <v>45586</v>
      </c>
      <c r="E612" s="1" t="n">
        <v>46218</v>
      </c>
      <c r="F612" t="inlineStr">
        <is>
          <t>DALARNAS LÄN</t>
        </is>
      </c>
      <c r="G612" t="inlineStr">
        <is>
          <t>RÄTTVIK</t>
        </is>
      </c>
      <c r="I612" t="n">
        <v>2.3</v>
      </c>
      <c r="J612" t="n">
        <v>0</v>
      </c>
      <c r="K612" t="n">
        <v>0</v>
      </c>
      <c r="L612" t="n">
        <v>0</v>
      </c>
      <c r="M612" t="n">
        <v>0</v>
      </c>
      <c r="N612" t="n">
        <v>0</v>
      </c>
      <c r="O612" t="n">
        <v>0</v>
      </c>
      <c r="P612" t="n">
        <v>0</v>
      </c>
      <c r="Q612" t="n">
        <v>0</v>
      </c>
      <c r="R612" t="n">
        <v>0</v>
      </c>
      <c r="S612" t="n">
        <v>0</v>
      </c>
      <c r="T612" t="n">
        <v>0</v>
      </c>
      <c r="U612" s="2" t="inlineStr"/>
    </row>
    <row r="613" ht="15" customHeight="1">
      <c r="A613" t="inlineStr">
        <is>
          <t>A 5272-2026</t>
        </is>
      </c>
      <c r="B613" t="inlineStr">
        <is>
          <t>avverkningsanmälan</t>
        </is>
      </c>
      <c r="C613" t="inlineStr">
        <is>
          <t>Föryngringsavverkning</t>
        </is>
      </c>
      <c r="D613" s="1" t="n">
        <v>46050</v>
      </c>
      <c r="E613" s="1" t="n">
        <v>46218</v>
      </c>
      <c r="F613" t="inlineStr">
        <is>
          <t>DALARNAS LÄN</t>
        </is>
      </c>
      <c r="G613" t="inlineStr">
        <is>
          <t>RÄTTVIK</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60455-2022</t>
        </is>
      </c>
      <c r="B614" t="inlineStr">
        <is>
          <t>avverkningsanmälan</t>
        </is>
      </c>
      <c r="C614" t="inlineStr">
        <is>
          <t>Föryngringsavverkning</t>
        </is>
      </c>
      <c r="D614" s="1" t="n">
        <v>44911</v>
      </c>
      <c r="E614" s="1" t="n">
        <v>46218</v>
      </c>
      <c r="F614" t="inlineStr">
        <is>
          <t>DALARNAS LÄN</t>
        </is>
      </c>
      <c r="G614" t="inlineStr">
        <is>
          <t>RÄTTVIK</t>
        </is>
      </c>
      <c r="I614" t="n">
        <v>4.7</v>
      </c>
      <c r="J614" t="n">
        <v>0</v>
      </c>
      <c r="K614" t="n">
        <v>0</v>
      </c>
      <c r="L614" t="n">
        <v>0</v>
      </c>
      <c r="M614" t="n">
        <v>0</v>
      </c>
      <c r="N614" t="n">
        <v>0</v>
      </c>
      <c r="O614" t="n">
        <v>0</v>
      </c>
      <c r="P614" t="n">
        <v>0</v>
      </c>
      <c r="Q614" t="n">
        <v>0</v>
      </c>
      <c r="R614" t="n">
        <v>0</v>
      </c>
      <c r="S614" t="n">
        <v>0</v>
      </c>
      <c r="T614" t="n">
        <v>0</v>
      </c>
      <c r="U614" s="2" t="inlineStr"/>
    </row>
    <row r="615" ht="15" customHeight="1">
      <c r="A615" t="inlineStr">
        <is>
          <t>A 58275-2025</t>
        </is>
      </c>
      <c r="B615" t="inlineStr">
        <is>
          <t>avverkningsanmälan</t>
        </is>
      </c>
      <c r="C615" t="inlineStr">
        <is>
          <t>Föryngringsavverkning</t>
        </is>
      </c>
      <c r="D615" s="1" t="n">
        <v>45985</v>
      </c>
      <c r="E615" s="1" t="n">
        <v>46218</v>
      </c>
      <c r="F615" t="inlineStr">
        <is>
          <t>DALARNAS LÄN</t>
        </is>
      </c>
      <c r="G615" t="inlineStr">
        <is>
          <t>RÄTTVIK</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58260-2025</t>
        </is>
      </c>
      <c r="B616" t="inlineStr">
        <is>
          <t>avverkningsanmälan</t>
        </is>
      </c>
      <c r="C616" t="inlineStr">
        <is>
          <t>Föryngringsavverkning</t>
        </is>
      </c>
      <c r="D616" s="1" t="n">
        <v>45985</v>
      </c>
      <c r="E616" s="1" t="n">
        <v>46218</v>
      </c>
      <c r="F616" t="inlineStr">
        <is>
          <t>DALARNAS LÄN</t>
        </is>
      </c>
      <c r="G616" t="inlineStr">
        <is>
          <t>RÄTTVIK</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A 41451-2024</t>
        </is>
      </c>
      <c r="B617" t="inlineStr">
        <is>
          <t>avverkningsanmälan</t>
        </is>
      </c>
      <c r="C617" t="inlineStr">
        <is>
          <t>Föryngringsavverkning</t>
        </is>
      </c>
      <c r="D617" s="1" t="n">
        <v>45560</v>
      </c>
      <c r="E617" s="1" t="n">
        <v>46218</v>
      </c>
      <c r="F617" t="inlineStr">
        <is>
          <t>DALARNAS LÄN</t>
        </is>
      </c>
      <c r="G617" t="inlineStr">
        <is>
          <t>RÄTTVIK</t>
        </is>
      </c>
      <c r="I617" t="n">
        <v>1.6</v>
      </c>
      <c r="J617" t="n">
        <v>0</v>
      </c>
      <c r="K617" t="n">
        <v>0</v>
      </c>
      <c r="L617" t="n">
        <v>0</v>
      </c>
      <c r="M617" t="n">
        <v>0</v>
      </c>
      <c r="N617" t="n">
        <v>0</v>
      </c>
      <c r="O617" t="n">
        <v>0</v>
      </c>
      <c r="P617" t="n">
        <v>0</v>
      </c>
      <c r="Q617" t="n">
        <v>0</v>
      </c>
      <c r="R617" t="n">
        <v>0</v>
      </c>
      <c r="S617" t="n">
        <v>0</v>
      </c>
      <c r="T617" t="n">
        <v>0</v>
      </c>
      <c r="U617" s="2" t="inlineStr"/>
    </row>
    <row r="618" ht="15" customHeight="1">
      <c r="A618" t="inlineStr">
        <is>
          <t>A 31260-2025</t>
        </is>
      </c>
      <c r="B618" t="inlineStr">
        <is>
          <t>avverkningsanmälan</t>
        </is>
      </c>
      <c r="C618" t="inlineStr">
        <is>
          <t>Föryngringsavverkning</t>
        </is>
      </c>
      <c r="D618" s="1" t="n">
        <v>45833</v>
      </c>
      <c r="E618" s="1" t="n">
        <v>46218</v>
      </c>
      <c r="F618" t="inlineStr">
        <is>
          <t>DALARNAS LÄN</t>
        </is>
      </c>
      <c r="G618" t="inlineStr">
        <is>
          <t>RÄTTVIK</t>
        </is>
      </c>
      <c r="I618" t="n">
        <v>1.4</v>
      </c>
      <c r="J618" t="n">
        <v>0</v>
      </c>
      <c r="K618" t="n">
        <v>0</v>
      </c>
      <c r="L618" t="n">
        <v>0</v>
      </c>
      <c r="M618" t="n">
        <v>0</v>
      </c>
      <c r="N618" t="n">
        <v>0</v>
      </c>
      <c r="O618" t="n">
        <v>0</v>
      </c>
      <c r="P618" t="n">
        <v>0</v>
      </c>
      <c r="Q618" t="n">
        <v>0</v>
      </c>
      <c r="R618" t="n">
        <v>0</v>
      </c>
      <c r="S618" t="n">
        <v>0</v>
      </c>
      <c r="T618" t="n">
        <v>0</v>
      </c>
      <c r="U618" s="2" t="inlineStr"/>
    </row>
    <row r="619" ht="15" customHeight="1">
      <c r="A619" t="inlineStr">
        <is>
          <t>A 31297-2025</t>
        </is>
      </c>
      <c r="B619" t="inlineStr">
        <is>
          <t>avverkningsanmälan</t>
        </is>
      </c>
      <c r="C619" t="inlineStr">
        <is>
          <t>Föryngringsavverkning</t>
        </is>
      </c>
      <c r="D619" s="1" t="n">
        <v>45833</v>
      </c>
      <c r="E619" s="1" t="n">
        <v>46218</v>
      </c>
      <c r="F619" t="inlineStr">
        <is>
          <t>DALARNAS LÄN</t>
        </is>
      </c>
      <c r="G619" t="inlineStr">
        <is>
          <t>RÄTTVIK</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31300-2025</t>
        </is>
      </c>
      <c r="B620" t="inlineStr">
        <is>
          <t>avverkningsanmälan</t>
        </is>
      </c>
      <c r="C620" t="inlineStr">
        <is>
          <t>Föryngringsavverkning</t>
        </is>
      </c>
      <c r="D620" s="1" t="n">
        <v>45833</v>
      </c>
      <c r="E620" s="1" t="n">
        <v>46218</v>
      </c>
      <c r="F620" t="inlineStr">
        <is>
          <t>DALARNAS LÄN</t>
        </is>
      </c>
      <c r="G620" t="inlineStr">
        <is>
          <t>RÄTTVIK</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58273-2025</t>
        </is>
      </c>
      <c r="B621" t="inlineStr">
        <is>
          <t>avverkningsanmälan</t>
        </is>
      </c>
      <c r="C621" t="inlineStr">
        <is>
          <t>Föryngringsavverkning</t>
        </is>
      </c>
      <c r="D621" s="1" t="n">
        <v>45985</v>
      </c>
      <c r="E621" s="1" t="n">
        <v>46218</v>
      </c>
      <c r="F621" t="inlineStr">
        <is>
          <t>DALARNAS LÄN</t>
        </is>
      </c>
      <c r="G621" t="inlineStr">
        <is>
          <t>RÄTTVIK</t>
        </is>
      </c>
      <c r="I621" t="n">
        <v>2.9</v>
      </c>
      <c r="J621" t="n">
        <v>0</v>
      </c>
      <c r="K621" t="n">
        <v>0</v>
      </c>
      <c r="L621" t="n">
        <v>0</v>
      </c>
      <c r="M621" t="n">
        <v>0</v>
      </c>
      <c r="N621" t="n">
        <v>0</v>
      </c>
      <c r="O621" t="n">
        <v>0</v>
      </c>
      <c r="P621" t="n">
        <v>0</v>
      </c>
      <c r="Q621" t="n">
        <v>0</v>
      </c>
      <c r="R621" t="n">
        <v>0</v>
      </c>
      <c r="S621" t="n">
        <v>0</v>
      </c>
      <c r="T621" t="n">
        <v>0</v>
      </c>
      <c r="U621" s="2" t="inlineStr"/>
    </row>
    <row r="622" ht="15" customHeight="1">
      <c r="A622" t="inlineStr">
        <is>
          <t>A 58361-2025</t>
        </is>
      </c>
      <c r="B622" t="inlineStr">
        <is>
          <t>avverkningsanmälan</t>
        </is>
      </c>
      <c r="C622" t="inlineStr">
        <is>
          <t>Föryngringsavverkning</t>
        </is>
      </c>
      <c r="D622" s="1" t="n">
        <v>45985</v>
      </c>
      <c r="E622" s="1" t="n">
        <v>46218</v>
      </c>
      <c r="F622" t="inlineStr">
        <is>
          <t>DALARNAS LÄN</t>
        </is>
      </c>
      <c r="G622" t="inlineStr">
        <is>
          <t>RÄTTVIK</t>
        </is>
      </c>
      <c r="I622" t="n">
        <v>6.7</v>
      </c>
      <c r="J622" t="n">
        <v>0</v>
      </c>
      <c r="K622" t="n">
        <v>0</v>
      </c>
      <c r="L622" t="n">
        <v>0</v>
      </c>
      <c r="M622" t="n">
        <v>0</v>
      </c>
      <c r="N622" t="n">
        <v>0</v>
      </c>
      <c r="O622" t="n">
        <v>0</v>
      </c>
      <c r="P622" t="n">
        <v>0</v>
      </c>
      <c r="Q622" t="n">
        <v>0</v>
      </c>
      <c r="R622" t="n">
        <v>0</v>
      </c>
      <c r="S622" t="n">
        <v>0</v>
      </c>
      <c r="T622" t="n">
        <v>0</v>
      </c>
      <c r="U622" s="2" t="inlineStr"/>
    </row>
    <row r="623" ht="15" customHeight="1">
      <c r="A623" t="inlineStr">
        <is>
          <t>A 20298-2026</t>
        </is>
      </c>
      <c r="B623" t="inlineStr">
        <is>
          <t>avverkningsanmälan</t>
        </is>
      </c>
      <c r="C623" t="inlineStr">
        <is>
          <t>Föryngringsavverkning</t>
        </is>
      </c>
      <c r="D623" s="1" t="n">
        <v>46139</v>
      </c>
      <c r="E623" s="1" t="n">
        <v>46218</v>
      </c>
      <c r="F623" t="inlineStr">
        <is>
          <t>DALARNAS LÄN</t>
        </is>
      </c>
      <c r="G623" t="inlineStr">
        <is>
          <t>RÄTTVIK</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31273-2025</t>
        </is>
      </c>
      <c r="B624" t="inlineStr">
        <is>
          <t>avverkningsanmälan</t>
        </is>
      </c>
      <c r="C624" t="inlineStr">
        <is>
          <t>Föryngringsavverkning</t>
        </is>
      </c>
      <c r="D624" s="1" t="n">
        <v>45833</v>
      </c>
      <c r="E624" s="1" t="n">
        <v>46218</v>
      </c>
      <c r="F624" t="inlineStr">
        <is>
          <t>DALARNAS LÄN</t>
        </is>
      </c>
      <c r="G624" t="inlineStr">
        <is>
          <t>RÄTTVIK</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31286-2025</t>
        </is>
      </c>
      <c r="B625" t="inlineStr">
        <is>
          <t>avverkningsanmälan</t>
        </is>
      </c>
      <c r="C625" t="inlineStr">
        <is>
          <t>Föryngringsavverkning</t>
        </is>
      </c>
      <c r="D625" s="1" t="n">
        <v>45833</v>
      </c>
      <c r="E625" s="1" t="n">
        <v>46218</v>
      </c>
      <c r="F625" t="inlineStr">
        <is>
          <t>DALARNAS LÄN</t>
        </is>
      </c>
      <c r="G625" t="inlineStr">
        <is>
          <t>RÄTTVIK</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31310-2025</t>
        </is>
      </c>
      <c r="B626" t="inlineStr">
        <is>
          <t>avverkningsanmälan</t>
        </is>
      </c>
      <c r="C626" t="inlineStr">
        <is>
          <t>Föryngringsavverkning</t>
        </is>
      </c>
      <c r="D626" s="1" t="n">
        <v>45833</v>
      </c>
      <c r="E626" s="1" t="n">
        <v>46218</v>
      </c>
      <c r="F626" t="inlineStr">
        <is>
          <t>DALARNAS LÄN</t>
        </is>
      </c>
      <c r="G626" t="inlineStr">
        <is>
          <t>RÄTTVIK</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10759-2026</t>
        </is>
      </c>
      <c r="B627" t="inlineStr">
        <is>
          <t>avverkningsanmälan</t>
        </is>
      </c>
      <c r="C627" t="inlineStr">
        <is>
          <t>Föryngringsavverkning</t>
        </is>
      </c>
      <c r="D627" s="1" t="n">
        <v>46078</v>
      </c>
      <c r="E627" s="1" t="n">
        <v>46218</v>
      </c>
      <c r="F627" t="inlineStr">
        <is>
          <t>DALARNAS LÄN</t>
        </is>
      </c>
      <c r="G627" t="inlineStr">
        <is>
          <t>RÄTTVIK</t>
        </is>
      </c>
      <c r="I627" t="n">
        <v>3.7</v>
      </c>
      <c r="J627" t="n">
        <v>0</v>
      </c>
      <c r="K627" t="n">
        <v>0</v>
      </c>
      <c r="L627" t="n">
        <v>0</v>
      </c>
      <c r="M627" t="n">
        <v>0</v>
      </c>
      <c r="N627" t="n">
        <v>0</v>
      </c>
      <c r="O627" t="n">
        <v>0</v>
      </c>
      <c r="P627" t="n">
        <v>0</v>
      </c>
      <c r="Q627" t="n">
        <v>0</v>
      </c>
      <c r="R627" t="n">
        <v>0</v>
      </c>
      <c r="S627" t="n">
        <v>0</v>
      </c>
      <c r="T627" t="n">
        <v>0</v>
      </c>
      <c r="U627" s="2" t="inlineStr"/>
    </row>
    <row r="628" ht="15" customHeight="1">
      <c r="A628" t="inlineStr">
        <is>
          <t>A 20615-2025</t>
        </is>
      </c>
      <c r="B628" t="inlineStr">
        <is>
          <t>avverkningsanmälan</t>
        </is>
      </c>
      <c r="C628" t="inlineStr">
        <is>
          <t>Föryngringsavverkning</t>
        </is>
      </c>
      <c r="D628" s="1" t="n">
        <v>45776</v>
      </c>
      <c r="E628" s="1" t="n">
        <v>46218</v>
      </c>
      <c r="F628" t="inlineStr">
        <is>
          <t>DALARNAS LÄN</t>
        </is>
      </c>
      <c r="G628" t="inlineStr">
        <is>
          <t>RÄTTVIK</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31976-2025</t>
        </is>
      </c>
      <c r="B629" t="inlineStr">
        <is>
          <t>avverkningsanmälan</t>
        </is>
      </c>
      <c r="C629" t="inlineStr">
        <is>
          <t>Föryngringsavverkning</t>
        </is>
      </c>
      <c r="D629" s="1" t="n">
        <v>45835</v>
      </c>
      <c r="E629" s="1" t="n">
        <v>46218</v>
      </c>
      <c r="F629" t="inlineStr">
        <is>
          <t>DALARNAS LÄN</t>
        </is>
      </c>
      <c r="G629" t="inlineStr">
        <is>
          <t>RÄTTVIK</t>
        </is>
      </c>
      <c r="H629" t="inlineStr">
        <is>
          <t>Sveaskog</t>
        </is>
      </c>
      <c r="I629" t="n">
        <v>4.6</v>
      </c>
      <c r="J629" t="n">
        <v>0</v>
      </c>
      <c r="K629" t="n">
        <v>0</v>
      </c>
      <c r="L629" t="n">
        <v>0</v>
      </c>
      <c r="M629" t="n">
        <v>0</v>
      </c>
      <c r="N629" t="n">
        <v>0</v>
      </c>
      <c r="O629" t="n">
        <v>0</v>
      </c>
      <c r="P629" t="n">
        <v>0</v>
      </c>
      <c r="Q629" t="n">
        <v>0</v>
      </c>
      <c r="R629" t="n">
        <v>0</v>
      </c>
      <c r="S629" t="n">
        <v>0</v>
      </c>
      <c r="T629" t="n">
        <v>0</v>
      </c>
      <c r="U629" s="2" t="inlineStr"/>
    </row>
    <row r="630" ht="15" customHeight="1">
      <c r="A630" t="inlineStr">
        <is>
          <t>A 32166-2025</t>
        </is>
      </c>
      <c r="B630" t="inlineStr">
        <is>
          <t>avverkningsanmälan</t>
        </is>
      </c>
      <c r="C630" t="inlineStr">
        <is>
          <t>Föryngringsavverkning</t>
        </is>
      </c>
      <c r="D630" s="1" t="n">
        <v>45835</v>
      </c>
      <c r="E630" s="1" t="n">
        <v>46218</v>
      </c>
      <c r="F630" t="inlineStr">
        <is>
          <t>DALARNAS LÄN</t>
        </is>
      </c>
      <c r="G630" t="inlineStr">
        <is>
          <t>RÄTTVIK</t>
        </is>
      </c>
      <c r="H630" t="inlineStr">
        <is>
          <t>Sveaskog</t>
        </is>
      </c>
      <c r="I630" t="n">
        <v>8.699999999999999</v>
      </c>
      <c r="J630" t="n">
        <v>0</v>
      </c>
      <c r="K630" t="n">
        <v>0</v>
      </c>
      <c r="L630" t="n">
        <v>0</v>
      </c>
      <c r="M630" t="n">
        <v>0</v>
      </c>
      <c r="N630" t="n">
        <v>0</v>
      </c>
      <c r="O630" t="n">
        <v>0</v>
      </c>
      <c r="P630" t="n">
        <v>0</v>
      </c>
      <c r="Q630" t="n">
        <v>0</v>
      </c>
      <c r="R630" t="n">
        <v>0</v>
      </c>
      <c r="S630" t="n">
        <v>0</v>
      </c>
      <c r="T630" t="n">
        <v>0</v>
      </c>
      <c r="U630" s="2" t="inlineStr"/>
    </row>
    <row r="631" ht="15" customHeight="1">
      <c r="A631" t="inlineStr">
        <is>
          <t>A 24203-2025</t>
        </is>
      </c>
      <c r="B631" t="inlineStr">
        <is>
          <t>avverkningsanmälan</t>
        </is>
      </c>
      <c r="C631" t="inlineStr">
        <is>
          <t>Föryngringsavverkning</t>
        </is>
      </c>
      <c r="D631" s="1" t="n">
        <v>45797</v>
      </c>
      <c r="E631" s="1" t="n">
        <v>46218</v>
      </c>
      <c r="F631" t="inlineStr">
        <is>
          <t>DALARNAS LÄN</t>
        </is>
      </c>
      <c r="G631" t="inlineStr">
        <is>
          <t>RÄTTVIK</t>
        </is>
      </c>
      <c r="I631" t="n">
        <v>7.6</v>
      </c>
      <c r="J631" t="n">
        <v>0</v>
      </c>
      <c r="K631" t="n">
        <v>0</v>
      </c>
      <c r="L631" t="n">
        <v>0</v>
      </c>
      <c r="M631" t="n">
        <v>0</v>
      </c>
      <c r="N631" t="n">
        <v>0</v>
      </c>
      <c r="O631" t="n">
        <v>0</v>
      </c>
      <c r="P631" t="n">
        <v>0</v>
      </c>
      <c r="Q631" t="n">
        <v>0</v>
      </c>
      <c r="R631" t="n">
        <v>0</v>
      </c>
      <c r="S631" t="n">
        <v>0</v>
      </c>
      <c r="T631" t="n">
        <v>0</v>
      </c>
      <c r="U631" s="2" t="inlineStr"/>
    </row>
    <row r="632" ht="15" customHeight="1">
      <c r="A632" t="inlineStr">
        <is>
          <t>A 58334-2025</t>
        </is>
      </c>
      <c r="B632" t="inlineStr">
        <is>
          <t>avverkningsanmälan</t>
        </is>
      </c>
      <c r="C632" t="inlineStr">
        <is>
          <t>Föryngringsavverkning</t>
        </is>
      </c>
      <c r="D632" s="1" t="n">
        <v>45985</v>
      </c>
      <c r="E632" s="1" t="n">
        <v>46218</v>
      </c>
      <c r="F632" t="inlineStr">
        <is>
          <t>DALARNAS LÄN</t>
        </is>
      </c>
      <c r="G632" t="inlineStr">
        <is>
          <t>RÄTTVIK</t>
        </is>
      </c>
      <c r="I632" t="n">
        <v>2.1</v>
      </c>
      <c r="J632" t="n">
        <v>0</v>
      </c>
      <c r="K632" t="n">
        <v>0</v>
      </c>
      <c r="L632" t="n">
        <v>0</v>
      </c>
      <c r="M632" t="n">
        <v>0</v>
      </c>
      <c r="N632" t="n">
        <v>0</v>
      </c>
      <c r="O632" t="n">
        <v>0</v>
      </c>
      <c r="P632" t="n">
        <v>0</v>
      </c>
      <c r="Q632" t="n">
        <v>0</v>
      </c>
      <c r="R632" t="n">
        <v>0</v>
      </c>
      <c r="S632" t="n">
        <v>0</v>
      </c>
      <c r="T632" t="n">
        <v>0</v>
      </c>
      <c r="U632" s="2" t="inlineStr"/>
    </row>
    <row r="633" ht="15" customHeight="1">
      <c r="A633" t="inlineStr">
        <is>
          <t>A 58564-2025</t>
        </is>
      </c>
      <c r="B633" t="inlineStr">
        <is>
          <t>avverkningsanmälan</t>
        </is>
      </c>
      <c r="C633" t="inlineStr">
        <is>
          <t>Föryngringsavverkning</t>
        </is>
      </c>
      <c r="D633" s="1" t="n">
        <v>45986</v>
      </c>
      <c r="E633" s="1" t="n">
        <v>46218</v>
      </c>
      <c r="F633" t="inlineStr">
        <is>
          <t>DALARNAS LÄN</t>
        </is>
      </c>
      <c r="G633" t="inlineStr">
        <is>
          <t>RÄTTVIK</t>
        </is>
      </c>
      <c r="I633" t="n">
        <v>2.1</v>
      </c>
      <c r="J633" t="n">
        <v>0</v>
      </c>
      <c r="K633" t="n">
        <v>0</v>
      </c>
      <c r="L633" t="n">
        <v>0</v>
      </c>
      <c r="M633" t="n">
        <v>0</v>
      </c>
      <c r="N633" t="n">
        <v>0</v>
      </c>
      <c r="O633" t="n">
        <v>0</v>
      </c>
      <c r="P633" t="n">
        <v>0</v>
      </c>
      <c r="Q633" t="n">
        <v>0</v>
      </c>
      <c r="R633" t="n">
        <v>0</v>
      </c>
      <c r="S633" t="n">
        <v>0</v>
      </c>
      <c r="T633" t="n">
        <v>0</v>
      </c>
      <c r="U633" s="2" t="inlineStr"/>
    </row>
    <row r="634" ht="15" customHeight="1">
      <c r="A634" t="inlineStr">
        <is>
          <t>A 64804-2023</t>
        </is>
      </c>
      <c r="B634" t="inlineStr">
        <is>
          <t>avverkningsanmälan</t>
        </is>
      </c>
      <c r="C634" t="inlineStr">
        <is>
          <t>Föryngringsavverkning</t>
        </is>
      </c>
      <c r="D634" s="1" t="n">
        <v>45282</v>
      </c>
      <c r="E634" s="1" t="n">
        <v>46218</v>
      </c>
      <c r="F634" t="inlineStr">
        <is>
          <t>DALARNAS LÄN</t>
        </is>
      </c>
      <c r="G634" t="inlineStr">
        <is>
          <t>RÄTTVIK</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5304-2026</t>
        </is>
      </c>
      <c r="B635" t="inlineStr">
        <is>
          <t>avverkningsanmälan</t>
        </is>
      </c>
      <c r="C635" t="inlineStr">
        <is>
          <t>Föryngringsavverkning</t>
        </is>
      </c>
      <c r="D635" s="1" t="n">
        <v>46050</v>
      </c>
      <c r="E635" s="1" t="n">
        <v>46218</v>
      </c>
      <c r="F635" t="inlineStr">
        <is>
          <t>DALARNAS LÄN</t>
        </is>
      </c>
      <c r="G635" t="inlineStr">
        <is>
          <t>RÄTTVIK</t>
        </is>
      </c>
      <c r="I635" t="n">
        <v>1.7</v>
      </c>
      <c r="J635" t="n">
        <v>0</v>
      </c>
      <c r="K635" t="n">
        <v>0</v>
      </c>
      <c r="L635" t="n">
        <v>0</v>
      </c>
      <c r="M635" t="n">
        <v>0</v>
      </c>
      <c r="N635" t="n">
        <v>0</v>
      </c>
      <c r="O635" t="n">
        <v>0</v>
      </c>
      <c r="P635" t="n">
        <v>0</v>
      </c>
      <c r="Q635" t="n">
        <v>0</v>
      </c>
      <c r="R635" t="n">
        <v>0</v>
      </c>
      <c r="S635" t="n">
        <v>0</v>
      </c>
      <c r="T635" t="n">
        <v>0</v>
      </c>
      <c r="U635" s="2" t="inlineStr"/>
    </row>
    <row r="636" ht="15" customHeight="1">
      <c r="A636" t="inlineStr">
        <is>
          <t>A 31622-2025</t>
        </is>
      </c>
      <c r="B636" t="inlineStr">
        <is>
          <t>avverkningsanmälan</t>
        </is>
      </c>
      <c r="C636" t="inlineStr">
        <is>
          <t>Föryngringsavverkning</t>
        </is>
      </c>
      <c r="D636" s="1" t="n">
        <v>45833</v>
      </c>
      <c r="E636" s="1" t="n">
        <v>46218</v>
      </c>
      <c r="F636" t="inlineStr">
        <is>
          <t>DALARNAS LÄN</t>
        </is>
      </c>
      <c r="G636" t="inlineStr">
        <is>
          <t>RÄTTVIK</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18735-2026</t>
        </is>
      </c>
      <c r="B637" t="inlineStr">
        <is>
          <t>avverkningsanmälan</t>
        </is>
      </c>
      <c r="C637" t="inlineStr">
        <is>
          <t>Föryngringsavverkning</t>
        </is>
      </c>
      <c r="D637" s="1" t="n">
        <v>46128</v>
      </c>
      <c r="E637" s="1" t="n">
        <v>46218</v>
      </c>
      <c r="F637" t="inlineStr">
        <is>
          <t>DALARNAS LÄN</t>
        </is>
      </c>
      <c r="G637" t="inlineStr">
        <is>
          <t>RÄTTVIK</t>
        </is>
      </c>
      <c r="H637" t="inlineStr">
        <is>
          <t>Bergvik skog väst AB</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5051-2026</t>
        </is>
      </c>
      <c r="B638" t="inlineStr">
        <is>
          <t>avverkningsanmälan</t>
        </is>
      </c>
      <c r="C638" t="inlineStr">
        <is>
          <t>Föryngringsavverkning</t>
        </is>
      </c>
      <c r="D638" s="1" t="n">
        <v>46049</v>
      </c>
      <c r="E638" s="1" t="n">
        <v>46218</v>
      </c>
      <c r="F638" t="inlineStr">
        <is>
          <t>DALARNAS LÄN</t>
        </is>
      </c>
      <c r="G638" t="inlineStr">
        <is>
          <t>RÄTTVIK</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33385-2025</t>
        </is>
      </c>
      <c r="B639" t="inlineStr">
        <is>
          <t>avverkningsanmälan</t>
        </is>
      </c>
      <c r="C639" t="inlineStr">
        <is>
          <t>Avverkning för annat ändamål</t>
        </is>
      </c>
      <c r="D639" s="1" t="n">
        <v>45841</v>
      </c>
      <c r="E639" s="1" t="n">
        <v>46218</v>
      </c>
      <c r="F639" t="inlineStr">
        <is>
          <t>DALARNAS LÄN</t>
        </is>
      </c>
      <c r="G639" t="inlineStr">
        <is>
          <t>RÄTTVIK</t>
        </is>
      </c>
      <c r="H639" t="inlineStr">
        <is>
          <t>Sveaskog</t>
        </is>
      </c>
      <c r="I639" t="n">
        <v>3.2</v>
      </c>
      <c r="J639" t="n">
        <v>0</v>
      </c>
      <c r="K639" t="n">
        <v>0</v>
      </c>
      <c r="L639" t="n">
        <v>0</v>
      </c>
      <c r="M639" t="n">
        <v>0</v>
      </c>
      <c r="N639" t="n">
        <v>0</v>
      </c>
      <c r="O639" t="n">
        <v>0</v>
      </c>
      <c r="P639" t="n">
        <v>0</v>
      </c>
      <c r="Q639" t="n">
        <v>0</v>
      </c>
      <c r="R639" t="n">
        <v>0</v>
      </c>
      <c r="S639" t="n">
        <v>0</v>
      </c>
      <c r="T639" t="n">
        <v>0</v>
      </c>
      <c r="U639" s="2" t="inlineStr"/>
    </row>
    <row r="640" ht="15" customHeight="1">
      <c r="A640" t="inlineStr">
        <is>
          <t>A 33117-2025</t>
        </is>
      </c>
      <c r="B640" t="inlineStr">
        <is>
          <t>avverkningsanmälan</t>
        </is>
      </c>
      <c r="C640" t="inlineStr">
        <is>
          <t>Föryngringsavverkning</t>
        </is>
      </c>
      <c r="D640" s="1" t="n">
        <v>45840</v>
      </c>
      <c r="E640" s="1" t="n">
        <v>46218</v>
      </c>
      <c r="F640" t="inlineStr">
        <is>
          <t>DALARNAS LÄN</t>
        </is>
      </c>
      <c r="G640" t="inlineStr">
        <is>
          <t>RÄTTVIK</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44458-2025</t>
        </is>
      </c>
      <c r="B641" t="inlineStr">
        <is>
          <t>avverkningsanmälan</t>
        </is>
      </c>
      <c r="C641" t="inlineStr">
        <is>
          <t>Föryngringsavverkning</t>
        </is>
      </c>
      <c r="D641" s="1" t="n">
        <v>45916</v>
      </c>
      <c r="E641" s="1" t="n">
        <v>46218</v>
      </c>
      <c r="F641" t="inlineStr">
        <is>
          <t>DALARNAS LÄN</t>
        </is>
      </c>
      <c r="G641" t="inlineStr">
        <is>
          <t>RÄTTVIK</t>
        </is>
      </c>
      <c r="I641" t="n">
        <v>2</v>
      </c>
      <c r="J641" t="n">
        <v>0</v>
      </c>
      <c r="K641" t="n">
        <v>0</v>
      </c>
      <c r="L641" t="n">
        <v>0</v>
      </c>
      <c r="M641" t="n">
        <v>0</v>
      </c>
      <c r="N641" t="n">
        <v>0</v>
      </c>
      <c r="O641" t="n">
        <v>0</v>
      </c>
      <c r="P641" t="n">
        <v>0</v>
      </c>
      <c r="Q641" t="n">
        <v>0</v>
      </c>
      <c r="R641" t="n">
        <v>0</v>
      </c>
      <c r="S641" t="n">
        <v>0</v>
      </c>
      <c r="T641" t="n">
        <v>0</v>
      </c>
      <c r="U641" s="2" t="inlineStr"/>
    </row>
    <row r="642" ht="15" customHeight="1">
      <c r="A642" t="inlineStr">
        <is>
          <t>A 20284-2026</t>
        </is>
      </c>
      <c r="B642" t="inlineStr">
        <is>
          <t>avverkningsanmälan</t>
        </is>
      </c>
      <c r="C642" t="inlineStr">
        <is>
          <t>Föryngringsavverkning</t>
        </is>
      </c>
      <c r="D642" s="1" t="n">
        <v>46139</v>
      </c>
      <c r="E642" s="1" t="n">
        <v>46218</v>
      </c>
      <c r="F642" t="inlineStr">
        <is>
          <t>DALARNAS LÄN</t>
        </is>
      </c>
      <c r="G642" t="inlineStr">
        <is>
          <t>RÄTTVIK</t>
        </is>
      </c>
      <c r="I642" t="n">
        <v>6.1</v>
      </c>
      <c r="J642" t="n">
        <v>0</v>
      </c>
      <c r="K642" t="n">
        <v>0</v>
      </c>
      <c r="L642" t="n">
        <v>0</v>
      </c>
      <c r="M642" t="n">
        <v>0</v>
      </c>
      <c r="N642" t="n">
        <v>0</v>
      </c>
      <c r="O642" t="n">
        <v>0</v>
      </c>
      <c r="P642" t="n">
        <v>0</v>
      </c>
      <c r="Q642" t="n">
        <v>0</v>
      </c>
      <c r="R642" t="n">
        <v>0</v>
      </c>
      <c r="S642" t="n">
        <v>0</v>
      </c>
      <c r="T642" t="n">
        <v>0</v>
      </c>
      <c r="U642" s="2" t="inlineStr"/>
    </row>
    <row r="643" ht="15" customHeight="1">
      <c r="A643" t="inlineStr">
        <is>
          <t>A 889-2025</t>
        </is>
      </c>
      <c r="B643" t="inlineStr">
        <is>
          <t>avverkningsanmälan</t>
        </is>
      </c>
      <c r="C643" t="inlineStr">
        <is>
          <t>Föryngringsavverkning</t>
        </is>
      </c>
      <c r="D643" s="1" t="n">
        <v>45665</v>
      </c>
      <c r="E643" s="1" t="n">
        <v>46218</v>
      </c>
      <c r="F643" t="inlineStr">
        <is>
          <t>DALARNAS LÄN</t>
        </is>
      </c>
      <c r="G643" t="inlineStr">
        <is>
          <t>RÄTTVIK</t>
        </is>
      </c>
      <c r="I643" t="n">
        <v>2.3</v>
      </c>
      <c r="J643" t="n">
        <v>0</v>
      </c>
      <c r="K643" t="n">
        <v>0</v>
      </c>
      <c r="L643" t="n">
        <v>0</v>
      </c>
      <c r="M643" t="n">
        <v>0</v>
      </c>
      <c r="N643" t="n">
        <v>0</v>
      </c>
      <c r="O643" t="n">
        <v>0</v>
      </c>
      <c r="P643" t="n">
        <v>0</v>
      </c>
      <c r="Q643" t="n">
        <v>0</v>
      </c>
      <c r="R643" t="n">
        <v>0</v>
      </c>
      <c r="S643" t="n">
        <v>0</v>
      </c>
      <c r="T643" t="n">
        <v>0</v>
      </c>
      <c r="U643" s="2" t="inlineStr"/>
    </row>
    <row r="644" ht="15" customHeight="1">
      <c r="A644" t="inlineStr">
        <is>
          <t>A 58550-2025</t>
        </is>
      </c>
      <c r="B644" t="inlineStr">
        <is>
          <t>avverkningsanmälan</t>
        </is>
      </c>
      <c r="C644" t="inlineStr">
        <is>
          <t>Föryngringsavverkning</t>
        </is>
      </c>
      <c r="D644" s="1" t="n">
        <v>45986</v>
      </c>
      <c r="E644" s="1" t="n">
        <v>46218</v>
      </c>
      <c r="F644" t="inlineStr">
        <is>
          <t>DALARNAS LÄN</t>
        </is>
      </c>
      <c r="G644" t="inlineStr">
        <is>
          <t>RÄTTVIK</t>
        </is>
      </c>
      <c r="H644" t="inlineStr">
        <is>
          <t>Bergvik skog väst AB</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33002-2025</t>
        </is>
      </c>
      <c r="B645" t="inlineStr">
        <is>
          <t>avverkningsanmälan</t>
        </is>
      </c>
      <c r="C645" t="inlineStr">
        <is>
          <t>Föryngringsavverkning</t>
        </is>
      </c>
      <c r="D645" s="1" t="n">
        <v>45840</v>
      </c>
      <c r="E645" s="1" t="n">
        <v>46218</v>
      </c>
      <c r="F645" t="inlineStr">
        <is>
          <t>DALARNAS LÄN</t>
        </is>
      </c>
      <c r="G645" t="inlineStr">
        <is>
          <t>RÄTTVIK</t>
        </is>
      </c>
      <c r="H645" t="inlineStr">
        <is>
          <t>Bergvik skog väst AB</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58844-2025</t>
        </is>
      </c>
      <c r="B646" t="inlineStr">
        <is>
          <t>avverkningsanmälan</t>
        </is>
      </c>
      <c r="C646" t="inlineStr">
        <is>
          <t>Föryngringsavverkning</t>
        </is>
      </c>
      <c r="D646" s="1" t="n">
        <v>45987</v>
      </c>
      <c r="E646" s="1" t="n">
        <v>46218</v>
      </c>
      <c r="F646" t="inlineStr">
        <is>
          <t>DALARNAS LÄN</t>
        </is>
      </c>
      <c r="G646" t="inlineStr">
        <is>
          <t>RÄTTVIK</t>
        </is>
      </c>
      <c r="H646" t="inlineStr">
        <is>
          <t>Bergvik skog väst AB</t>
        </is>
      </c>
      <c r="I646" t="n">
        <v>9.6</v>
      </c>
      <c r="J646" t="n">
        <v>0</v>
      </c>
      <c r="K646" t="n">
        <v>0</v>
      </c>
      <c r="L646" t="n">
        <v>0</v>
      </c>
      <c r="M646" t="n">
        <v>0</v>
      </c>
      <c r="N646" t="n">
        <v>0</v>
      </c>
      <c r="O646" t="n">
        <v>0</v>
      </c>
      <c r="P646" t="n">
        <v>0</v>
      </c>
      <c r="Q646" t="n">
        <v>0</v>
      </c>
      <c r="R646" t="n">
        <v>0</v>
      </c>
      <c r="S646" t="n">
        <v>0</v>
      </c>
      <c r="T646" t="n">
        <v>0</v>
      </c>
      <c r="U646" s="2" t="inlineStr"/>
    </row>
    <row r="647" ht="15" customHeight="1">
      <c r="A647" t="inlineStr">
        <is>
          <t>A 48634-2023</t>
        </is>
      </c>
      <c r="B647" t="inlineStr">
        <is>
          <t>avverkningsanmälan</t>
        </is>
      </c>
      <c r="C647" t="inlineStr">
        <is>
          <t>Föryngringsavverkning</t>
        </is>
      </c>
      <c r="D647" s="1" t="n">
        <v>45202</v>
      </c>
      <c r="E647" s="1" t="n">
        <v>46218</v>
      </c>
      <c r="F647" t="inlineStr">
        <is>
          <t>DALARNAS LÄN</t>
        </is>
      </c>
      <c r="G647" t="inlineStr">
        <is>
          <t>RÄTTVIK</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25666-2026</t>
        </is>
      </c>
      <c r="B648" t="inlineStr">
        <is>
          <t>avverkningsanmälan</t>
        </is>
      </c>
      <c r="C648" t="inlineStr">
        <is>
          <t>Föryngringsavverkning</t>
        </is>
      </c>
      <c r="D648" s="1" t="n">
        <v>46178</v>
      </c>
      <c r="E648" s="1" t="n">
        <v>46218</v>
      </c>
      <c r="F648" t="inlineStr">
        <is>
          <t>DALARNAS LÄN</t>
        </is>
      </c>
      <c r="G648" t="inlineStr">
        <is>
          <t>RÄTTVIK</t>
        </is>
      </c>
      <c r="H648" t="inlineStr">
        <is>
          <t>Övriga statliga verk och myndigheter</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12464-2022</t>
        </is>
      </c>
      <c r="B649" t="inlineStr">
        <is>
          <t>avverkningsanmälan</t>
        </is>
      </c>
      <c r="C649" t="inlineStr">
        <is>
          <t>Föryngringsavverkning</t>
        </is>
      </c>
      <c r="D649" s="1" t="n">
        <v>44638</v>
      </c>
      <c r="E649" s="1" t="n">
        <v>46218</v>
      </c>
      <c r="F649" t="inlineStr">
        <is>
          <t>DALARNAS LÄN</t>
        </is>
      </c>
      <c r="G649" t="inlineStr">
        <is>
          <t>RÄTTVIK</t>
        </is>
      </c>
      <c r="I649" t="n">
        <v>1.4</v>
      </c>
      <c r="J649" t="n">
        <v>0</v>
      </c>
      <c r="K649" t="n">
        <v>0</v>
      </c>
      <c r="L649" t="n">
        <v>0</v>
      </c>
      <c r="M649" t="n">
        <v>0</v>
      </c>
      <c r="N649" t="n">
        <v>0</v>
      </c>
      <c r="O649" t="n">
        <v>0</v>
      </c>
      <c r="P649" t="n">
        <v>0</v>
      </c>
      <c r="Q649" t="n">
        <v>0</v>
      </c>
      <c r="R649" t="n">
        <v>0</v>
      </c>
      <c r="S649" t="n">
        <v>0</v>
      </c>
      <c r="T649" t="n">
        <v>0</v>
      </c>
      <c r="U649" s="2" t="inlineStr"/>
    </row>
    <row r="650" ht="15" customHeight="1">
      <c r="A650" t="inlineStr">
        <is>
          <t>A 12758-2025</t>
        </is>
      </c>
      <c r="B650" t="inlineStr">
        <is>
          <t>avverkningsanmälan</t>
        </is>
      </c>
      <c r="C650" t="inlineStr">
        <is>
          <t>Föryngringsavverkning</t>
        </is>
      </c>
      <c r="D650" s="1" t="n">
        <v>45733</v>
      </c>
      <c r="E650" s="1" t="n">
        <v>46218</v>
      </c>
      <c r="F650" t="inlineStr">
        <is>
          <t>DALARNAS LÄN</t>
        </is>
      </c>
      <c r="G650" t="inlineStr">
        <is>
          <t>RÄTTVIK</t>
        </is>
      </c>
      <c r="I650" t="n">
        <v>1.9</v>
      </c>
      <c r="J650" t="n">
        <v>0</v>
      </c>
      <c r="K650" t="n">
        <v>0</v>
      </c>
      <c r="L650" t="n">
        <v>0</v>
      </c>
      <c r="M650" t="n">
        <v>0</v>
      </c>
      <c r="N650" t="n">
        <v>0</v>
      </c>
      <c r="O650" t="n">
        <v>0</v>
      </c>
      <c r="P650" t="n">
        <v>0</v>
      </c>
      <c r="Q650" t="n">
        <v>0</v>
      </c>
      <c r="R650" t="n">
        <v>0</v>
      </c>
      <c r="S650" t="n">
        <v>0</v>
      </c>
      <c r="T650" t="n">
        <v>0</v>
      </c>
      <c r="U650" s="2" t="inlineStr"/>
    </row>
    <row r="651" ht="15" customHeight="1">
      <c r="A651" t="inlineStr">
        <is>
          <t>A 25723-2026</t>
        </is>
      </c>
      <c r="B651" t="inlineStr">
        <is>
          <t>avverkningsanmälan</t>
        </is>
      </c>
      <c r="C651" t="inlineStr">
        <is>
          <t>Föryngringsavverkning</t>
        </is>
      </c>
      <c r="D651" s="1" t="n">
        <v>46178</v>
      </c>
      <c r="E651" s="1" t="n">
        <v>46218</v>
      </c>
      <c r="F651" t="inlineStr">
        <is>
          <t>DALARNAS LÄN</t>
        </is>
      </c>
      <c r="G651" t="inlineStr">
        <is>
          <t>RÄTTVIK</t>
        </is>
      </c>
      <c r="H651" t="inlineStr">
        <is>
          <t>Bergvik skog väst AB</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58714-2025</t>
        </is>
      </c>
      <c r="B652" t="inlineStr">
        <is>
          <t>avverkningsanmälan</t>
        </is>
      </c>
      <c r="C652" t="inlineStr">
        <is>
          <t>Föryngringsavverkning</t>
        </is>
      </c>
      <c r="D652" s="1" t="n">
        <v>45986</v>
      </c>
      <c r="E652" s="1" t="n">
        <v>46218</v>
      </c>
      <c r="F652" t="inlineStr">
        <is>
          <t>DALARNAS LÄN</t>
        </is>
      </c>
      <c r="G652" t="inlineStr">
        <is>
          <t>RÄTTVIK</t>
        </is>
      </c>
      <c r="I652" t="n">
        <v>7.3</v>
      </c>
      <c r="J652" t="n">
        <v>0</v>
      </c>
      <c r="K652" t="n">
        <v>0</v>
      </c>
      <c r="L652" t="n">
        <v>0</v>
      </c>
      <c r="M652" t="n">
        <v>0</v>
      </c>
      <c r="N652" t="n">
        <v>0</v>
      </c>
      <c r="O652" t="n">
        <v>0</v>
      </c>
      <c r="P652" t="n">
        <v>0</v>
      </c>
      <c r="Q652" t="n">
        <v>0</v>
      </c>
      <c r="R652" t="n">
        <v>0</v>
      </c>
      <c r="S652" t="n">
        <v>0</v>
      </c>
      <c r="T652" t="n">
        <v>0</v>
      </c>
      <c r="U652" s="2" t="inlineStr"/>
    </row>
    <row r="653" ht="15" customHeight="1">
      <c r="A653" t="inlineStr">
        <is>
          <t>A 4677-2026</t>
        </is>
      </c>
      <c r="B653" t="inlineStr">
        <is>
          <t>avverkningsanmälan</t>
        </is>
      </c>
      <c r="C653" t="inlineStr">
        <is>
          <t>Föryngringsavverkning</t>
        </is>
      </c>
      <c r="D653" s="1" t="n">
        <v>46048</v>
      </c>
      <c r="E653" s="1" t="n">
        <v>46218</v>
      </c>
      <c r="F653" t="inlineStr">
        <is>
          <t>DALARNAS LÄN</t>
        </is>
      </c>
      <c r="G653" t="inlineStr">
        <is>
          <t>RÄTTVIK</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29697-2025</t>
        </is>
      </c>
      <c r="B654" t="inlineStr">
        <is>
          <t>avverkningsanmälan</t>
        </is>
      </c>
      <c r="C654" t="inlineStr">
        <is>
          <t>Föryngringsavverkning</t>
        </is>
      </c>
      <c r="D654" s="1" t="n">
        <v>45825</v>
      </c>
      <c r="E654" s="1" t="n">
        <v>46218</v>
      </c>
      <c r="F654" t="inlineStr">
        <is>
          <t>DALARNAS LÄN</t>
        </is>
      </c>
      <c r="G654" t="inlineStr">
        <is>
          <t>RÄTTVIK</t>
        </is>
      </c>
      <c r="I654" t="n">
        <v>7.4</v>
      </c>
      <c r="J654" t="n">
        <v>0</v>
      </c>
      <c r="K654" t="n">
        <v>0</v>
      </c>
      <c r="L654" t="n">
        <v>0</v>
      </c>
      <c r="M654" t="n">
        <v>0</v>
      </c>
      <c r="N654" t="n">
        <v>0</v>
      </c>
      <c r="O654" t="n">
        <v>0</v>
      </c>
      <c r="P654" t="n">
        <v>0</v>
      </c>
      <c r="Q654" t="n">
        <v>0</v>
      </c>
      <c r="R654" t="n">
        <v>0</v>
      </c>
      <c r="S654" t="n">
        <v>0</v>
      </c>
      <c r="T654" t="n">
        <v>0</v>
      </c>
      <c r="U654" s="2" t="inlineStr"/>
    </row>
    <row r="655" ht="15" customHeight="1">
      <c r="A655" t="inlineStr">
        <is>
          <t>A 59413-2025</t>
        </is>
      </c>
      <c r="B655" t="inlineStr">
        <is>
          <t>avverkningsanmälan</t>
        </is>
      </c>
      <c r="C655" t="inlineStr">
        <is>
          <t>Föryngringsavverkning</t>
        </is>
      </c>
      <c r="D655" s="1" t="n">
        <v>45989</v>
      </c>
      <c r="E655" s="1" t="n">
        <v>46218</v>
      </c>
      <c r="F655" t="inlineStr">
        <is>
          <t>DALARNAS LÄN</t>
        </is>
      </c>
      <c r="G655" t="inlineStr">
        <is>
          <t>RÄTTVIK</t>
        </is>
      </c>
      <c r="I655" t="n">
        <v>3.6</v>
      </c>
      <c r="J655" t="n">
        <v>0</v>
      </c>
      <c r="K655" t="n">
        <v>0</v>
      </c>
      <c r="L655" t="n">
        <v>0</v>
      </c>
      <c r="M655" t="n">
        <v>0</v>
      </c>
      <c r="N655" t="n">
        <v>0</v>
      </c>
      <c r="O655" t="n">
        <v>0</v>
      </c>
      <c r="P655" t="n">
        <v>0</v>
      </c>
      <c r="Q655" t="n">
        <v>0</v>
      </c>
      <c r="R655" t="n">
        <v>0</v>
      </c>
      <c r="S655" t="n">
        <v>0</v>
      </c>
      <c r="T655" t="n">
        <v>0</v>
      </c>
      <c r="U655" s="2" t="inlineStr"/>
    </row>
    <row r="656" ht="15" customHeight="1">
      <c r="A656" t="inlineStr">
        <is>
          <t>A 19980-2026</t>
        </is>
      </c>
      <c r="B656" t="inlineStr">
        <is>
          <t>avverkningsanmälan</t>
        </is>
      </c>
      <c r="C656" t="inlineStr">
        <is>
          <t>Föryngringsavverkning</t>
        </is>
      </c>
      <c r="D656" s="1" t="n">
        <v>46136</v>
      </c>
      <c r="E656" s="1" t="n">
        <v>46218</v>
      </c>
      <c r="F656" t="inlineStr">
        <is>
          <t>DALARNAS LÄN</t>
        </is>
      </c>
      <c r="G656" t="inlineStr">
        <is>
          <t>RÄTTVIK</t>
        </is>
      </c>
      <c r="H656" t="inlineStr">
        <is>
          <t>Sveaskog</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19986-2026</t>
        </is>
      </c>
      <c r="B657" t="inlineStr">
        <is>
          <t>avverkningsanmälan</t>
        </is>
      </c>
      <c r="C657" t="inlineStr">
        <is>
          <t>Föryngringsavverkning</t>
        </is>
      </c>
      <c r="D657" s="1" t="n">
        <v>46136</v>
      </c>
      <c r="E657" s="1" t="n">
        <v>46218</v>
      </c>
      <c r="F657" t="inlineStr">
        <is>
          <t>DALARNAS LÄN</t>
        </is>
      </c>
      <c r="G657" t="inlineStr">
        <is>
          <t>RÄTTVIK</t>
        </is>
      </c>
      <c r="H657" t="inlineStr">
        <is>
          <t>Sveaskog</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34595-2025</t>
        </is>
      </c>
      <c r="B658" t="inlineStr">
        <is>
          <t>avverkningsanmälan</t>
        </is>
      </c>
      <c r="C658" t="inlineStr">
        <is>
          <t>Föryngringsavverkning</t>
        </is>
      </c>
      <c r="D658" s="1" t="n">
        <v>45847</v>
      </c>
      <c r="E658" s="1" t="n">
        <v>46218</v>
      </c>
      <c r="F658" t="inlineStr">
        <is>
          <t>DALARNAS LÄN</t>
        </is>
      </c>
      <c r="G658" t="inlineStr">
        <is>
          <t>RÄTTVIK</t>
        </is>
      </c>
      <c r="H658" t="inlineStr">
        <is>
          <t>Sveaskog</t>
        </is>
      </c>
      <c r="I658" t="n">
        <v>2.8</v>
      </c>
      <c r="J658" t="n">
        <v>0</v>
      </c>
      <c r="K658" t="n">
        <v>0</v>
      </c>
      <c r="L658" t="n">
        <v>0</v>
      </c>
      <c r="M658" t="n">
        <v>0</v>
      </c>
      <c r="N658" t="n">
        <v>0</v>
      </c>
      <c r="O658" t="n">
        <v>0</v>
      </c>
      <c r="P658" t="n">
        <v>0</v>
      </c>
      <c r="Q658" t="n">
        <v>0</v>
      </c>
      <c r="R658" t="n">
        <v>0</v>
      </c>
      <c r="S658" t="n">
        <v>0</v>
      </c>
      <c r="T658" t="n">
        <v>0</v>
      </c>
      <c r="U658" s="2" t="inlineStr"/>
    </row>
    <row r="659" ht="15" customHeight="1">
      <c r="A659" t="inlineStr">
        <is>
          <t>A 20234-2026</t>
        </is>
      </c>
      <c r="B659" t="inlineStr">
        <is>
          <t>avverkningsanmälan</t>
        </is>
      </c>
      <c r="C659" t="inlineStr">
        <is>
          <t>Föryngringsavverkning</t>
        </is>
      </c>
      <c r="D659" s="1" t="n">
        <v>46139</v>
      </c>
      <c r="E659" s="1" t="n">
        <v>46218</v>
      </c>
      <c r="F659" t="inlineStr">
        <is>
          <t>DALARNAS LÄN</t>
        </is>
      </c>
      <c r="G659" t="inlineStr">
        <is>
          <t>RÄTTVIK</t>
        </is>
      </c>
      <c r="I659" t="n">
        <v>8.699999999999999</v>
      </c>
      <c r="J659" t="n">
        <v>0</v>
      </c>
      <c r="K659" t="n">
        <v>0</v>
      </c>
      <c r="L659" t="n">
        <v>0</v>
      </c>
      <c r="M659" t="n">
        <v>0</v>
      </c>
      <c r="N659" t="n">
        <v>0</v>
      </c>
      <c r="O659" t="n">
        <v>0</v>
      </c>
      <c r="P659" t="n">
        <v>0</v>
      </c>
      <c r="Q659" t="n">
        <v>0</v>
      </c>
      <c r="R659" t="n">
        <v>0</v>
      </c>
      <c r="S659" t="n">
        <v>0</v>
      </c>
      <c r="T659" t="n">
        <v>0</v>
      </c>
      <c r="U659" s="2" t="inlineStr"/>
    </row>
    <row r="660" ht="15" customHeight="1">
      <c r="A660" t="inlineStr">
        <is>
          <t>A 21850-2025</t>
        </is>
      </c>
      <c r="B660" t="inlineStr">
        <is>
          <t>avverkningsanmälan</t>
        </is>
      </c>
      <c r="C660" t="inlineStr">
        <is>
          <t>Föryngringsavverkning</t>
        </is>
      </c>
      <c r="D660" s="1" t="n">
        <v>45784</v>
      </c>
      <c r="E660" s="1" t="n">
        <v>46218</v>
      </c>
      <c r="F660" t="inlineStr">
        <is>
          <t>DALARNAS LÄN</t>
        </is>
      </c>
      <c r="G660" t="inlineStr">
        <is>
          <t>RÄTTVIK</t>
        </is>
      </c>
      <c r="I660" t="n">
        <v>2</v>
      </c>
      <c r="J660" t="n">
        <v>0</v>
      </c>
      <c r="K660" t="n">
        <v>0</v>
      </c>
      <c r="L660" t="n">
        <v>0</v>
      </c>
      <c r="M660" t="n">
        <v>0</v>
      </c>
      <c r="N660" t="n">
        <v>0</v>
      </c>
      <c r="O660" t="n">
        <v>0</v>
      </c>
      <c r="P660" t="n">
        <v>0</v>
      </c>
      <c r="Q660" t="n">
        <v>0</v>
      </c>
      <c r="R660" t="n">
        <v>0</v>
      </c>
      <c r="S660" t="n">
        <v>0</v>
      </c>
      <c r="T660" t="n">
        <v>0</v>
      </c>
      <c r="U660" s="2" t="inlineStr"/>
    </row>
    <row r="661" ht="15" customHeight="1">
      <c r="A661" t="inlineStr">
        <is>
          <t>A 34810-2025</t>
        </is>
      </c>
      <c r="B661" t="inlineStr">
        <is>
          <t>avverkningsanmälan</t>
        </is>
      </c>
      <c r="C661" t="inlineStr">
        <is>
          <t>Föryngringsavverkning</t>
        </is>
      </c>
      <c r="D661" s="1" t="n">
        <v>45849</v>
      </c>
      <c r="E661" s="1" t="n">
        <v>46218</v>
      </c>
      <c r="F661" t="inlineStr">
        <is>
          <t>DALARNAS LÄN</t>
        </is>
      </c>
      <c r="G661" t="inlineStr">
        <is>
          <t>RÄTTVIK</t>
        </is>
      </c>
      <c r="H661" t="inlineStr">
        <is>
          <t>Bergvik skog väst AB</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34908-2025</t>
        </is>
      </c>
      <c r="B662" t="inlineStr">
        <is>
          <t>avverkningsanmälan</t>
        </is>
      </c>
      <c r="C662" t="inlineStr">
        <is>
          <t>Föryngringsavverkning</t>
        </is>
      </c>
      <c r="D662" s="1" t="n">
        <v>45849</v>
      </c>
      <c r="E662" s="1" t="n">
        <v>46218</v>
      </c>
      <c r="F662" t="inlineStr">
        <is>
          <t>DALARNAS LÄN</t>
        </is>
      </c>
      <c r="G662" t="inlineStr">
        <is>
          <t>RÄTTVIK</t>
        </is>
      </c>
      <c r="H662" t="inlineStr">
        <is>
          <t>Sveaskog</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12496-2024</t>
        </is>
      </c>
      <c r="B663" t="inlineStr">
        <is>
          <t>avverkningsanmälan</t>
        </is>
      </c>
      <c r="C663" t="inlineStr">
        <is>
          <t>Föryngringsavverkning</t>
        </is>
      </c>
      <c r="D663" s="1" t="n">
        <v>45379</v>
      </c>
      <c r="E663" s="1" t="n">
        <v>46218</v>
      </c>
      <c r="F663" t="inlineStr">
        <is>
          <t>DALARNAS LÄN</t>
        </is>
      </c>
      <c r="G663" t="inlineStr">
        <is>
          <t>RÄTTVIK</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15040-2026</t>
        </is>
      </c>
      <c r="B664" t="inlineStr">
        <is>
          <t>avverkningsanmälan</t>
        </is>
      </c>
      <c r="C664" t="inlineStr">
        <is>
          <t>Föryngringsavverkning</t>
        </is>
      </c>
      <c r="D664" s="1" t="n">
        <v>46104</v>
      </c>
      <c r="E664" s="1" t="n">
        <v>46218</v>
      </c>
      <c r="F664" t="inlineStr">
        <is>
          <t>DALARNAS LÄN</t>
        </is>
      </c>
      <c r="G664" t="inlineStr">
        <is>
          <t>RÄTTVIK</t>
        </is>
      </c>
      <c r="H664" t="inlineStr">
        <is>
          <t>Bergvik skog väst AB</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1858-2026</t>
        </is>
      </c>
      <c r="B665" t="inlineStr">
        <is>
          <t>avverkningsanmälan</t>
        </is>
      </c>
      <c r="C665" t="inlineStr">
        <is>
          <t>Föryngringsavverkning</t>
        </is>
      </c>
      <c r="D665" s="1" t="n">
        <v>46035</v>
      </c>
      <c r="E665" s="1" t="n">
        <v>46218</v>
      </c>
      <c r="F665" t="inlineStr">
        <is>
          <t>DALARNAS LÄN</t>
        </is>
      </c>
      <c r="G665" t="inlineStr">
        <is>
          <t>RÄTTVIK</t>
        </is>
      </c>
      <c r="I665" t="n">
        <v>4.7</v>
      </c>
      <c r="J665" t="n">
        <v>0</v>
      </c>
      <c r="K665" t="n">
        <v>0</v>
      </c>
      <c r="L665" t="n">
        <v>0</v>
      </c>
      <c r="M665" t="n">
        <v>0</v>
      </c>
      <c r="N665" t="n">
        <v>0</v>
      </c>
      <c r="O665" t="n">
        <v>0</v>
      </c>
      <c r="P665" t="n">
        <v>0</v>
      </c>
      <c r="Q665" t="n">
        <v>0</v>
      </c>
      <c r="R665" t="n">
        <v>0</v>
      </c>
      <c r="S665" t="n">
        <v>0</v>
      </c>
      <c r="T665" t="n">
        <v>0</v>
      </c>
      <c r="U665" s="2" t="inlineStr"/>
    </row>
    <row r="666" ht="15" customHeight="1">
      <c r="A666" t="inlineStr">
        <is>
          <t>A 46246-2025</t>
        </is>
      </c>
      <c r="B666" t="inlineStr">
        <is>
          <t>avverkningsanmälan</t>
        </is>
      </c>
      <c r="C666" t="inlineStr">
        <is>
          <t>Föryngringsavverkning</t>
        </is>
      </c>
      <c r="D666" s="1" t="n">
        <v>45925</v>
      </c>
      <c r="E666" s="1" t="n">
        <v>46218</v>
      </c>
      <c r="F666" t="inlineStr">
        <is>
          <t>DALARNAS LÄN</t>
        </is>
      </c>
      <c r="G666" t="inlineStr">
        <is>
          <t>RÄTTVIK</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31552-2022</t>
        </is>
      </c>
      <c r="B667" t="inlineStr">
        <is>
          <t>avverkningsanmälan</t>
        </is>
      </c>
      <c r="C667" t="inlineStr">
        <is>
          <t>Föryngringsavverkning</t>
        </is>
      </c>
      <c r="D667" s="1" t="n">
        <v>44775</v>
      </c>
      <c r="E667" s="1" t="n">
        <v>46218</v>
      </c>
      <c r="F667" t="inlineStr">
        <is>
          <t>DALARNAS LÄN</t>
        </is>
      </c>
      <c r="G667" t="inlineStr">
        <is>
          <t>RÄTTVIK</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31555-2022</t>
        </is>
      </c>
      <c r="B668" t="inlineStr">
        <is>
          <t>avverkningsanmälan</t>
        </is>
      </c>
      <c r="C668" t="inlineStr">
        <is>
          <t>Föryngringsavverkning</t>
        </is>
      </c>
      <c r="D668" s="1" t="n">
        <v>44775</v>
      </c>
      <c r="E668" s="1" t="n">
        <v>46218</v>
      </c>
      <c r="F668" t="inlineStr">
        <is>
          <t>DALARNAS LÄN</t>
        </is>
      </c>
      <c r="G668" t="inlineStr">
        <is>
          <t>RÄTTVIK</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25669-2026</t>
        </is>
      </c>
      <c r="B669" t="inlineStr">
        <is>
          <t>avverkningsanmälan</t>
        </is>
      </c>
      <c r="C669" t="inlineStr">
        <is>
          <t>Föryngringsavverkning</t>
        </is>
      </c>
      <c r="D669" s="1" t="n">
        <v>46178</v>
      </c>
      <c r="E669" s="1" t="n">
        <v>46218</v>
      </c>
      <c r="F669" t="inlineStr">
        <is>
          <t>DALARNAS LÄN</t>
        </is>
      </c>
      <c r="G669" t="inlineStr">
        <is>
          <t>RÄTTVIK</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35244-2022</t>
        </is>
      </c>
      <c r="B670" t="inlineStr">
        <is>
          <t>avverkningsanmälan</t>
        </is>
      </c>
      <c r="C670" t="inlineStr">
        <is>
          <t>Avverkning för annat ändamål</t>
        </is>
      </c>
      <c r="D670" s="1" t="n">
        <v>44798</v>
      </c>
      <c r="E670" s="1" t="n">
        <v>46218</v>
      </c>
      <c r="F670" t="inlineStr">
        <is>
          <t>DALARNAS LÄN</t>
        </is>
      </c>
      <c r="G670" t="inlineStr">
        <is>
          <t>RÄTTVIK</t>
        </is>
      </c>
      <c r="I670" t="n">
        <v>4.3</v>
      </c>
      <c r="J670" t="n">
        <v>0</v>
      </c>
      <c r="K670" t="n">
        <v>0</v>
      </c>
      <c r="L670" t="n">
        <v>0</v>
      </c>
      <c r="M670" t="n">
        <v>0</v>
      </c>
      <c r="N670" t="n">
        <v>0</v>
      </c>
      <c r="O670" t="n">
        <v>0</v>
      </c>
      <c r="P670" t="n">
        <v>0</v>
      </c>
      <c r="Q670" t="n">
        <v>0</v>
      </c>
      <c r="R670" t="n">
        <v>0</v>
      </c>
      <c r="S670" t="n">
        <v>0</v>
      </c>
      <c r="T670" t="n">
        <v>0</v>
      </c>
      <c r="U670" s="2" t="inlineStr"/>
    </row>
    <row r="671" ht="15" customHeight="1">
      <c r="A671" t="inlineStr">
        <is>
          <t>A 35247-2025</t>
        </is>
      </c>
      <c r="B671" t="inlineStr">
        <is>
          <t>avverkningsanmälan</t>
        </is>
      </c>
      <c r="C671" t="inlineStr">
        <is>
          <t>Föryngringsavverkning</t>
        </is>
      </c>
      <c r="D671" s="1" t="n">
        <v>45853</v>
      </c>
      <c r="E671" s="1" t="n">
        <v>46218</v>
      </c>
      <c r="F671" t="inlineStr">
        <is>
          <t>DALARNAS LÄN</t>
        </is>
      </c>
      <c r="G671" t="inlineStr">
        <is>
          <t>RÄTTVIK</t>
        </is>
      </c>
      <c r="I671" t="n">
        <v>3.7</v>
      </c>
      <c r="J671" t="n">
        <v>0</v>
      </c>
      <c r="K671" t="n">
        <v>0</v>
      </c>
      <c r="L671" t="n">
        <v>0</v>
      </c>
      <c r="M671" t="n">
        <v>0</v>
      </c>
      <c r="N671" t="n">
        <v>0</v>
      </c>
      <c r="O671" t="n">
        <v>0</v>
      </c>
      <c r="P671" t="n">
        <v>0</v>
      </c>
      <c r="Q671" t="n">
        <v>0</v>
      </c>
      <c r="R671" t="n">
        <v>0</v>
      </c>
      <c r="S671" t="n">
        <v>0</v>
      </c>
      <c r="T671" t="n">
        <v>0</v>
      </c>
      <c r="U671" s="2" t="inlineStr"/>
    </row>
    <row r="672" ht="15" customHeight="1">
      <c r="A672" t="inlineStr">
        <is>
          <t>A 35424-2025</t>
        </is>
      </c>
      <c r="B672" t="inlineStr">
        <is>
          <t>avverkningsanmälan</t>
        </is>
      </c>
      <c r="C672" t="inlineStr">
        <is>
          <t>Föryngringsavverkning</t>
        </is>
      </c>
      <c r="D672" s="1" t="n">
        <v>45855</v>
      </c>
      <c r="E672" s="1" t="n">
        <v>46218</v>
      </c>
      <c r="F672" t="inlineStr">
        <is>
          <t>DALARNAS LÄN</t>
        </is>
      </c>
      <c r="G672" t="inlineStr">
        <is>
          <t>RÄTTVIK</t>
        </is>
      </c>
      <c r="H672" t="inlineStr">
        <is>
          <t>Bergvik skog väst AB</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11537-2026</t>
        </is>
      </c>
      <c r="B673" t="inlineStr">
        <is>
          <t>avverkningsanmälan</t>
        </is>
      </c>
      <c r="C673" t="inlineStr">
        <is>
          <t>Föryngringsavverkning</t>
        </is>
      </c>
      <c r="D673" s="1" t="n">
        <v>46083</v>
      </c>
      <c r="E673" s="1" t="n">
        <v>46218</v>
      </c>
      <c r="F673" t="inlineStr">
        <is>
          <t>DALARNAS LÄN</t>
        </is>
      </c>
      <c r="G673" t="inlineStr">
        <is>
          <t>RÄTTVIK</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20617-2025</t>
        </is>
      </c>
      <c r="B674" t="inlineStr">
        <is>
          <t>avverkningsanmälan</t>
        </is>
      </c>
      <c r="C674" t="inlineStr">
        <is>
          <t>Föryngringsavverkning</t>
        </is>
      </c>
      <c r="D674" s="1" t="n">
        <v>45776</v>
      </c>
      <c r="E674" s="1" t="n">
        <v>46218</v>
      </c>
      <c r="F674" t="inlineStr">
        <is>
          <t>DALARNAS LÄN</t>
        </is>
      </c>
      <c r="G674" t="inlineStr">
        <is>
          <t>RÄTTVIK</t>
        </is>
      </c>
      <c r="I674" t="n">
        <v>2.5</v>
      </c>
      <c r="J674" t="n">
        <v>0</v>
      </c>
      <c r="K674" t="n">
        <v>0</v>
      </c>
      <c r="L674" t="n">
        <v>0</v>
      </c>
      <c r="M674" t="n">
        <v>0</v>
      </c>
      <c r="N674" t="n">
        <v>0</v>
      </c>
      <c r="O674" t="n">
        <v>0</v>
      </c>
      <c r="P674" t="n">
        <v>0</v>
      </c>
      <c r="Q674" t="n">
        <v>0</v>
      </c>
      <c r="R674" t="n">
        <v>0</v>
      </c>
      <c r="S674" t="n">
        <v>0</v>
      </c>
      <c r="T674" t="n">
        <v>0</v>
      </c>
      <c r="U674" s="2" t="inlineStr"/>
    </row>
    <row r="675" ht="15" customHeight="1">
      <c r="A675" t="inlineStr">
        <is>
          <t>A 59060-2025</t>
        </is>
      </c>
      <c r="B675" t="inlineStr">
        <is>
          <t>avverkningsanmälan</t>
        </is>
      </c>
      <c r="C675" t="inlineStr">
        <is>
          <t>Föryngringsavverkning</t>
        </is>
      </c>
      <c r="D675" s="1" t="n">
        <v>45988</v>
      </c>
      <c r="E675" s="1" t="n">
        <v>46218</v>
      </c>
      <c r="F675" t="inlineStr">
        <is>
          <t>DALARNAS LÄN</t>
        </is>
      </c>
      <c r="G675" t="inlineStr">
        <is>
          <t>RÄTTVIK</t>
        </is>
      </c>
      <c r="H675" t="inlineStr">
        <is>
          <t>Bergvik skog väst AB</t>
        </is>
      </c>
      <c r="I675" t="n">
        <v>1.7</v>
      </c>
      <c r="J675" t="n">
        <v>0</v>
      </c>
      <c r="K675" t="n">
        <v>0</v>
      </c>
      <c r="L675" t="n">
        <v>0</v>
      </c>
      <c r="M675" t="n">
        <v>0</v>
      </c>
      <c r="N675" t="n">
        <v>0</v>
      </c>
      <c r="O675" t="n">
        <v>0</v>
      </c>
      <c r="P675" t="n">
        <v>0</v>
      </c>
      <c r="Q675" t="n">
        <v>0</v>
      </c>
      <c r="R675" t="n">
        <v>0</v>
      </c>
      <c r="S675" t="n">
        <v>0</v>
      </c>
      <c r="T675" t="n">
        <v>0</v>
      </c>
      <c r="U675" s="2" t="inlineStr"/>
    </row>
    <row r="676" ht="15" customHeight="1">
      <c r="A676" t="inlineStr">
        <is>
          <t>A 59500-2025</t>
        </is>
      </c>
      <c r="B676" t="inlineStr">
        <is>
          <t>avverkningsanmälan</t>
        </is>
      </c>
      <c r="C676" t="inlineStr">
        <is>
          <t>Föryngringsavverkning</t>
        </is>
      </c>
      <c r="D676" s="1" t="n">
        <v>45989</v>
      </c>
      <c r="E676" s="1" t="n">
        <v>46218</v>
      </c>
      <c r="F676" t="inlineStr">
        <is>
          <t>DALARNAS LÄN</t>
        </is>
      </c>
      <c r="G676" t="inlineStr">
        <is>
          <t>RÄTTVIK</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17657-2022</t>
        </is>
      </c>
      <c r="B677" t="inlineStr">
        <is>
          <t>avverkningsanmälan</t>
        </is>
      </c>
      <c r="C677" t="inlineStr">
        <is>
          <t>Föryngringsavverkning</t>
        </is>
      </c>
      <c r="D677" s="1" t="n">
        <v>44680</v>
      </c>
      <c r="E677" s="1" t="n">
        <v>46218</v>
      </c>
      <c r="F677" t="inlineStr">
        <is>
          <t>DALARNAS LÄN</t>
        </is>
      </c>
      <c r="G677" t="inlineStr">
        <is>
          <t>RÄTTVIK</t>
        </is>
      </c>
      <c r="I677" t="n">
        <v>1.7</v>
      </c>
      <c r="J677" t="n">
        <v>0</v>
      </c>
      <c r="K677" t="n">
        <v>0</v>
      </c>
      <c r="L677" t="n">
        <v>0</v>
      </c>
      <c r="M677" t="n">
        <v>0</v>
      </c>
      <c r="N677" t="n">
        <v>0</v>
      </c>
      <c r="O677" t="n">
        <v>0</v>
      </c>
      <c r="P677" t="n">
        <v>0</v>
      </c>
      <c r="Q677" t="n">
        <v>0</v>
      </c>
      <c r="R677" t="n">
        <v>0</v>
      </c>
      <c r="S677" t="n">
        <v>0</v>
      </c>
      <c r="T677" t="n">
        <v>0</v>
      </c>
      <c r="U677" s="2" t="inlineStr"/>
    </row>
    <row r="678" ht="15" customHeight="1">
      <c r="A678" t="inlineStr">
        <is>
          <t>A 53080-2024</t>
        </is>
      </c>
      <c r="B678" t="inlineStr">
        <is>
          <t>avverkningsanmälan</t>
        </is>
      </c>
      <c r="C678" t="inlineStr">
        <is>
          <t>Avverkning för att bevara och utveckla /försöksver</t>
        </is>
      </c>
      <c r="D678" s="1" t="n">
        <v>45611</v>
      </c>
      <c r="E678" s="1" t="n">
        <v>46218</v>
      </c>
      <c r="F678" t="inlineStr">
        <is>
          <t>DALARNAS LÄN</t>
        </is>
      </c>
      <c r="G678" t="inlineStr">
        <is>
          <t>RÄTTVIK</t>
        </is>
      </c>
      <c r="I678" t="n">
        <v>5.1</v>
      </c>
      <c r="J678" t="n">
        <v>0</v>
      </c>
      <c r="K678" t="n">
        <v>0</v>
      </c>
      <c r="L678" t="n">
        <v>0</v>
      </c>
      <c r="M678" t="n">
        <v>0</v>
      </c>
      <c r="N678" t="n">
        <v>0</v>
      </c>
      <c r="O678" t="n">
        <v>0</v>
      </c>
      <c r="P678" t="n">
        <v>0</v>
      </c>
      <c r="Q678" t="n">
        <v>0</v>
      </c>
      <c r="R678" t="n">
        <v>0</v>
      </c>
      <c r="S678" t="n">
        <v>0</v>
      </c>
      <c r="T678" t="n">
        <v>0</v>
      </c>
      <c r="U678" s="2" t="inlineStr"/>
    </row>
    <row r="679" ht="15" customHeight="1">
      <c r="A679" t="inlineStr">
        <is>
          <t>A 2078-2026</t>
        </is>
      </c>
      <c r="B679" t="inlineStr">
        <is>
          <t>avverkningsanmälan</t>
        </is>
      </c>
      <c r="C679" t="inlineStr">
        <is>
          <t>Föryngringsavverkning</t>
        </is>
      </c>
      <c r="D679" s="1" t="n">
        <v>46036</v>
      </c>
      <c r="E679" s="1" t="n">
        <v>46218</v>
      </c>
      <c r="F679" t="inlineStr">
        <is>
          <t>DALARNAS LÄN</t>
        </is>
      </c>
      <c r="G679" t="inlineStr">
        <is>
          <t>RÄTTVIK</t>
        </is>
      </c>
      <c r="I679" t="n">
        <v>4.8</v>
      </c>
      <c r="J679" t="n">
        <v>0</v>
      </c>
      <c r="K679" t="n">
        <v>0</v>
      </c>
      <c r="L679" t="n">
        <v>0</v>
      </c>
      <c r="M679" t="n">
        <v>0</v>
      </c>
      <c r="N679" t="n">
        <v>0</v>
      </c>
      <c r="O679" t="n">
        <v>0</v>
      </c>
      <c r="P679" t="n">
        <v>0</v>
      </c>
      <c r="Q679" t="n">
        <v>0</v>
      </c>
      <c r="R679" t="n">
        <v>0</v>
      </c>
      <c r="S679" t="n">
        <v>0</v>
      </c>
      <c r="T679" t="n">
        <v>0</v>
      </c>
      <c r="U679" s="2" t="inlineStr"/>
    </row>
    <row r="680" ht="15" customHeight="1">
      <c r="A680" t="inlineStr">
        <is>
          <t>A 4817-2026</t>
        </is>
      </c>
      <c r="B680" t="inlineStr">
        <is>
          <t>avverkningsanmälan</t>
        </is>
      </c>
      <c r="C680" t="inlineStr">
        <is>
          <t>Föryngringsavverkning</t>
        </is>
      </c>
      <c r="D680" s="1" t="n">
        <v>46048</v>
      </c>
      <c r="E680" s="1" t="n">
        <v>46218</v>
      </c>
      <c r="F680" t="inlineStr">
        <is>
          <t>DALARNAS LÄN</t>
        </is>
      </c>
      <c r="G680" t="inlineStr">
        <is>
          <t>RÄTTVIK</t>
        </is>
      </c>
      <c r="I680" t="n">
        <v>8.5</v>
      </c>
      <c r="J680" t="n">
        <v>0</v>
      </c>
      <c r="K680" t="n">
        <v>0</v>
      </c>
      <c r="L680" t="n">
        <v>0</v>
      </c>
      <c r="M680" t="n">
        <v>0</v>
      </c>
      <c r="N680" t="n">
        <v>0</v>
      </c>
      <c r="O680" t="n">
        <v>0</v>
      </c>
      <c r="P680" t="n">
        <v>0</v>
      </c>
      <c r="Q680" t="n">
        <v>0</v>
      </c>
      <c r="R680" t="n">
        <v>0</v>
      </c>
      <c r="S680" t="n">
        <v>0</v>
      </c>
      <c r="T680" t="n">
        <v>0</v>
      </c>
      <c r="U680" s="2" t="inlineStr"/>
    </row>
    <row r="681" ht="15" customHeight="1">
      <c r="A681" t="inlineStr">
        <is>
          <t>A 53127-2025</t>
        </is>
      </c>
      <c r="B681" t="inlineStr">
        <is>
          <t>avverkningsanmälan</t>
        </is>
      </c>
      <c r="C681" t="inlineStr">
        <is>
          <t>Föryngringsavverkning</t>
        </is>
      </c>
      <c r="D681" s="1" t="n">
        <v>45957</v>
      </c>
      <c r="E681" s="1" t="n">
        <v>46218</v>
      </c>
      <c r="F681" t="inlineStr">
        <is>
          <t>DALARNAS LÄN</t>
        </is>
      </c>
      <c r="G681" t="inlineStr">
        <is>
          <t>RÄTTVIK</t>
        </is>
      </c>
      <c r="I681" t="n">
        <v>2.9</v>
      </c>
      <c r="J681" t="n">
        <v>0</v>
      </c>
      <c r="K681" t="n">
        <v>0</v>
      </c>
      <c r="L681" t="n">
        <v>0</v>
      </c>
      <c r="M681" t="n">
        <v>0</v>
      </c>
      <c r="N681" t="n">
        <v>0</v>
      </c>
      <c r="O681" t="n">
        <v>0</v>
      </c>
      <c r="P681" t="n">
        <v>0</v>
      </c>
      <c r="Q681" t="n">
        <v>0</v>
      </c>
      <c r="R681" t="n">
        <v>0</v>
      </c>
      <c r="S681" t="n">
        <v>0</v>
      </c>
      <c r="T681" t="n">
        <v>0</v>
      </c>
      <c r="U681" s="2" t="inlineStr"/>
    </row>
    <row r="682" ht="15" customHeight="1">
      <c r="A682" t="inlineStr">
        <is>
          <t>A 9371-2026</t>
        </is>
      </c>
      <c r="B682" t="inlineStr">
        <is>
          <t>avverkningsanmälan</t>
        </is>
      </c>
      <c r="C682" t="inlineStr">
        <is>
          <t>Föryngringsavverkning</t>
        </is>
      </c>
      <c r="D682" s="1" t="n">
        <v>46070</v>
      </c>
      <c r="E682" s="1" t="n">
        <v>46218</v>
      </c>
      <c r="F682" t="inlineStr">
        <is>
          <t>DALARNAS LÄN</t>
        </is>
      </c>
      <c r="G682" t="inlineStr">
        <is>
          <t>RÄTTVIK</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59504-2025</t>
        </is>
      </c>
      <c r="B683" t="inlineStr">
        <is>
          <t>avverkningsanmälan</t>
        </is>
      </c>
      <c r="C683" t="inlineStr">
        <is>
          <t>Föryngringsavverkning</t>
        </is>
      </c>
      <c r="D683" s="1" t="n">
        <v>45989</v>
      </c>
      <c r="E683" s="1" t="n">
        <v>46218</v>
      </c>
      <c r="F683" t="inlineStr">
        <is>
          <t>DALARNAS LÄN</t>
        </is>
      </c>
      <c r="G683" t="inlineStr">
        <is>
          <t>RÄTTVIK</t>
        </is>
      </c>
      <c r="I683" t="n">
        <v>5</v>
      </c>
      <c r="J683" t="n">
        <v>0</v>
      </c>
      <c r="K683" t="n">
        <v>0</v>
      </c>
      <c r="L683" t="n">
        <v>0</v>
      </c>
      <c r="M683" t="n">
        <v>0</v>
      </c>
      <c r="N683" t="n">
        <v>0</v>
      </c>
      <c r="O683" t="n">
        <v>0</v>
      </c>
      <c r="P683" t="n">
        <v>0</v>
      </c>
      <c r="Q683" t="n">
        <v>0</v>
      </c>
      <c r="R683" t="n">
        <v>0</v>
      </c>
      <c r="S683" t="n">
        <v>0</v>
      </c>
      <c r="T683" t="n">
        <v>0</v>
      </c>
      <c r="U683" s="2" t="inlineStr"/>
    </row>
    <row r="684" ht="15" customHeight="1">
      <c r="A684" t="inlineStr">
        <is>
          <t>A 21174-2024</t>
        </is>
      </c>
      <c r="B684" t="inlineStr">
        <is>
          <t>avverkningsanmälan</t>
        </is>
      </c>
      <c r="C684" t="inlineStr">
        <is>
          <t>Föryngringsavverkning</t>
        </is>
      </c>
      <c r="D684" s="1" t="n">
        <v>45440</v>
      </c>
      <c r="E684" s="1" t="n">
        <v>46218</v>
      </c>
      <c r="F684" t="inlineStr">
        <is>
          <t>DALARNAS LÄN</t>
        </is>
      </c>
      <c r="G684" t="inlineStr">
        <is>
          <t>RÄTTVIK</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11849-2026</t>
        </is>
      </c>
      <c r="B685" t="inlineStr">
        <is>
          <t>avverkningsanmälan</t>
        </is>
      </c>
      <c r="C685" t="inlineStr">
        <is>
          <t>Föryngringsavverkning</t>
        </is>
      </c>
      <c r="D685" s="1" t="n">
        <v>46085</v>
      </c>
      <c r="E685" s="1" t="n">
        <v>46218</v>
      </c>
      <c r="F685" t="inlineStr">
        <is>
          <t>DALARNAS LÄN</t>
        </is>
      </c>
      <c r="G685" t="inlineStr">
        <is>
          <t>RÄTTVIK</t>
        </is>
      </c>
      <c r="H685" t="inlineStr">
        <is>
          <t>Bergvik skog väst AB</t>
        </is>
      </c>
      <c r="I685" t="n">
        <v>7.2</v>
      </c>
      <c r="J685" t="n">
        <v>0</v>
      </c>
      <c r="K685" t="n">
        <v>0</v>
      </c>
      <c r="L685" t="n">
        <v>0</v>
      </c>
      <c r="M685" t="n">
        <v>0</v>
      </c>
      <c r="N685" t="n">
        <v>0</v>
      </c>
      <c r="O685" t="n">
        <v>0</v>
      </c>
      <c r="P685" t="n">
        <v>0</v>
      </c>
      <c r="Q685" t="n">
        <v>0</v>
      </c>
      <c r="R685" t="n">
        <v>0</v>
      </c>
      <c r="S685" t="n">
        <v>0</v>
      </c>
      <c r="T685" t="n">
        <v>0</v>
      </c>
      <c r="U685" s="2" t="inlineStr"/>
    </row>
    <row r="686" ht="15" customHeight="1">
      <c r="A686" t="inlineStr">
        <is>
          <t>A 72178-2021</t>
        </is>
      </c>
      <c r="B686" t="inlineStr">
        <is>
          <t>avverkningsanmälan</t>
        </is>
      </c>
      <c r="C686" t="inlineStr">
        <is>
          <t>Föryngringsavverkning</t>
        </is>
      </c>
      <c r="D686" s="1" t="n">
        <v>44544</v>
      </c>
      <c r="E686" s="1" t="n">
        <v>46218</v>
      </c>
      <c r="F686" t="inlineStr">
        <is>
          <t>DALARNAS LÄN</t>
        </is>
      </c>
      <c r="G686" t="inlineStr">
        <is>
          <t>RÄTTVIK</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7851-2026</t>
        </is>
      </c>
      <c r="B687" t="inlineStr">
        <is>
          <t>avverkningsanmälan</t>
        </is>
      </c>
      <c r="C687" t="inlineStr">
        <is>
          <t>Föryngringsavverkning</t>
        </is>
      </c>
      <c r="D687" s="1" t="n">
        <v>46062</v>
      </c>
      <c r="E687" s="1" t="n">
        <v>46218</v>
      </c>
      <c r="F687" t="inlineStr">
        <is>
          <t>DALARNAS LÄN</t>
        </is>
      </c>
      <c r="G687" t="inlineStr">
        <is>
          <t>RÄTTVIK</t>
        </is>
      </c>
      <c r="I687" t="n">
        <v>1.1</v>
      </c>
      <c r="J687" t="n">
        <v>0</v>
      </c>
      <c r="K687" t="n">
        <v>0</v>
      </c>
      <c r="L687" t="n">
        <v>0</v>
      </c>
      <c r="M687" t="n">
        <v>0</v>
      </c>
      <c r="N687" t="n">
        <v>0</v>
      </c>
      <c r="O687" t="n">
        <v>0</v>
      </c>
      <c r="P687" t="n">
        <v>0</v>
      </c>
      <c r="Q687" t="n">
        <v>0</v>
      </c>
      <c r="R687" t="n">
        <v>0</v>
      </c>
      <c r="S687" t="n">
        <v>0</v>
      </c>
      <c r="T687" t="n">
        <v>0</v>
      </c>
      <c r="U687" s="2" t="inlineStr"/>
    </row>
    <row r="688" ht="15" customHeight="1">
      <c r="A688" t="inlineStr">
        <is>
          <t>A 35900-2025</t>
        </is>
      </c>
      <c r="B688" t="inlineStr">
        <is>
          <t>avverkningsanmälan</t>
        </is>
      </c>
      <c r="C688" t="inlineStr">
        <is>
          <t>Föryngringsavverkning</t>
        </is>
      </c>
      <c r="D688" s="1" t="n">
        <v>45862</v>
      </c>
      <c r="E688" s="1" t="n">
        <v>46218</v>
      </c>
      <c r="F688" t="inlineStr">
        <is>
          <t>DALARNAS LÄN</t>
        </is>
      </c>
      <c r="G688" t="inlineStr">
        <is>
          <t>RÄTTVIK</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56523-2024</t>
        </is>
      </c>
      <c r="B689" t="inlineStr">
        <is>
          <t>avverkningsanmälan</t>
        </is>
      </c>
      <c r="C689" t="inlineStr">
        <is>
          <t>Föryngringsavverkning</t>
        </is>
      </c>
      <c r="D689" s="1" t="n">
        <v>45625</v>
      </c>
      <c r="E689" s="1" t="n">
        <v>46218</v>
      </c>
      <c r="F689" t="inlineStr">
        <is>
          <t>DALARNAS LÄN</t>
        </is>
      </c>
      <c r="G689" t="inlineStr">
        <is>
          <t>RÄTTVIK</t>
        </is>
      </c>
      <c r="H689" t="inlineStr">
        <is>
          <t>Bergvik skog öst AB</t>
        </is>
      </c>
      <c r="I689" t="n">
        <v>2.5</v>
      </c>
      <c r="J689" t="n">
        <v>0</v>
      </c>
      <c r="K689" t="n">
        <v>0</v>
      </c>
      <c r="L689" t="n">
        <v>0</v>
      </c>
      <c r="M689" t="n">
        <v>0</v>
      </c>
      <c r="N689" t="n">
        <v>0</v>
      </c>
      <c r="O689" t="n">
        <v>0</v>
      </c>
      <c r="P689" t="n">
        <v>0</v>
      </c>
      <c r="Q689" t="n">
        <v>0</v>
      </c>
      <c r="R689" t="n">
        <v>0</v>
      </c>
      <c r="S689" t="n">
        <v>0</v>
      </c>
      <c r="T689" t="n">
        <v>0</v>
      </c>
      <c r="U689" s="2" t="inlineStr"/>
    </row>
    <row r="690" ht="15" customHeight="1">
      <c r="A690" t="inlineStr">
        <is>
          <t>A 35918-2025</t>
        </is>
      </c>
      <c r="B690" t="inlineStr">
        <is>
          <t>avverkningsanmälan</t>
        </is>
      </c>
      <c r="C690" t="inlineStr">
        <is>
          <t>Föryngringsavverkning</t>
        </is>
      </c>
      <c r="D690" s="1" t="n">
        <v>45862</v>
      </c>
      <c r="E690" s="1" t="n">
        <v>46218</v>
      </c>
      <c r="F690" t="inlineStr">
        <is>
          <t>DALARNAS LÄN</t>
        </is>
      </c>
      <c r="G690" t="inlineStr">
        <is>
          <t>RÄTTVIK</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20620-2024</t>
        </is>
      </c>
      <c r="B691" t="inlineStr">
        <is>
          <t>avverkningsanmälan</t>
        </is>
      </c>
      <c r="C691" t="inlineStr">
        <is>
          <t>Föryngringsavverkning</t>
        </is>
      </c>
      <c r="D691" s="1" t="n">
        <v>45436</v>
      </c>
      <c r="E691" s="1" t="n">
        <v>46218</v>
      </c>
      <c r="F691" t="inlineStr">
        <is>
          <t>DALARNAS LÄN</t>
        </is>
      </c>
      <c r="G691" t="inlineStr">
        <is>
          <t>RÄTTVIK</t>
        </is>
      </c>
      <c r="H691" t="inlineStr">
        <is>
          <t>Sveaskog</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47572-2024</t>
        </is>
      </c>
      <c r="B692" t="inlineStr">
        <is>
          <t>avverkningsanmälan</t>
        </is>
      </c>
      <c r="C692" t="inlineStr">
        <is>
          <t>Föryngringsavverkning</t>
        </is>
      </c>
      <c r="D692" s="1" t="n">
        <v>45587</v>
      </c>
      <c r="E692" s="1" t="n">
        <v>46218</v>
      </c>
      <c r="F692" t="inlineStr">
        <is>
          <t>DALARNAS LÄN</t>
        </is>
      </c>
      <c r="G692" t="inlineStr">
        <is>
          <t>RÄTTVIK</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169-2026</t>
        </is>
      </c>
      <c r="B693" t="inlineStr">
        <is>
          <t>avverkningsanmälan</t>
        </is>
      </c>
      <c r="C693" t="inlineStr">
        <is>
          <t>Föryngringsavverkning</t>
        </is>
      </c>
      <c r="D693" s="1" t="n">
        <v>46025</v>
      </c>
      <c r="E693" s="1" t="n">
        <v>46218</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s="2" t="inlineStr"/>
    </row>
    <row r="694" ht="15" customHeight="1">
      <c r="A694" t="inlineStr">
        <is>
          <t>A 24903-2025</t>
        </is>
      </c>
      <c r="B694" t="inlineStr">
        <is>
          <t>avverkningsanmälan</t>
        </is>
      </c>
      <c r="C694" t="inlineStr">
        <is>
          <t>Föryngringsavverkning</t>
        </is>
      </c>
      <c r="D694" s="1" t="n">
        <v>45799</v>
      </c>
      <c r="E694" s="1" t="n">
        <v>46218</v>
      </c>
      <c r="F694" t="inlineStr">
        <is>
          <t>DALARNAS LÄN</t>
        </is>
      </c>
      <c r="G694" t="inlineStr">
        <is>
          <t>RÄTTVIK</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55122-2024</t>
        </is>
      </c>
      <c r="B695" t="inlineStr">
        <is>
          <t>avverkningsanmälan</t>
        </is>
      </c>
      <c r="C695" t="inlineStr">
        <is>
          <t>Föryngringsavverkning</t>
        </is>
      </c>
      <c r="D695" s="1" t="n">
        <v>45618</v>
      </c>
      <c r="E695" s="1" t="n">
        <v>46218</v>
      </c>
      <c r="F695" t="inlineStr">
        <is>
          <t>DALARNAS LÄN</t>
        </is>
      </c>
      <c r="G695" t="inlineStr">
        <is>
          <t>RÄTTVIK</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59721-2025</t>
        </is>
      </c>
      <c r="B696" t="inlineStr">
        <is>
          <t>avverkningsanmälan</t>
        </is>
      </c>
      <c r="C696" t="inlineStr">
        <is>
          <t>Föryngringsavverkning</t>
        </is>
      </c>
      <c r="D696" s="1" t="n">
        <v>45992</v>
      </c>
      <c r="E696" s="1" t="n">
        <v>46218</v>
      </c>
      <c r="F696" t="inlineStr">
        <is>
          <t>DALARNAS LÄN</t>
        </is>
      </c>
      <c r="G696" t="inlineStr">
        <is>
          <t>RÄTTVIK</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5570-2026</t>
        </is>
      </c>
      <c r="B697" t="inlineStr">
        <is>
          <t>avverkningsanmälan</t>
        </is>
      </c>
      <c r="C697" t="inlineStr">
        <is>
          <t>Föryngringsavverkning</t>
        </is>
      </c>
      <c r="D697" s="1" t="n">
        <v>46050</v>
      </c>
      <c r="E697" s="1" t="n">
        <v>46218</v>
      </c>
      <c r="F697" t="inlineStr">
        <is>
          <t>DALARNAS LÄN</t>
        </is>
      </c>
      <c r="G697" t="inlineStr">
        <is>
          <t>RÄTTVIK</t>
        </is>
      </c>
      <c r="I697" t="n">
        <v>2.7</v>
      </c>
      <c r="J697" t="n">
        <v>0</v>
      </c>
      <c r="K697" t="n">
        <v>0</v>
      </c>
      <c r="L697" t="n">
        <v>0</v>
      </c>
      <c r="M697" t="n">
        <v>0</v>
      </c>
      <c r="N697" t="n">
        <v>0</v>
      </c>
      <c r="O697" t="n">
        <v>0</v>
      </c>
      <c r="P697" t="n">
        <v>0</v>
      </c>
      <c r="Q697" t="n">
        <v>0</v>
      </c>
      <c r="R697" t="n">
        <v>0</v>
      </c>
      <c r="S697" t="n">
        <v>0</v>
      </c>
      <c r="T697" t="n">
        <v>0</v>
      </c>
      <c r="U697" s="2" t="inlineStr"/>
    </row>
    <row r="698" ht="15" customHeight="1">
      <c r="A698" t="inlineStr">
        <is>
          <t>A 3421-2026</t>
        </is>
      </c>
      <c r="B698" t="inlineStr">
        <is>
          <t>avverkningsanmälan</t>
        </is>
      </c>
      <c r="C698" t="inlineStr">
        <is>
          <t>Föryngringsavverkning</t>
        </is>
      </c>
      <c r="D698" s="1" t="n">
        <v>46042</v>
      </c>
      <c r="E698" s="1" t="n">
        <v>46218</v>
      </c>
      <c r="F698" t="inlineStr">
        <is>
          <t>DALARNAS LÄN</t>
        </is>
      </c>
      <c r="G698" t="inlineStr">
        <is>
          <t>RÄTTVIK</t>
        </is>
      </c>
      <c r="I698" t="n">
        <v>10.3</v>
      </c>
      <c r="J698" t="n">
        <v>0</v>
      </c>
      <c r="K698" t="n">
        <v>0</v>
      </c>
      <c r="L698" t="n">
        <v>0</v>
      </c>
      <c r="M698" t="n">
        <v>0</v>
      </c>
      <c r="N698" t="n">
        <v>0</v>
      </c>
      <c r="O698" t="n">
        <v>0</v>
      </c>
      <c r="P698" t="n">
        <v>0</v>
      </c>
      <c r="Q698" t="n">
        <v>0</v>
      </c>
      <c r="R698" t="n">
        <v>0</v>
      </c>
      <c r="S698" t="n">
        <v>0</v>
      </c>
      <c r="T698" t="n">
        <v>0</v>
      </c>
      <c r="U698" s="2" t="inlineStr"/>
    </row>
    <row r="699" ht="15" customHeight="1">
      <c r="A699" t="inlineStr">
        <is>
          <t>A 6880-2026</t>
        </is>
      </c>
      <c r="B699" t="inlineStr">
        <is>
          <t>avverkningsanmälan</t>
        </is>
      </c>
      <c r="C699" t="inlineStr">
        <is>
          <t>Föryngringsavverkning</t>
        </is>
      </c>
      <c r="D699" s="1" t="n">
        <v>46057</v>
      </c>
      <c r="E699" s="1" t="n">
        <v>46218</v>
      </c>
      <c r="F699" t="inlineStr">
        <is>
          <t>DALARNAS LÄN</t>
        </is>
      </c>
      <c r="G699" t="inlineStr">
        <is>
          <t>RÄTTVIK</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42933-2024</t>
        </is>
      </c>
      <c r="B700" t="inlineStr">
        <is>
          <t>avverkningsanmälan</t>
        </is>
      </c>
      <c r="C700" t="inlineStr">
        <is>
          <t>Föryngringsavverkning</t>
        </is>
      </c>
      <c r="D700" s="1" t="n">
        <v>45567</v>
      </c>
      <c r="E700" s="1" t="n">
        <v>46218</v>
      </c>
      <c r="F700" t="inlineStr">
        <is>
          <t>DALARNAS LÄN</t>
        </is>
      </c>
      <c r="G700" t="inlineStr">
        <is>
          <t>RÄTTVIK</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46721-2023</t>
        </is>
      </c>
      <c r="B701" t="inlineStr">
        <is>
          <t>avverkningsanmälan</t>
        </is>
      </c>
      <c r="C701" t="inlineStr">
        <is>
          <t>Föryngringsavverkning</t>
        </is>
      </c>
      <c r="D701" s="1" t="n">
        <v>45198</v>
      </c>
      <c r="E701" s="1" t="n">
        <v>46218</v>
      </c>
      <c r="F701" t="inlineStr">
        <is>
          <t>DALARNAS LÄN</t>
        </is>
      </c>
      <c r="G701" t="inlineStr">
        <is>
          <t>RÄTTVIK</t>
        </is>
      </c>
      <c r="I701" t="n">
        <v>4</v>
      </c>
      <c r="J701" t="n">
        <v>0</v>
      </c>
      <c r="K701" t="n">
        <v>0</v>
      </c>
      <c r="L701" t="n">
        <v>0</v>
      </c>
      <c r="M701" t="n">
        <v>0</v>
      </c>
      <c r="N701" t="n">
        <v>0</v>
      </c>
      <c r="O701" t="n">
        <v>0</v>
      </c>
      <c r="P701" t="n">
        <v>0</v>
      </c>
      <c r="Q701" t="n">
        <v>0</v>
      </c>
      <c r="R701" t="n">
        <v>0</v>
      </c>
      <c r="S701" t="n">
        <v>0</v>
      </c>
      <c r="T701" t="n">
        <v>0</v>
      </c>
      <c r="U701" s="2" t="inlineStr"/>
    </row>
    <row r="702" ht="15" customHeight="1">
      <c r="A702" t="inlineStr">
        <is>
          <t>A 20562-2026</t>
        </is>
      </c>
      <c r="B702" t="inlineStr">
        <is>
          <t>avverkningsanmälan</t>
        </is>
      </c>
      <c r="C702" t="inlineStr">
        <is>
          <t>Föryngringsavverkning</t>
        </is>
      </c>
      <c r="D702" s="1" t="n">
        <v>46140</v>
      </c>
      <c r="E702" s="1" t="n">
        <v>46218</v>
      </c>
      <c r="F702" t="inlineStr">
        <is>
          <t>DALARNAS LÄN</t>
        </is>
      </c>
      <c r="G702" t="inlineStr">
        <is>
          <t>RÄTTVIK</t>
        </is>
      </c>
      <c r="H702" t="inlineStr">
        <is>
          <t>Bergvik skog väst AB</t>
        </is>
      </c>
      <c r="I702" t="n">
        <v>3.7</v>
      </c>
      <c r="J702" t="n">
        <v>0</v>
      </c>
      <c r="K702" t="n">
        <v>0</v>
      </c>
      <c r="L702" t="n">
        <v>0</v>
      </c>
      <c r="M702" t="n">
        <v>0</v>
      </c>
      <c r="N702" t="n">
        <v>0</v>
      </c>
      <c r="O702" t="n">
        <v>0</v>
      </c>
      <c r="P702" t="n">
        <v>0</v>
      </c>
      <c r="Q702" t="n">
        <v>0</v>
      </c>
      <c r="R702" t="n">
        <v>0</v>
      </c>
      <c r="S702" t="n">
        <v>0</v>
      </c>
      <c r="T702" t="n">
        <v>0</v>
      </c>
      <c r="U702" s="2" t="inlineStr"/>
    </row>
    <row r="703" ht="15" customHeight="1">
      <c r="A703" t="inlineStr">
        <is>
          <t>A 11749-2026</t>
        </is>
      </c>
      <c r="B703" t="inlineStr">
        <is>
          <t>avverkningsanmälan</t>
        </is>
      </c>
      <c r="C703" t="inlineStr">
        <is>
          <t>Föryngringsavverkning</t>
        </is>
      </c>
      <c r="D703" s="1" t="n">
        <v>46084</v>
      </c>
      <c r="E703" s="1" t="n">
        <v>46218</v>
      </c>
      <c r="F703" t="inlineStr">
        <is>
          <t>DALARNAS LÄN</t>
        </is>
      </c>
      <c r="G703" t="inlineStr">
        <is>
          <t>RÄTTVIK</t>
        </is>
      </c>
      <c r="I703" t="n">
        <v>3.3</v>
      </c>
      <c r="J703" t="n">
        <v>0</v>
      </c>
      <c r="K703" t="n">
        <v>0</v>
      </c>
      <c r="L703" t="n">
        <v>0</v>
      </c>
      <c r="M703" t="n">
        <v>0</v>
      </c>
      <c r="N703" t="n">
        <v>0</v>
      </c>
      <c r="O703" t="n">
        <v>0</v>
      </c>
      <c r="P703" t="n">
        <v>0</v>
      </c>
      <c r="Q703" t="n">
        <v>0</v>
      </c>
      <c r="R703" t="n">
        <v>0</v>
      </c>
      <c r="S703" t="n">
        <v>0</v>
      </c>
      <c r="T703" t="n">
        <v>0</v>
      </c>
      <c r="U703" s="2" t="inlineStr"/>
    </row>
    <row r="704" ht="15" customHeight="1">
      <c r="A704" t="inlineStr">
        <is>
          <t>A 33768-2022</t>
        </is>
      </c>
      <c r="B704" t="inlineStr">
        <is>
          <t>avverkningsanmälan</t>
        </is>
      </c>
      <c r="C704" t="inlineStr">
        <is>
          <t>Föryngringsavverkning</t>
        </is>
      </c>
      <c r="D704" s="1" t="n">
        <v>44790</v>
      </c>
      <c r="E704" s="1" t="n">
        <v>46218</v>
      </c>
      <c r="F704" t="inlineStr">
        <is>
          <t>DALARNAS LÄN</t>
        </is>
      </c>
      <c r="G704" t="inlineStr">
        <is>
          <t>RÄTTVIK</t>
        </is>
      </c>
      <c r="I704" t="n">
        <v>1.6</v>
      </c>
      <c r="J704" t="n">
        <v>0</v>
      </c>
      <c r="K704" t="n">
        <v>0</v>
      </c>
      <c r="L704" t="n">
        <v>0</v>
      </c>
      <c r="M704" t="n">
        <v>0</v>
      </c>
      <c r="N704" t="n">
        <v>0</v>
      </c>
      <c r="O704" t="n">
        <v>0</v>
      </c>
      <c r="P704" t="n">
        <v>0</v>
      </c>
      <c r="Q704" t="n">
        <v>0</v>
      </c>
      <c r="R704" t="n">
        <v>0</v>
      </c>
      <c r="S704" t="n">
        <v>0</v>
      </c>
      <c r="T704" t="n">
        <v>0</v>
      </c>
      <c r="U704" s="2" t="inlineStr"/>
    </row>
    <row r="705" ht="15" customHeight="1">
      <c r="A705" t="inlineStr">
        <is>
          <t>A 25907-2025</t>
        </is>
      </c>
      <c r="B705" t="inlineStr">
        <is>
          <t>avverkningsanmälan</t>
        </is>
      </c>
      <c r="C705" t="inlineStr">
        <is>
          <t>Föryngringsavverkning</t>
        </is>
      </c>
      <c r="D705" s="1" t="n">
        <v>45803</v>
      </c>
      <c r="E705" s="1" t="n">
        <v>46218</v>
      </c>
      <c r="F705" t="inlineStr">
        <is>
          <t>DALARNAS LÄN</t>
        </is>
      </c>
      <c r="G705" t="inlineStr">
        <is>
          <t>RÄTTVIK</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11468-2026</t>
        </is>
      </c>
      <c r="B706" t="inlineStr">
        <is>
          <t>avverkningsanmälan</t>
        </is>
      </c>
      <c r="C706" t="inlineStr">
        <is>
          <t>Föryngringsavverkning</t>
        </is>
      </c>
      <c r="D706" s="1" t="n">
        <v>46083</v>
      </c>
      <c r="E706" s="1" t="n">
        <v>46218</v>
      </c>
      <c r="F706" t="inlineStr">
        <is>
          <t>DALARNAS LÄN</t>
        </is>
      </c>
      <c r="G706" t="inlineStr">
        <is>
          <t>RÄTTVIK</t>
        </is>
      </c>
      <c r="I706" t="n">
        <v>9.6</v>
      </c>
      <c r="J706" t="n">
        <v>0</v>
      </c>
      <c r="K706" t="n">
        <v>0</v>
      </c>
      <c r="L706" t="n">
        <v>0</v>
      </c>
      <c r="M706" t="n">
        <v>0</v>
      </c>
      <c r="N706" t="n">
        <v>0</v>
      </c>
      <c r="O706" t="n">
        <v>0</v>
      </c>
      <c r="P706" t="n">
        <v>0</v>
      </c>
      <c r="Q706" t="n">
        <v>0</v>
      </c>
      <c r="R706" t="n">
        <v>0</v>
      </c>
      <c r="S706" t="n">
        <v>0</v>
      </c>
      <c r="T706" t="n">
        <v>0</v>
      </c>
      <c r="U706" s="2" t="inlineStr"/>
    </row>
    <row r="707" ht="15" customHeight="1">
      <c r="A707" t="inlineStr">
        <is>
          <t>A 20510-2026</t>
        </is>
      </c>
      <c r="B707" t="inlineStr">
        <is>
          <t>avverkningsanmälan</t>
        </is>
      </c>
      <c r="C707" t="inlineStr">
        <is>
          <t>Föryngringsavverkning</t>
        </is>
      </c>
      <c r="D707" s="1" t="n">
        <v>46140</v>
      </c>
      <c r="E707" s="1" t="n">
        <v>46218</v>
      </c>
      <c r="F707" t="inlineStr">
        <is>
          <t>DALARNAS LÄN</t>
        </is>
      </c>
      <c r="G707" t="inlineStr">
        <is>
          <t>RÄTTVIK</t>
        </is>
      </c>
      <c r="H707" t="inlineStr">
        <is>
          <t>Bergvik skog väst AB</t>
        </is>
      </c>
      <c r="I707" t="n">
        <v>2.8</v>
      </c>
      <c r="J707" t="n">
        <v>0</v>
      </c>
      <c r="K707" t="n">
        <v>0</v>
      </c>
      <c r="L707" t="n">
        <v>0</v>
      </c>
      <c r="M707" t="n">
        <v>0</v>
      </c>
      <c r="N707" t="n">
        <v>0</v>
      </c>
      <c r="O707" t="n">
        <v>0</v>
      </c>
      <c r="P707" t="n">
        <v>0</v>
      </c>
      <c r="Q707" t="n">
        <v>0</v>
      </c>
      <c r="R707" t="n">
        <v>0</v>
      </c>
      <c r="S707" t="n">
        <v>0</v>
      </c>
      <c r="T707" t="n">
        <v>0</v>
      </c>
      <c r="U707" s="2" t="inlineStr"/>
    </row>
    <row r="708" ht="15" customHeight="1">
      <c r="A708" t="inlineStr">
        <is>
          <t>A 20693-2026</t>
        </is>
      </c>
      <c r="B708" t="inlineStr">
        <is>
          <t>avverkningsanmälan</t>
        </is>
      </c>
      <c r="C708" t="inlineStr">
        <is>
          <t>Föryngringsavverkning</t>
        </is>
      </c>
      <c r="D708" s="1" t="n">
        <v>46141</v>
      </c>
      <c r="E708" s="1" t="n">
        <v>46218</v>
      </c>
      <c r="F708" t="inlineStr">
        <is>
          <t>DALARNAS LÄN</t>
        </is>
      </c>
      <c r="G708" t="inlineStr">
        <is>
          <t>RÄTTVIK</t>
        </is>
      </c>
      <c r="H708" t="inlineStr">
        <is>
          <t>Bergvik skog väst AB</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19230-2026</t>
        </is>
      </c>
      <c r="B709" t="inlineStr">
        <is>
          <t>avverkningsanmälan</t>
        </is>
      </c>
      <c r="C709" t="inlineStr">
        <is>
          <t>Föryngringsavverkning</t>
        </is>
      </c>
      <c r="D709" s="1" t="n">
        <v>46132</v>
      </c>
      <c r="E709" s="1" t="n">
        <v>46218</v>
      </c>
      <c r="F709" t="inlineStr">
        <is>
          <t>DALARNAS LÄN</t>
        </is>
      </c>
      <c r="G709" t="inlineStr">
        <is>
          <t>RÄTTVIK</t>
        </is>
      </c>
      <c r="H709" t="inlineStr">
        <is>
          <t>Bergvik skog väst AB</t>
        </is>
      </c>
      <c r="I709" t="n">
        <v>46.6</v>
      </c>
      <c r="J709" t="n">
        <v>0</v>
      </c>
      <c r="K709" t="n">
        <v>0</v>
      </c>
      <c r="L709" t="n">
        <v>0</v>
      </c>
      <c r="M709" t="n">
        <v>0</v>
      </c>
      <c r="N709" t="n">
        <v>0</v>
      </c>
      <c r="O709" t="n">
        <v>0</v>
      </c>
      <c r="P709" t="n">
        <v>0</v>
      </c>
      <c r="Q709" t="n">
        <v>0</v>
      </c>
      <c r="R709" t="n">
        <v>0</v>
      </c>
      <c r="S709" t="n">
        <v>0</v>
      </c>
      <c r="T709" t="n">
        <v>0</v>
      </c>
      <c r="U709" s="2" t="inlineStr"/>
    </row>
    <row r="710" ht="15" customHeight="1">
      <c r="A710" t="inlineStr">
        <is>
          <t>A 1069-2024</t>
        </is>
      </c>
      <c r="B710" t="inlineStr">
        <is>
          <t>avverkningsanmälan</t>
        </is>
      </c>
      <c r="C710" t="inlineStr">
        <is>
          <t>Föryngringsavverkning</t>
        </is>
      </c>
      <c r="D710" s="1" t="n">
        <v>45302</v>
      </c>
      <c r="E710" s="1" t="n">
        <v>46218</v>
      </c>
      <c r="F710" t="inlineStr">
        <is>
          <t>DALARNAS LÄN</t>
        </is>
      </c>
      <c r="G710" t="inlineStr">
        <is>
          <t>RÄTTVIK</t>
        </is>
      </c>
      <c r="I710" t="n">
        <v>14.3</v>
      </c>
      <c r="J710" t="n">
        <v>0</v>
      </c>
      <c r="K710" t="n">
        <v>0</v>
      </c>
      <c r="L710" t="n">
        <v>0</v>
      </c>
      <c r="M710" t="n">
        <v>0</v>
      </c>
      <c r="N710" t="n">
        <v>0</v>
      </c>
      <c r="O710" t="n">
        <v>0</v>
      </c>
      <c r="P710" t="n">
        <v>0</v>
      </c>
      <c r="Q710" t="n">
        <v>0</v>
      </c>
      <c r="R710" t="n">
        <v>0</v>
      </c>
      <c r="S710" t="n">
        <v>0</v>
      </c>
      <c r="T710" t="n">
        <v>0</v>
      </c>
      <c r="U710" s="2" t="inlineStr"/>
    </row>
    <row r="711" ht="15" customHeight="1">
      <c r="A711" t="inlineStr">
        <is>
          <t>A 40177-2022</t>
        </is>
      </c>
      <c r="B711" t="inlineStr">
        <is>
          <t>avverkningsanmälan</t>
        </is>
      </c>
      <c r="C711" t="inlineStr">
        <is>
          <t>Avverkning för annat ändamål</t>
        </is>
      </c>
      <c r="D711" s="1" t="n">
        <v>44818</v>
      </c>
      <c r="E711" s="1" t="n">
        <v>46218</v>
      </c>
      <c r="F711" t="inlineStr">
        <is>
          <t>DALARNAS LÄN</t>
        </is>
      </c>
      <c r="G711" t="inlineStr">
        <is>
          <t>RÄTTVIK</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20565-2026</t>
        </is>
      </c>
      <c r="B712" t="inlineStr">
        <is>
          <t>avverkningsanmälan</t>
        </is>
      </c>
      <c r="C712" t="inlineStr">
        <is>
          <t>Föryngringsavverkning</t>
        </is>
      </c>
      <c r="D712" s="1" t="n">
        <v>46140</v>
      </c>
      <c r="E712" s="1" t="n">
        <v>46218</v>
      </c>
      <c r="F712" t="inlineStr">
        <is>
          <t>DALARNAS LÄN</t>
        </is>
      </c>
      <c r="G712" t="inlineStr">
        <is>
          <t>RÄTTVIK</t>
        </is>
      </c>
      <c r="H712" t="inlineStr">
        <is>
          <t>Bergvik skog väst AB</t>
        </is>
      </c>
      <c r="I712" t="n">
        <v>2.9</v>
      </c>
      <c r="J712" t="n">
        <v>0</v>
      </c>
      <c r="K712" t="n">
        <v>0</v>
      </c>
      <c r="L712" t="n">
        <v>0</v>
      </c>
      <c r="M712" t="n">
        <v>0</v>
      </c>
      <c r="N712" t="n">
        <v>0</v>
      </c>
      <c r="O712" t="n">
        <v>0</v>
      </c>
      <c r="P712" t="n">
        <v>0</v>
      </c>
      <c r="Q712" t="n">
        <v>0</v>
      </c>
      <c r="R712" t="n">
        <v>0</v>
      </c>
      <c r="S712" t="n">
        <v>0</v>
      </c>
      <c r="T712" t="n">
        <v>0</v>
      </c>
      <c r="U712" s="2" t="inlineStr"/>
    </row>
    <row r="713" ht="15" customHeight="1">
      <c r="A713" t="inlineStr">
        <is>
          <t>A 20691-2026</t>
        </is>
      </c>
      <c r="B713" t="inlineStr">
        <is>
          <t>avverkningsanmälan</t>
        </is>
      </c>
      <c r="C713" t="inlineStr">
        <is>
          <t>Föryngringsavverkning</t>
        </is>
      </c>
      <c r="D713" s="1" t="n">
        <v>46141</v>
      </c>
      <c r="E713" s="1" t="n">
        <v>46218</v>
      </c>
      <c r="F713" t="inlineStr">
        <is>
          <t>DALARNAS LÄN</t>
        </is>
      </c>
      <c r="G713" t="inlineStr">
        <is>
          <t>RÄTTVIK</t>
        </is>
      </c>
      <c r="H713" t="inlineStr">
        <is>
          <t>Bergvik skog väst AB</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20692-2026</t>
        </is>
      </c>
      <c r="B714" t="inlineStr">
        <is>
          <t>avverkningsanmälan</t>
        </is>
      </c>
      <c r="C714" t="inlineStr">
        <is>
          <t>Föryngringsavverkning</t>
        </is>
      </c>
      <c r="D714" s="1" t="n">
        <v>46141</v>
      </c>
      <c r="E714" s="1" t="n">
        <v>46218</v>
      </c>
      <c r="F714" t="inlineStr">
        <is>
          <t>DALARNAS LÄN</t>
        </is>
      </c>
      <c r="G714" t="inlineStr">
        <is>
          <t>RÄTTVIK</t>
        </is>
      </c>
      <c r="H714" t="inlineStr">
        <is>
          <t>Bergvik skog väst AB</t>
        </is>
      </c>
      <c r="I714" t="n">
        <v>0.8</v>
      </c>
      <c r="J714" t="n">
        <v>0</v>
      </c>
      <c r="K714" t="n">
        <v>0</v>
      </c>
      <c r="L714" t="n">
        <v>0</v>
      </c>
      <c r="M714" t="n">
        <v>0</v>
      </c>
      <c r="N714" t="n">
        <v>0</v>
      </c>
      <c r="O714" t="n">
        <v>0</v>
      </c>
      <c r="P714" t="n">
        <v>0</v>
      </c>
      <c r="Q714" t="n">
        <v>0</v>
      </c>
      <c r="R714" t="n">
        <v>0</v>
      </c>
      <c r="S714" t="n">
        <v>0</v>
      </c>
      <c r="T714" t="n">
        <v>0</v>
      </c>
      <c r="U714" s="2" t="inlineStr"/>
    </row>
    <row r="715" ht="15" customHeight="1">
      <c r="A715" t="inlineStr">
        <is>
          <t>A 27418-2023</t>
        </is>
      </c>
      <c r="B715" t="inlineStr">
        <is>
          <t>avverkningsanmälan</t>
        </is>
      </c>
      <c r="C715" t="inlineStr">
        <is>
          <t>Föryngringsavverkning</t>
        </is>
      </c>
      <c r="D715" s="1" t="n">
        <v>45097</v>
      </c>
      <c r="E715" s="1" t="n">
        <v>46218</v>
      </c>
      <c r="F715" t="inlineStr">
        <is>
          <t>DALARNAS LÄN</t>
        </is>
      </c>
      <c r="G715" t="inlineStr">
        <is>
          <t>RÄTTVIK</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4827-2026</t>
        </is>
      </c>
      <c r="B716" t="inlineStr">
        <is>
          <t>avverkningsanmälan</t>
        </is>
      </c>
      <c r="C716" t="inlineStr">
        <is>
          <t>Föryngringsavverkning</t>
        </is>
      </c>
      <c r="D716" s="1" t="n">
        <v>46048</v>
      </c>
      <c r="E716" s="1" t="n">
        <v>46218</v>
      </c>
      <c r="F716" t="inlineStr">
        <is>
          <t>DALARNAS LÄN</t>
        </is>
      </c>
      <c r="G716" t="inlineStr">
        <is>
          <t>RÄTTVIK</t>
        </is>
      </c>
      <c r="I716" t="n">
        <v>5.4</v>
      </c>
      <c r="J716" t="n">
        <v>0</v>
      </c>
      <c r="K716" t="n">
        <v>0</v>
      </c>
      <c r="L716" t="n">
        <v>0</v>
      </c>
      <c r="M716" t="n">
        <v>0</v>
      </c>
      <c r="N716" t="n">
        <v>0</v>
      </c>
      <c r="O716" t="n">
        <v>0</v>
      </c>
      <c r="P716" t="n">
        <v>0</v>
      </c>
      <c r="Q716" t="n">
        <v>0</v>
      </c>
      <c r="R716" t="n">
        <v>0</v>
      </c>
      <c r="S716" t="n">
        <v>0</v>
      </c>
      <c r="T716" t="n">
        <v>0</v>
      </c>
      <c r="U716" s="2" t="inlineStr"/>
    </row>
    <row r="717" ht="15" customHeight="1">
      <c r="A717" t="inlineStr">
        <is>
          <t>A 20818-2026</t>
        </is>
      </c>
      <c r="B717" t="inlineStr">
        <is>
          <t>avverkningsanmälan</t>
        </is>
      </c>
      <c r="C717" t="inlineStr">
        <is>
          <t>Föryngringsavverkning</t>
        </is>
      </c>
      <c r="D717" s="1" t="n">
        <v>46141</v>
      </c>
      <c r="E717" s="1" t="n">
        <v>46218</v>
      </c>
      <c r="F717" t="inlineStr">
        <is>
          <t>DALARNAS LÄN</t>
        </is>
      </c>
      <c r="G717" t="inlineStr">
        <is>
          <t>RÄTTVIK</t>
        </is>
      </c>
      <c r="I717" t="n">
        <v>4.7</v>
      </c>
      <c r="J717" t="n">
        <v>0</v>
      </c>
      <c r="K717" t="n">
        <v>0</v>
      </c>
      <c r="L717" t="n">
        <v>0</v>
      </c>
      <c r="M717" t="n">
        <v>0</v>
      </c>
      <c r="N717" t="n">
        <v>0</v>
      </c>
      <c r="O717" t="n">
        <v>0</v>
      </c>
      <c r="P717" t="n">
        <v>0</v>
      </c>
      <c r="Q717" t="n">
        <v>0</v>
      </c>
      <c r="R717" t="n">
        <v>0</v>
      </c>
      <c r="S717" t="n">
        <v>0</v>
      </c>
      <c r="T717" t="n">
        <v>0</v>
      </c>
      <c r="U717" s="2" t="inlineStr"/>
    </row>
    <row r="718" ht="15" customHeight="1">
      <c r="A718" t="inlineStr">
        <is>
          <t>A 36897-2025</t>
        </is>
      </c>
      <c r="B718" t="inlineStr">
        <is>
          <t>avverkningsanmälan</t>
        </is>
      </c>
      <c r="C718" t="inlineStr">
        <is>
          <t>Föryngringsavverkning</t>
        </is>
      </c>
      <c r="D718" s="1" t="n">
        <v>45874</v>
      </c>
      <c r="E718" s="1" t="n">
        <v>46218</v>
      </c>
      <c r="F718" t="inlineStr">
        <is>
          <t>DALARNAS LÄN</t>
        </is>
      </c>
      <c r="G718" t="inlineStr">
        <is>
          <t>RÄTTVIK</t>
        </is>
      </c>
      <c r="H718" t="inlineStr">
        <is>
          <t>Bergvik skog väst AB</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15133-2024</t>
        </is>
      </c>
      <c r="B719" t="inlineStr">
        <is>
          <t>avverkningsanmälan</t>
        </is>
      </c>
      <c r="C719" t="inlineStr">
        <is>
          <t>Föryngringsavverkning</t>
        </is>
      </c>
      <c r="D719" s="1" t="n">
        <v>45399</v>
      </c>
      <c r="E719" s="1" t="n">
        <v>46218</v>
      </c>
      <c r="F719" t="inlineStr">
        <is>
          <t>DALARNAS LÄN</t>
        </is>
      </c>
      <c r="G719" t="inlineStr">
        <is>
          <t>RÄTTVIK</t>
        </is>
      </c>
      <c r="I719" t="n">
        <v>4.5</v>
      </c>
      <c r="J719" t="n">
        <v>0</v>
      </c>
      <c r="K719" t="n">
        <v>0</v>
      </c>
      <c r="L719" t="n">
        <v>0</v>
      </c>
      <c r="M719" t="n">
        <v>0</v>
      </c>
      <c r="N719" t="n">
        <v>0</v>
      </c>
      <c r="O719" t="n">
        <v>0</v>
      </c>
      <c r="P719" t="n">
        <v>0</v>
      </c>
      <c r="Q719" t="n">
        <v>0</v>
      </c>
      <c r="R719" t="n">
        <v>0</v>
      </c>
      <c r="S719" t="n">
        <v>0</v>
      </c>
      <c r="T719" t="n">
        <v>0</v>
      </c>
      <c r="U719" s="2" t="inlineStr"/>
    </row>
    <row r="720" ht="15" customHeight="1">
      <c r="A720" t="inlineStr">
        <is>
          <t>A 14178-2024</t>
        </is>
      </c>
      <c r="B720" t="inlineStr">
        <is>
          <t>avverkningsanmälan</t>
        </is>
      </c>
      <c r="C720" t="inlineStr">
        <is>
          <t>Avverkning för annat ändamål</t>
        </is>
      </c>
      <c r="D720" s="1" t="n">
        <v>45393</v>
      </c>
      <c r="E720" s="1" t="n">
        <v>46218</v>
      </c>
      <c r="F720" t="inlineStr">
        <is>
          <t>DALARNAS LÄN</t>
        </is>
      </c>
      <c r="G720" t="inlineStr">
        <is>
          <t>RÄTTVIK</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55022-2024</t>
        </is>
      </c>
      <c r="B721" t="inlineStr">
        <is>
          <t>avverkningsanmälan</t>
        </is>
      </c>
      <c r="C721" t="inlineStr">
        <is>
          <t>Föryngringsavverkning</t>
        </is>
      </c>
      <c r="D721" s="1" t="n">
        <v>45618</v>
      </c>
      <c r="E721" s="1" t="n">
        <v>46218</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40994-2024</t>
        </is>
      </c>
      <c r="B722" t="inlineStr">
        <is>
          <t>avverkningsanmälan</t>
        </is>
      </c>
      <c r="C722" t="inlineStr">
        <is>
          <t>Föryngringsavverkning</t>
        </is>
      </c>
      <c r="D722" s="1" t="n">
        <v>45558</v>
      </c>
      <c r="E722" s="1" t="n">
        <v>46218</v>
      </c>
      <c r="F722" t="inlineStr">
        <is>
          <t>DALARNAS LÄN</t>
        </is>
      </c>
      <c r="G722" t="inlineStr">
        <is>
          <t>RÄTTVIK</t>
        </is>
      </c>
      <c r="I722" t="n">
        <v>3</v>
      </c>
      <c r="J722" t="n">
        <v>0</v>
      </c>
      <c r="K722" t="n">
        <v>0</v>
      </c>
      <c r="L722" t="n">
        <v>0</v>
      </c>
      <c r="M722" t="n">
        <v>0</v>
      </c>
      <c r="N722" t="n">
        <v>0</v>
      </c>
      <c r="O722" t="n">
        <v>0</v>
      </c>
      <c r="P722" t="n">
        <v>0</v>
      </c>
      <c r="Q722" t="n">
        <v>0</v>
      </c>
      <c r="R722" t="n">
        <v>0</v>
      </c>
      <c r="S722" t="n">
        <v>0</v>
      </c>
      <c r="T722" t="n">
        <v>0</v>
      </c>
      <c r="U722" s="2" t="inlineStr"/>
    </row>
    <row r="723" ht="15" customHeight="1">
      <c r="A723" t="inlineStr">
        <is>
          <t>A 36879-2025</t>
        </is>
      </c>
      <c r="B723" t="inlineStr">
        <is>
          <t>avverkningsanmälan</t>
        </is>
      </c>
      <c r="C723" t="inlineStr">
        <is>
          <t>Föryngringsavverkning</t>
        </is>
      </c>
      <c r="D723" s="1" t="n">
        <v>45874</v>
      </c>
      <c r="E723" s="1" t="n">
        <v>46218</v>
      </c>
      <c r="F723" t="inlineStr">
        <is>
          <t>DALARNAS LÄN</t>
        </is>
      </c>
      <c r="G723" t="inlineStr">
        <is>
          <t>RÄTTVIK</t>
        </is>
      </c>
      <c r="H723" t="inlineStr">
        <is>
          <t>Bergvik skog väst AB</t>
        </is>
      </c>
      <c r="I723" t="n">
        <v>2.1</v>
      </c>
      <c r="J723" t="n">
        <v>0</v>
      </c>
      <c r="K723" t="n">
        <v>0</v>
      </c>
      <c r="L723" t="n">
        <v>0</v>
      </c>
      <c r="M723" t="n">
        <v>0</v>
      </c>
      <c r="N723" t="n">
        <v>0</v>
      </c>
      <c r="O723" t="n">
        <v>0</v>
      </c>
      <c r="P723" t="n">
        <v>0</v>
      </c>
      <c r="Q723" t="n">
        <v>0</v>
      </c>
      <c r="R723" t="n">
        <v>0</v>
      </c>
      <c r="S723" t="n">
        <v>0</v>
      </c>
      <c r="T723" t="n">
        <v>0</v>
      </c>
      <c r="U723" s="2" t="inlineStr"/>
    </row>
    <row r="724" ht="15" customHeight="1">
      <c r="A724" t="inlineStr">
        <is>
          <t>A 63788-2025</t>
        </is>
      </c>
      <c r="B724" t="inlineStr">
        <is>
          <t>avverkningsanmälan</t>
        </is>
      </c>
      <c r="C724" t="inlineStr">
        <is>
          <t>Föryngringsavverkning</t>
        </is>
      </c>
      <c r="D724" s="1" t="n">
        <v>46019</v>
      </c>
      <c r="E724" s="1" t="n">
        <v>46218</v>
      </c>
      <c r="F724" t="inlineStr">
        <is>
          <t>DALARNAS LÄN</t>
        </is>
      </c>
      <c r="G724" t="inlineStr">
        <is>
          <t>RÄTTVIK</t>
        </is>
      </c>
      <c r="I724" t="n">
        <v>9.300000000000001</v>
      </c>
      <c r="J724" t="n">
        <v>0</v>
      </c>
      <c r="K724" t="n">
        <v>0</v>
      </c>
      <c r="L724" t="n">
        <v>0</v>
      </c>
      <c r="M724" t="n">
        <v>0</v>
      </c>
      <c r="N724" t="n">
        <v>0</v>
      </c>
      <c r="O724" t="n">
        <v>0</v>
      </c>
      <c r="P724" t="n">
        <v>0</v>
      </c>
      <c r="Q724" t="n">
        <v>0</v>
      </c>
      <c r="R724" t="n">
        <v>0</v>
      </c>
      <c r="S724" t="n">
        <v>0</v>
      </c>
      <c r="T724" t="n">
        <v>0</v>
      </c>
      <c r="U724" s="2" t="inlineStr"/>
    </row>
    <row r="725" ht="15" customHeight="1">
      <c r="A725" t="inlineStr">
        <is>
          <t>A 60288-2025</t>
        </is>
      </c>
      <c r="B725" t="inlineStr">
        <is>
          <t>avverkningsanmälan</t>
        </is>
      </c>
      <c r="C725" t="inlineStr">
        <is>
          <t>Föryngringsavverkning</t>
        </is>
      </c>
      <c r="D725" s="1" t="n">
        <v>45994</v>
      </c>
      <c r="E725" s="1" t="n">
        <v>46218</v>
      </c>
      <c r="F725" t="inlineStr">
        <is>
          <t>DALARNAS LÄN</t>
        </is>
      </c>
      <c r="G725" t="inlineStr">
        <is>
          <t>RÄTTVIK</t>
        </is>
      </c>
      <c r="I725" t="n">
        <v>3.2</v>
      </c>
      <c r="J725" t="n">
        <v>0</v>
      </c>
      <c r="K725" t="n">
        <v>0</v>
      </c>
      <c r="L725" t="n">
        <v>0</v>
      </c>
      <c r="M725" t="n">
        <v>0</v>
      </c>
      <c r="N725" t="n">
        <v>0</v>
      </c>
      <c r="O725" t="n">
        <v>0</v>
      </c>
      <c r="P725" t="n">
        <v>0</v>
      </c>
      <c r="Q725" t="n">
        <v>0</v>
      </c>
      <c r="R725" t="n">
        <v>0</v>
      </c>
      <c r="S725" t="n">
        <v>0</v>
      </c>
      <c r="T725" t="n">
        <v>0</v>
      </c>
      <c r="U725" s="2" t="inlineStr"/>
    </row>
    <row r="726" ht="15" customHeight="1">
      <c r="A726" t="inlineStr">
        <is>
          <t>A 60302-2025</t>
        </is>
      </c>
      <c r="B726" t="inlineStr">
        <is>
          <t>avverkningsanmälan</t>
        </is>
      </c>
      <c r="C726" t="inlineStr">
        <is>
          <t>Föryngringsavverkning</t>
        </is>
      </c>
      <c r="D726" s="1" t="n">
        <v>45994</v>
      </c>
      <c r="E726" s="1" t="n">
        <v>46218</v>
      </c>
      <c r="F726" t="inlineStr">
        <is>
          <t>DALARNAS LÄN</t>
        </is>
      </c>
      <c r="G726" t="inlineStr">
        <is>
          <t>RÄTTVIK</t>
        </is>
      </c>
      <c r="H726" t="inlineStr">
        <is>
          <t>Övriga statliga verk och myndigheter</t>
        </is>
      </c>
      <c r="I726" t="n">
        <v>0.8</v>
      </c>
      <c r="J726" t="n">
        <v>0</v>
      </c>
      <c r="K726" t="n">
        <v>0</v>
      </c>
      <c r="L726" t="n">
        <v>0</v>
      </c>
      <c r="M726" t="n">
        <v>0</v>
      </c>
      <c r="N726" t="n">
        <v>0</v>
      </c>
      <c r="O726" t="n">
        <v>0</v>
      </c>
      <c r="P726" t="n">
        <v>0</v>
      </c>
      <c r="Q726" t="n">
        <v>0</v>
      </c>
      <c r="R726" t="n">
        <v>0</v>
      </c>
      <c r="S726" t="n">
        <v>0</v>
      </c>
      <c r="T726" t="n">
        <v>0</v>
      </c>
      <c r="U726" s="2" t="inlineStr"/>
    </row>
    <row r="727" ht="15" customHeight="1">
      <c r="A727" t="inlineStr">
        <is>
          <t>A 37447-2025</t>
        </is>
      </c>
      <c r="B727" t="inlineStr">
        <is>
          <t>avverkningsanmälan</t>
        </is>
      </c>
      <c r="C727" t="inlineStr">
        <is>
          <t>Föryngringsavverkning</t>
        </is>
      </c>
      <c r="D727" s="1" t="n">
        <v>45877</v>
      </c>
      <c r="E727" s="1" t="n">
        <v>46218</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40659-2025</t>
        </is>
      </c>
      <c r="B728" t="inlineStr">
        <is>
          <t>avverkningsanmälan</t>
        </is>
      </c>
      <c r="C728" t="inlineStr">
        <is>
          <t>Föryngringsavverkning</t>
        </is>
      </c>
      <c r="D728" s="1" t="n">
        <v>45896</v>
      </c>
      <c r="E728" s="1" t="n">
        <v>46218</v>
      </c>
      <c r="F728" t="inlineStr">
        <is>
          <t>DALARNAS LÄN</t>
        </is>
      </c>
      <c r="G728" t="inlineStr">
        <is>
          <t>RÄTTVIK</t>
        </is>
      </c>
      <c r="I728" t="n">
        <v>16.3</v>
      </c>
      <c r="J728" t="n">
        <v>0</v>
      </c>
      <c r="K728" t="n">
        <v>0</v>
      </c>
      <c r="L728" t="n">
        <v>0</v>
      </c>
      <c r="M728" t="n">
        <v>0</v>
      </c>
      <c r="N728" t="n">
        <v>0</v>
      </c>
      <c r="O728" t="n">
        <v>0</v>
      </c>
      <c r="P728" t="n">
        <v>0</v>
      </c>
      <c r="Q728" t="n">
        <v>0</v>
      </c>
      <c r="R728" t="n">
        <v>0</v>
      </c>
      <c r="S728" t="n">
        <v>0</v>
      </c>
      <c r="T728" t="n">
        <v>0</v>
      </c>
      <c r="U728" s="2" t="inlineStr"/>
    </row>
    <row r="729" ht="15" customHeight="1">
      <c r="A729" t="inlineStr">
        <is>
          <t>A 37446-2025</t>
        </is>
      </c>
      <c r="B729" t="inlineStr">
        <is>
          <t>avverkningsanmälan</t>
        </is>
      </c>
      <c r="C729" t="inlineStr">
        <is>
          <t>Föryngringsavverkning</t>
        </is>
      </c>
      <c r="D729" s="1" t="n">
        <v>45877</v>
      </c>
      <c r="E729" s="1" t="n">
        <v>46218</v>
      </c>
      <c r="F729" t="inlineStr">
        <is>
          <t>DALARNAS LÄN</t>
        </is>
      </c>
      <c r="G729" t="inlineStr">
        <is>
          <t>RÄTTVIK</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2692-2026</t>
        </is>
      </c>
      <c r="B730" t="inlineStr">
        <is>
          <t>avverkningsanmälan</t>
        </is>
      </c>
      <c r="C730" t="inlineStr">
        <is>
          <t>Föryngringsavverkning</t>
        </is>
      </c>
      <c r="D730" s="1" t="n">
        <v>46037</v>
      </c>
      <c r="E730" s="1" t="n">
        <v>46218</v>
      </c>
      <c r="F730" t="inlineStr">
        <is>
          <t>DALARNAS LÄN</t>
        </is>
      </c>
      <c r="G730" t="inlineStr">
        <is>
          <t>RÄTTVIK</t>
        </is>
      </c>
      <c r="I730" t="n">
        <v>5.6</v>
      </c>
      <c r="J730" t="n">
        <v>0</v>
      </c>
      <c r="K730" t="n">
        <v>0</v>
      </c>
      <c r="L730" t="n">
        <v>0</v>
      </c>
      <c r="M730" t="n">
        <v>0</v>
      </c>
      <c r="N730" t="n">
        <v>0</v>
      </c>
      <c r="O730" t="n">
        <v>0</v>
      </c>
      <c r="P730" t="n">
        <v>0</v>
      </c>
      <c r="Q730" t="n">
        <v>0</v>
      </c>
      <c r="R730" t="n">
        <v>0</v>
      </c>
      <c r="S730" t="n">
        <v>0</v>
      </c>
      <c r="T730" t="n">
        <v>0</v>
      </c>
      <c r="U730" s="2" t="inlineStr"/>
    </row>
    <row r="731" ht="15" customHeight="1">
      <c r="A731" t="inlineStr">
        <is>
          <t>A 15087-2026</t>
        </is>
      </c>
      <c r="B731" t="inlineStr">
        <is>
          <t>avverkningsanmälan</t>
        </is>
      </c>
      <c r="C731" t="inlineStr">
        <is>
          <t>Föryngringsavverkning</t>
        </is>
      </c>
      <c r="D731" s="1" t="n">
        <v>46105</v>
      </c>
      <c r="E731" s="1" t="n">
        <v>46218</v>
      </c>
      <c r="F731" t="inlineStr">
        <is>
          <t>DALARNAS LÄN</t>
        </is>
      </c>
      <c r="G731" t="inlineStr">
        <is>
          <t>RÄTTVIK</t>
        </is>
      </c>
      <c r="H731" t="inlineStr">
        <is>
          <t>Allmännings- och besparingsskogar</t>
        </is>
      </c>
      <c r="I731" t="n">
        <v>42.9</v>
      </c>
      <c r="J731" t="n">
        <v>0</v>
      </c>
      <c r="K731" t="n">
        <v>0</v>
      </c>
      <c r="L731" t="n">
        <v>0</v>
      </c>
      <c r="M731" t="n">
        <v>0</v>
      </c>
      <c r="N731" t="n">
        <v>0</v>
      </c>
      <c r="O731" t="n">
        <v>0</v>
      </c>
      <c r="P731" t="n">
        <v>0</v>
      </c>
      <c r="Q731" t="n">
        <v>0</v>
      </c>
      <c r="R731" t="n">
        <v>0</v>
      </c>
      <c r="S731" t="n">
        <v>0</v>
      </c>
      <c r="T731" t="n">
        <v>0</v>
      </c>
      <c r="U731" s="2" t="inlineStr"/>
    </row>
    <row r="732" ht="15" customHeight="1">
      <c r="A732" t="inlineStr">
        <is>
          <t>A 8073-2026</t>
        </is>
      </c>
      <c r="B732" t="inlineStr">
        <is>
          <t>avverkningsanmälan</t>
        </is>
      </c>
      <c r="C732" t="inlineStr">
        <is>
          <t>Föryngringsavverkning</t>
        </is>
      </c>
      <c r="D732" s="1" t="n">
        <v>46063</v>
      </c>
      <c r="E732" s="1" t="n">
        <v>46218</v>
      </c>
      <c r="F732" t="inlineStr">
        <is>
          <t>DALARNAS LÄN</t>
        </is>
      </c>
      <c r="G732" t="inlineStr">
        <is>
          <t>RÄTTVIK</t>
        </is>
      </c>
      <c r="I732" t="n">
        <v>2.1</v>
      </c>
      <c r="J732" t="n">
        <v>0</v>
      </c>
      <c r="K732" t="n">
        <v>0</v>
      </c>
      <c r="L732" t="n">
        <v>0</v>
      </c>
      <c r="M732" t="n">
        <v>0</v>
      </c>
      <c r="N732" t="n">
        <v>0</v>
      </c>
      <c r="O732" t="n">
        <v>0</v>
      </c>
      <c r="P732" t="n">
        <v>0</v>
      </c>
      <c r="Q732" t="n">
        <v>0</v>
      </c>
      <c r="R732" t="n">
        <v>0</v>
      </c>
      <c r="S732" t="n">
        <v>0</v>
      </c>
      <c r="T732" t="n">
        <v>0</v>
      </c>
      <c r="U732" s="2" t="inlineStr"/>
    </row>
    <row r="733" ht="15" customHeight="1">
      <c r="A733" t="inlineStr">
        <is>
          <t>A 4162-2026</t>
        </is>
      </c>
      <c r="B733" t="inlineStr">
        <is>
          <t>avverkningsanmälan</t>
        </is>
      </c>
      <c r="C733" t="inlineStr">
        <is>
          <t>Föryngringsavverkning</t>
        </is>
      </c>
      <c r="D733" s="1" t="n">
        <v>46044</v>
      </c>
      <c r="E733" s="1" t="n">
        <v>46218</v>
      </c>
      <c r="F733" t="inlineStr">
        <is>
          <t>DALARNAS LÄN</t>
        </is>
      </c>
      <c r="G733" t="inlineStr">
        <is>
          <t>RÄTTVIK</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20198-2025</t>
        </is>
      </c>
      <c r="B734" t="inlineStr">
        <is>
          <t>avverkningsanmälan</t>
        </is>
      </c>
      <c r="C734" t="inlineStr">
        <is>
          <t>Föryngringsavverkning</t>
        </is>
      </c>
      <c r="D734" s="1" t="n">
        <v>45772</v>
      </c>
      <c r="E734" s="1" t="n">
        <v>46218</v>
      </c>
      <c r="F734" t="inlineStr">
        <is>
          <t>DALARNAS LÄN</t>
        </is>
      </c>
      <c r="G734" t="inlineStr">
        <is>
          <t>RÄTTVIK</t>
        </is>
      </c>
      <c r="H734" t="inlineStr">
        <is>
          <t>Sveaskog</t>
        </is>
      </c>
      <c r="I734" t="n">
        <v>2.2</v>
      </c>
      <c r="J734" t="n">
        <v>0</v>
      </c>
      <c r="K734" t="n">
        <v>0</v>
      </c>
      <c r="L734" t="n">
        <v>0</v>
      </c>
      <c r="M734" t="n">
        <v>0</v>
      </c>
      <c r="N734" t="n">
        <v>0</v>
      </c>
      <c r="O734" t="n">
        <v>0</v>
      </c>
      <c r="P734" t="n">
        <v>0</v>
      </c>
      <c r="Q734" t="n">
        <v>0</v>
      </c>
      <c r="R734" t="n">
        <v>0</v>
      </c>
      <c r="S734" t="n">
        <v>0</v>
      </c>
      <c r="T734" t="n">
        <v>0</v>
      </c>
      <c r="U734" s="2" t="inlineStr"/>
    </row>
    <row r="735" ht="15" customHeight="1">
      <c r="A735" t="inlineStr">
        <is>
          <t>A 37852-2025</t>
        </is>
      </c>
      <c r="B735" t="inlineStr">
        <is>
          <t>avverkningsanmälan</t>
        </is>
      </c>
      <c r="C735" t="inlineStr">
        <is>
          <t>Föryngringsavverkning</t>
        </is>
      </c>
      <c r="D735" s="1" t="n">
        <v>45881</v>
      </c>
      <c r="E735" s="1" t="n">
        <v>46218</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60823-2025</t>
        </is>
      </c>
      <c r="B736" t="inlineStr">
        <is>
          <t>avverkningsanmälan</t>
        </is>
      </c>
      <c r="C736" t="inlineStr">
        <is>
          <t>Föryngringsavverkning</t>
        </is>
      </c>
      <c r="D736" s="1" t="n">
        <v>45999</v>
      </c>
      <c r="E736" s="1" t="n">
        <v>46218</v>
      </c>
      <c r="F736" t="inlineStr">
        <is>
          <t>DALARNAS LÄN</t>
        </is>
      </c>
      <c r="G736" t="inlineStr">
        <is>
          <t>RÄTTVIK</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38129-2025</t>
        </is>
      </c>
      <c r="B737" t="inlineStr">
        <is>
          <t>avverkningsanmälan</t>
        </is>
      </c>
      <c r="C737" t="inlineStr">
        <is>
          <t>Föryngringsavverkning</t>
        </is>
      </c>
      <c r="D737" s="1" t="n">
        <v>45882</v>
      </c>
      <c r="E737" s="1" t="n">
        <v>46218</v>
      </c>
      <c r="F737" t="inlineStr">
        <is>
          <t>DALARNAS LÄN</t>
        </is>
      </c>
      <c r="G737" t="inlineStr">
        <is>
          <t>RÄTTVIK</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60828-2025</t>
        </is>
      </c>
      <c r="B738" t="inlineStr">
        <is>
          <t>avverkningsanmälan</t>
        </is>
      </c>
      <c r="C738" t="inlineStr">
        <is>
          <t>Föryngringsavverkning</t>
        </is>
      </c>
      <c r="D738" s="1" t="n">
        <v>45999</v>
      </c>
      <c r="E738" s="1" t="n">
        <v>46218</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20704-2026</t>
        </is>
      </c>
      <c r="B739" t="inlineStr">
        <is>
          <t>avverkningsanmälan</t>
        </is>
      </c>
      <c r="C739" t="inlineStr">
        <is>
          <t>Föryngringsavverkning</t>
        </is>
      </c>
      <c r="D739" s="1" t="n">
        <v>46141</v>
      </c>
      <c r="E739" s="1" t="n">
        <v>46218</v>
      </c>
      <c r="F739" t="inlineStr">
        <is>
          <t>DALARNAS LÄN</t>
        </is>
      </c>
      <c r="G739" t="inlineStr">
        <is>
          <t>RÄTTVIK</t>
        </is>
      </c>
      <c r="H739" t="inlineStr">
        <is>
          <t>Bergvik skog väst AB</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15573-2026</t>
        </is>
      </c>
      <c r="B740" t="inlineStr">
        <is>
          <t>avverkningsanmälan</t>
        </is>
      </c>
      <c r="C740" t="inlineStr">
        <is>
          <t>Föryngringsavverkning</t>
        </is>
      </c>
      <c r="D740" s="1" t="n">
        <v>46106</v>
      </c>
      <c r="E740" s="1" t="n">
        <v>46218</v>
      </c>
      <c r="F740" t="inlineStr">
        <is>
          <t>DALARNAS LÄN</t>
        </is>
      </c>
      <c r="G740" t="inlineStr">
        <is>
          <t>RÄTTVIK</t>
        </is>
      </c>
      <c r="H740" t="inlineStr">
        <is>
          <t>Bergvik skog väst AB</t>
        </is>
      </c>
      <c r="I740" t="n">
        <v>20</v>
      </c>
      <c r="J740" t="n">
        <v>0</v>
      </c>
      <c r="K740" t="n">
        <v>0</v>
      </c>
      <c r="L740" t="n">
        <v>0</v>
      </c>
      <c r="M740" t="n">
        <v>0</v>
      </c>
      <c r="N740" t="n">
        <v>0</v>
      </c>
      <c r="O740" t="n">
        <v>0</v>
      </c>
      <c r="P740" t="n">
        <v>0</v>
      </c>
      <c r="Q740" t="n">
        <v>0</v>
      </c>
      <c r="R740" t="n">
        <v>0</v>
      </c>
      <c r="S740" t="n">
        <v>0</v>
      </c>
      <c r="T740" t="n">
        <v>0</v>
      </c>
      <c r="U740" s="2" t="inlineStr"/>
    </row>
    <row r="741" ht="15" customHeight="1">
      <c r="A741" t="inlineStr">
        <is>
          <t>A 37850-2025</t>
        </is>
      </c>
      <c r="B741" t="inlineStr">
        <is>
          <t>avverkningsanmälan</t>
        </is>
      </c>
      <c r="C741" t="inlineStr">
        <is>
          <t>Föryngringsavverkning</t>
        </is>
      </c>
      <c r="D741" s="1" t="n">
        <v>45881</v>
      </c>
      <c r="E741" s="1" t="n">
        <v>46218</v>
      </c>
      <c r="F741" t="inlineStr">
        <is>
          <t>DALARNAS LÄN</t>
        </is>
      </c>
      <c r="G741" t="inlineStr">
        <is>
          <t>RÄTTVIK</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29707-2023</t>
        </is>
      </c>
      <c r="B742" t="inlineStr">
        <is>
          <t>avverkningsanmälan</t>
        </is>
      </c>
      <c r="C742" t="inlineStr">
        <is>
          <t>Föryngringsavverkning</t>
        </is>
      </c>
      <c r="D742" s="1" t="n">
        <v>45107</v>
      </c>
      <c r="E742" s="1" t="n">
        <v>46218</v>
      </c>
      <c r="F742" t="inlineStr">
        <is>
          <t>DALARNAS LÄN</t>
        </is>
      </c>
      <c r="G742" t="inlineStr">
        <is>
          <t>RÄTTVIK</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61213-2025</t>
        </is>
      </c>
      <c r="B743" t="inlineStr">
        <is>
          <t>avverkningsanmälan</t>
        </is>
      </c>
      <c r="C743" t="inlineStr">
        <is>
          <t>Föryngringsavverkning</t>
        </is>
      </c>
      <c r="D743" s="1" t="n">
        <v>46000</v>
      </c>
      <c r="E743" s="1" t="n">
        <v>46218</v>
      </c>
      <c r="F743" t="inlineStr">
        <is>
          <t>DALARNAS LÄN</t>
        </is>
      </c>
      <c r="G743" t="inlineStr">
        <is>
          <t>RÄTTVIK</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38307-2025</t>
        </is>
      </c>
      <c r="B744" t="inlineStr">
        <is>
          <t>avverkningsanmälan</t>
        </is>
      </c>
      <c r="C744" t="inlineStr">
        <is>
          <t>Föryngringsavverkning</t>
        </is>
      </c>
      <c r="D744" s="1" t="n">
        <v>45883</v>
      </c>
      <c r="E744" s="1" t="n">
        <v>46218</v>
      </c>
      <c r="F744" t="inlineStr">
        <is>
          <t>DALARNAS LÄN</t>
        </is>
      </c>
      <c r="G744" t="inlineStr">
        <is>
          <t>RÄTTVIK</t>
        </is>
      </c>
      <c r="I744" t="n">
        <v>1.5</v>
      </c>
      <c r="J744" t="n">
        <v>0</v>
      </c>
      <c r="K744" t="n">
        <v>0</v>
      </c>
      <c r="L744" t="n">
        <v>0</v>
      </c>
      <c r="M744" t="n">
        <v>0</v>
      </c>
      <c r="N744" t="n">
        <v>0</v>
      </c>
      <c r="O744" t="n">
        <v>0</v>
      </c>
      <c r="P744" t="n">
        <v>0</v>
      </c>
      <c r="Q744" t="n">
        <v>0</v>
      </c>
      <c r="R744" t="n">
        <v>0</v>
      </c>
      <c r="S744" t="n">
        <v>0</v>
      </c>
      <c r="T744" t="n">
        <v>0</v>
      </c>
      <c r="U744" s="2" t="inlineStr"/>
    </row>
    <row r="745" ht="15" customHeight="1">
      <c r="A745" t="inlineStr">
        <is>
          <t>A 13171-2022</t>
        </is>
      </c>
      <c r="B745" t="inlineStr">
        <is>
          <t>avverkningsanmälan</t>
        </is>
      </c>
      <c r="C745" t="inlineStr">
        <is>
          <t>Föryngringsavverkning</t>
        </is>
      </c>
      <c r="D745" s="1" t="n">
        <v>44644</v>
      </c>
      <c r="E745" s="1" t="n">
        <v>46218</v>
      </c>
      <c r="F745" t="inlineStr">
        <is>
          <t>DALARNAS LÄN</t>
        </is>
      </c>
      <c r="G745" t="inlineStr">
        <is>
          <t>RÄTTVIK</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49722-2025</t>
        </is>
      </c>
      <c r="B746" t="inlineStr">
        <is>
          <t>avverkningsanmälan</t>
        </is>
      </c>
      <c r="C746" t="inlineStr">
        <is>
          <t>Föryngringsavverkning</t>
        </is>
      </c>
      <c r="D746" s="1" t="n">
        <v>45939</v>
      </c>
      <c r="E746" s="1" t="n">
        <v>46218</v>
      </c>
      <c r="F746" t="inlineStr">
        <is>
          <t>DALARNAS LÄN</t>
        </is>
      </c>
      <c r="G746" t="inlineStr">
        <is>
          <t>RÄTTVIK</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20817-2026</t>
        </is>
      </c>
      <c r="B747" t="inlineStr">
        <is>
          <t>avverkningsanmälan</t>
        </is>
      </c>
      <c r="C747" t="inlineStr">
        <is>
          <t>Föryngringsavverkning</t>
        </is>
      </c>
      <c r="D747" s="1" t="n">
        <v>46141</v>
      </c>
      <c r="E747" s="1" t="n">
        <v>46218</v>
      </c>
      <c r="F747" t="inlineStr">
        <is>
          <t>DALARNAS LÄN</t>
        </is>
      </c>
      <c r="G747" t="inlineStr">
        <is>
          <t>RÄTTVIK</t>
        </is>
      </c>
      <c r="I747" t="n">
        <v>9.1</v>
      </c>
      <c r="J747" t="n">
        <v>0</v>
      </c>
      <c r="K747" t="n">
        <v>0</v>
      </c>
      <c r="L747" t="n">
        <v>0</v>
      </c>
      <c r="M747" t="n">
        <v>0</v>
      </c>
      <c r="N747" t="n">
        <v>0</v>
      </c>
      <c r="O747" t="n">
        <v>0</v>
      </c>
      <c r="P747" t="n">
        <v>0</v>
      </c>
      <c r="Q747" t="n">
        <v>0</v>
      </c>
      <c r="R747" t="n">
        <v>0</v>
      </c>
      <c r="S747" t="n">
        <v>0</v>
      </c>
      <c r="T747" t="n">
        <v>0</v>
      </c>
      <c r="U747" s="2" t="inlineStr"/>
    </row>
    <row r="748" ht="15" customHeight="1">
      <c r="A748" t="inlineStr">
        <is>
          <t>A 4150-2023</t>
        </is>
      </c>
      <c r="B748" t="inlineStr">
        <is>
          <t>avverkningsanmälan</t>
        </is>
      </c>
      <c r="C748" t="inlineStr">
        <is>
          <t>Föryngringsavverkning</t>
        </is>
      </c>
      <c r="D748" s="1" t="n">
        <v>44953</v>
      </c>
      <c r="E748" s="1" t="n">
        <v>46218</v>
      </c>
      <c r="F748" t="inlineStr">
        <is>
          <t>DALARNAS LÄN</t>
        </is>
      </c>
      <c r="G748" t="inlineStr">
        <is>
          <t>RÄTTVIK</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61057-2025</t>
        </is>
      </c>
      <c r="B749" t="inlineStr">
        <is>
          <t>avverkningsanmälan</t>
        </is>
      </c>
      <c r="C749" t="inlineStr">
        <is>
          <t>Föryngringsavverkning</t>
        </is>
      </c>
      <c r="D749" s="1" t="n">
        <v>46000</v>
      </c>
      <c r="E749" s="1" t="n">
        <v>46218</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s="2" t="inlineStr"/>
    </row>
    <row r="750" ht="15" customHeight="1">
      <c r="A750" t="inlineStr">
        <is>
          <t>A 7671-2026</t>
        </is>
      </c>
      <c r="B750" t="inlineStr">
        <is>
          <t>avverkningsanmälan</t>
        </is>
      </c>
      <c r="C750" t="inlineStr">
        <is>
          <t>Föryngringsavverkning</t>
        </is>
      </c>
      <c r="D750" s="1" t="n">
        <v>46062</v>
      </c>
      <c r="E750" s="1" t="n">
        <v>46218</v>
      </c>
      <c r="F750" t="inlineStr">
        <is>
          <t>DALARNAS LÄN</t>
        </is>
      </c>
      <c r="G750" t="inlineStr">
        <is>
          <t>RÄTTVIK</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47201-2025</t>
        </is>
      </c>
      <c r="B751" t="inlineStr">
        <is>
          <t>avverkningsanmälan</t>
        </is>
      </c>
      <c r="C751" t="inlineStr">
        <is>
          <t>Föryngringsavverkning</t>
        </is>
      </c>
      <c r="D751" s="1" t="n">
        <v>45930</v>
      </c>
      <c r="E751" s="1" t="n">
        <v>46218</v>
      </c>
      <c r="F751" t="inlineStr">
        <is>
          <t>DALARNAS LÄN</t>
        </is>
      </c>
      <c r="G751" t="inlineStr">
        <is>
          <t>RÄTTVIK</t>
        </is>
      </c>
      <c r="I751" t="n">
        <v>1.1</v>
      </c>
      <c r="J751" t="n">
        <v>0</v>
      </c>
      <c r="K751" t="n">
        <v>0</v>
      </c>
      <c r="L751" t="n">
        <v>0</v>
      </c>
      <c r="M751" t="n">
        <v>0</v>
      </c>
      <c r="N751" t="n">
        <v>0</v>
      </c>
      <c r="O751" t="n">
        <v>0</v>
      </c>
      <c r="P751" t="n">
        <v>0</v>
      </c>
      <c r="Q751" t="n">
        <v>0</v>
      </c>
      <c r="R751" t="n">
        <v>0</v>
      </c>
      <c r="S751" t="n">
        <v>0</v>
      </c>
      <c r="T751" t="n">
        <v>0</v>
      </c>
      <c r="U751" s="2" t="inlineStr"/>
    </row>
    <row r="752" ht="15" customHeight="1">
      <c r="A752" t="inlineStr">
        <is>
          <t>A 61117-2025</t>
        </is>
      </c>
      <c r="B752" t="inlineStr">
        <is>
          <t>avverkningsanmälan</t>
        </is>
      </c>
      <c r="C752" t="inlineStr">
        <is>
          <t>Föryngringsavverkning</t>
        </is>
      </c>
      <c r="D752" s="1" t="n">
        <v>46000</v>
      </c>
      <c r="E752" s="1" t="n">
        <v>46218</v>
      </c>
      <c r="F752" t="inlineStr">
        <is>
          <t>DALARNAS LÄN</t>
        </is>
      </c>
      <c r="G752" t="inlineStr">
        <is>
          <t>RÄTTVIK</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20702-2026</t>
        </is>
      </c>
      <c r="B753" t="inlineStr">
        <is>
          <t>avverkningsanmälan</t>
        </is>
      </c>
      <c r="C753" t="inlineStr">
        <is>
          <t>Föryngringsavverkning</t>
        </is>
      </c>
      <c r="D753" s="1" t="n">
        <v>46141</v>
      </c>
      <c r="E753" s="1" t="n">
        <v>46218</v>
      </c>
      <c r="F753" t="inlineStr">
        <is>
          <t>DALARNAS LÄN</t>
        </is>
      </c>
      <c r="G753" t="inlineStr">
        <is>
          <t>RÄTTVIK</t>
        </is>
      </c>
      <c r="H753" t="inlineStr">
        <is>
          <t>Bergvik skog väst AB</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4355-2025</t>
        </is>
      </c>
      <c r="B754" t="inlineStr">
        <is>
          <t>avverkningsanmälan</t>
        </is>
      </c>
      <c r="C754" t="inlineStr">
        <is>
          <t>Föryngringsavverkning</t>
        </is>
      </c>
      <c r="D754" s="1" t="n">
        <v>45686</v>
      </c>
      <c r="E754" s="1" t="n">
        <v>46218</v>
      </c>
      <c r="F754" t="inlineStr">
        <is>
          <t>DALARNAS LÄN</t>
        </is>
      </c>
      <c r="G754" t="inlineStr">
        <is>
          <t>RÄTTVIK</t>
        </is>
      </c>
      <c r="I754" t="n">
        <v>2.5</v>
      </c>
      <c r="J754" t="n">
        <v>0</v>
      </c>
      <c r="K754" t="n">
        <v>0</v>
      </c>
      <c r="L754" t="n">
        <v>0</v>
      </c>
      <c r="M754" t="n">
        <v>0</v>
      </c>
      <c r="N754" t="n">
        <v>0</v>
      </c>
      <c r="O754" t="n">
        <v>0</v>
      </c>
      <c r="P754" t="n">
        <v>0</v>
      </c>
      <c r="Q754" t="n">
        <v>0</v>
      </c>
      <c r="R754" t="n">
        <v>0</v>
      </c>
      <c r="S754" t="n">
        <v>0</v>
      </c>
      <c r="T754" t="n">
        <v>0</v>
      </c>
      <c r="U754" s="2" t="inlineStr"/>
    </row>
    <row r="755" ht="15" customHeight="1">
      <c r="A755" t="inlineStr">
        <is>
          <t>A 348-2026</t>
        </is>
      </c>
      <c r="B755" t="inlineStr">
        <is>
          <t>avverkningsanmälan</t>
        </is>
      </c>
      <c r="C755" t="inlineStr">
        <is>
          <t>Föryngringsavverkning</t>
        </is>
      </c>
      <c r="D755" s="1" t="n">
        <v>46027</v>
      </c>
      <c r="E755" s="1" t="n">
        <v>46218</v>
      </c>
      <c r="F755" t="inlineStr">
        <is>
          <t>DALARNAS LÄN</t>
        </is>
      </c>
      <c r="G755" t="inlineStr">
        <is>
          <t>RÄTTVIK</t>
        </is>
      </c>
      <c r="I755" t="n">
        <v>3.6</v>
      </c>
      <c r="J755" t="n">
        <v>0</v>
      </c>
      <c r="K755" t="n">
        <v>0</v>
      </c>
      <c r="L755" t="n">
        <v>0</v>
      </c>
      <c r="M755" t="n">
        <v>0</v>
      </c>
      <c r="N755" t="n">
        <v>0</v>
      </c>
      <c r="O755" t="n">
        <v>0</v>
      </c>
      <c r="P755" t="n">
        <v>0</v>
      </c>
      <c r="Q755" t="n">
        <v>0</v>
      </c>
      <c r="R755" t="n">
        <v>0</v>
      </c>
      <c r="S755" t="n">
        <v>0</v>
      </c>
      <c r="T755" t="n">
        <v>0</v>
      </c>
      <c r="U755" s="2" t="inlineStr"/>
    </row>
    <row r="756" ht="15" customHeight="1">
      <c r="A756" t="inlineStr">
        <is>
          <t>A 50695-2023</t>
        </is>
      </c>
      <c r="B756" t="inlineStr">
        <is>
          <t>avverkningsanmälan</t>
        </is>
      </c>
      <c r="C756" t="inlineStr">
        <is>
          <t>Föryngringsavverkning</t>
        </is>
      </c>
      <c r="D756" s="1" t="n">
        <v>45217</v>
      </c>
      <c r="E756" s="1" t="n">
        <v>46218</v>
      </c>
      <c r="F756" t="inlineStr">
        <is>
          <t>DALARNAS LÄN</t>
        </is>
      </c>
      <c r="G756" t="inlineStr">
        <is>
          <t>RÄTTVIK</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55171-2025</t>
        </is>
      </c>
      <c r="B757" t="inlineStr">
        <is>
          <t>avverkningsanmälan</t>
        </is>
      </c>
      <c r="C757" t="inlineStr">
        <is>
          <t>Föryngringsavverkning</t>
        </is>
      </c>
      <c r="D757" s="1" t="n">
        <v>45968</v>
      </c>
      <c r="E757" s="1" t="n">
        <v>46218</v>
      </c>
      <c r="F757" t="inlineStr">
        <is>
          <t>DALARNAS LÄN</t>
        </is>
      </c>
      <c r="G757" t="inlineStr">
        <is>
          <t>RÄTTVIK</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61820-2025</t>
        </is>
      </c>
      <c r="B758" t="inlineStr">
        <is>
          <t>avverkningsanmälan</t>
        </is>
      </c>
      <c r="C758" t="inlineStr">
        <is>
          <t>Föryngringsavverkning</t>
        </is>
      </c>
      <c r="D758" s="1" t="n">
        <v>46003</v>
      </c>
      <c r="E758" s="1" t="n">
        <v>46218</v>
      </c>
      <c r="F758" t="inlineStr">
        <is>
          <t>DALARNAS LÄN</t>
        </is>
      </c>
      <c r="G758" t="inlineStr">
        <is>
          <t>RÄTTVIK</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20939-2026</t>
        </is>
      </c>
      <c r="B759" t="inlineStr">
        <is>
          <t>avverkningsanmälan</t>
        </is>
      </c>
      <c r="C759" t="inlineStr">
        <is>
          <t>Föryngringsavverkning</t>
        </is>
      </c>
      <c r="D759" s="1" t="n">
        <v>46142</v>
      </c>
      <c r="E759" s="1" t="n">
        <v>46218</v>
      </c>
      <c r="F759" t="inlineStr">
        <is>
          <t>DALARNAS LÄN</t>
        </is>
      </c>
      <c r="G759" t="inlineStr">
        <is>
          <t>RÄTTVIK</t>
        </is>
      </c>
      <c r="H759" t="inlineStr">
        <is>
          <t>Sveaskog</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20944-2026</t>
        </is>
      </c>
      <c r="B760" t="inlineStr">
        <is>
          <t>avverkningsanmälan</t>
        </is>
      </c>
      <c r="C760" t="inlineStr">
        <is>
          <t>Föryngringsavverkning</t>
        </is>
      </c>
      <c r="D760" s="1" t="n">
        <v>46142</v>
      </c>
      <c r="E760" s="1" t="n">
        <v>46218</v>
      </c>
      <c r="F760" t="inlineStr">
        <is>
          <t>DALARNAS LÄN</t>
        </is>
      </c>
      <c r="G760" t="inlineStr">
        <is>
          <t>RÄTTVIK</t>
        </is>
      </c>
      <c r="H760" t="inlineStr">
        <is>
          <t>Sveaskog</t>
        </is>
      </c>
      <c r="I760" t="n">
        <v>1.1</v>
      </c>
      <c r="J760" t="n">
        <v>0</v>
      </c>
      <c r="K760" t="n">
        <v>0</v>
      </c>
      <c r="L760" t="n">
        <v>0</v>
      </c>
      <c r="M760" t="n">
        <v>0</v>
      </c>
      <c r="N760" t="n">
        <v>0</v>
      </c>
      <c r="O760" t="n">
        <v>0</v>
      </c>
      <c r="P760" t="n">
        <v>0</v>
      </c>
      <c r="Q760" t="n">
        <v>0</v>
      </c>
      <c r="R760" t="n">
        <v>0</v>
      </c>
      <c r="S760" t="n">
        <v>0</v>
      </c>
      <c r="T760" t="n">
        <v>0</v>
      </c>
      <c r="U760" s="2" t="inlineStr"/>
    </row>
    <row r="761" ht="15" customHeight="1">
      <c r="A761" t="inlineStr">
        <is>
          <t>A 26777-2026</t>
        </is>
      </c>
      <c r="B761" t="inlineStr">
        <is>
          <t>avverkningsanmälan</t>
        </is>
      </c>
      <c r="C761" t="inlineStr">
        <is>
          <t>Föryngringsavverkning</t>
        </is>
      </c>
      <c r="D761" s="1" t="n">
        <v>46184</v>
      </c>
      <c r="E761" s="1" t="n">
        <v>46218</v>
      </c>
      <c r="F761" t="inlineStr">
        <is>
          <t>DALARNAS LÄN</t>
        </is>
      </c>
      <c r="G761" t="inlineStr">
        <is>
          <t>RÄTTVIK</t>
        </is>
      </c>
      <c r="I761" t="n">
        <v>2.8</v>
      </c>
      <c r="J761" t="n">
        <v>0</v>
      </c>
      <c r="K761" t="n">
        <v>0</v>
      </c>
      <c r="L761" t="n">
        <v>0</v>
      </c>
      <c r="M761" t="n">
        <v>0</v>
      </c>
      <c r="N761" t="n">
        <v>0</v>
      </c>
      <c r="O761" t="n">
        <v>0</v>
      </c>
      <c r="P761" t="n">
        <v>0</v>
      </c>
      <c r="Q761" t="n">
        <v>0</v>
      </c>
      <c r="R761" t="n">
        <v>0</v>
      </c>
      <c r="S761" t="n">
        <v>0</v>
      </c>
      <c r="T761" t="n">
        <v>0</v>
      </c>
      <c r="U761" s="2" t="inlineStr"/>
    </row>
    <row r="762" ht="15" customHeight="1">
      <c r="A762" t="inlineStr">
        <is>
          <t>A 3742-2024</t>
        </is>
      </c>
      <c r="B762" t="inlineStr">
        <is>
          <t>avverkningsanmälan</t>
        </is>
      </c>
      <c r="C762" t="inlineStr">
        <is>
          <t>Föryngringsavverkning</t>
        </is>
      </c>
      <c r="D762" s="1" t="n">
        <v>45321</v>
      </c>
      <c r="E762" s="1" t="n">
        <v>46218</v>
      </c>
      <c r="F762" t="inlineStr">
        <is>
          <t>DALARNAS LÄN</t>
        </is>
      </c>
      <c r="G762" t="inlineStr">
        <is>
          <t>RÄTTVIK</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55624-2025</t>
        </is>
      </c>
      <c r="B763" t="inlineStr">
        <is>
          <t>avverkningsanmälan</t>
        </is>
      </c>
      <c r="C763" t="inlineStr">
        <is>
          <t>Föryngringsavverkning</t>
        </is>
      </c>
      <c r="D763" s="1" t="n">
        <v>45972</v>
      </c>
      <c r="E763" s="1" t="n">
        <v>46218</v>
      </c>
      <c r="F763" t="inlineStr">
        <is>
          <t>DALARNAS LÄN</t>
        </is>
      </c>
      <c r="G763" t="inlineStr">
        <is>
          <t>RÄTTVIK</t>
        </is>
      </c>
      <c r="I763" t="n">
        <v>2.9</v>
      </c>
      <c r="J763" t="n">
        <v>0</v>
      </c>
      <c r="K763" t="n">
        <v>0</v>
      </c>
      <c r="L763" t="n">
        <v>0</v>
      </c>
      <c r="M763" t="n">
        <v>0</v>
      </c>
      <c r="N763" t="n">
        <v>0</v>
      </c>
      <c r="O763" t="n">
        <v>0</v>
      </c>
      <c r="P763" t="n">
        <v>0</v>
      </c>
      <c r="Q763" t="n">
        <v>0</v>
      </c>
      <c r="R763" t="n">
        <v>0</v>
      </c>
      <c r="S763" t="n">
        <v>0</v>
      </c>
      <c r="T763" t="n">
        <v>0</v>
      </c>
      <c r="U763" s="2" t="inlineStr"/>
    </row>
    <row r="764" ht="15" customHeight="1">
      <c r="A764" t="inlineStr">
        <is>
          <t>A 33165-2024</t>
        </is>
      </c>
      <c r="B764" t="inlineStr">
        <is>
          <t>avverkningsanmälan</t>
        </is>
      </c>
      <c r="C764" t="inlineStr">
        <is>
          <t>Föryngringsavverkning</t>
        </is>
      </c>
      <c r="D764" s="1" t="n">
        <v>45518</v>
      </c>
      <c r="E764" s="1" t="n">
        <v>46218</v>
      </c>
      <c r="F764" t="inlineStr">
        <is>
          <t>DALARNAS LÄN</t>
        </is>
      </c>
      <c r="G764" t="inlineStr">
        <is>
          <t>RÄTTVIK</t>
        </is>
      </c>
      <c r="I764" t="n">
        <v>0.2</v>
      </c>
      <c r="J764" t="n">
        <v>0</v>
      </c>
      <c r="K764" t="n">
        <v>0</v>
      </c>
      <c r="L764" t="n">
        <v>0</v>
      </c>
      <c r="M764" t="n">
        <v>0</v>
      </c>
      <c r="N764" t="n">
        <v>0</v>
      </c>
      <c r="O764" t="n">
        <v>0</v>
      </c>
      <c r="P764" t="n">
        <v>0</v>
      </c>
      <c r="Q764" t="n">
        <v>0</v>
      </c>
      <c r="R764" t="n">
        <v>0</v>
      </c>
      <c r="S764" t="n">
        <v>0</v>
      </c>
      <c r="T764" t="n">
        <v>0</v>
      </c>
      <c r="U764" s="2" t="inlineStr"/>
    </row>
    <row r="765" ht="15" customHeight="1">
      <c r="A765" t="inlineStr">
        <is>
          <t>A 33174-2024</t>
        </is>
      </c>
      <c r="B765" t="inlineStr">
        <is>
          <t>avverkningsanmälan</t>
        </is>
      </c>
      <c r="C765" t="inlineStr">
        <is>
          <t>Föryngringsavverkning</t>
        </is>
      </c>
      <c r="D765" s="1" t="n">
        <v>45518</v>
      </c>
      <c r="E765" s="1" t="n">
        <v>46218</v>
      </c>
      <c r="F765" t="inlineStr">
        <is>
          <t>DALARNAS LÄN</t>
        </is>
      </c>
      <c r="G765" t="inlineStr">
        <is>
          <t>RÄTTVIK</t>
        </is>
      </c>
      <c r="I765" t="n">
        <v>1.6</v>
      </c>
      <c r="J765" t="n">
        <v>0</v>
      </c>
      <c r="K765" t="n">
        <v>0</v>
      </c>
      <c r="L765" t="n">
        <v>0</v>
      </c>
      <c r="M765" t="n">
        <v>0</v>
      </c>
      <c r="N765" t="n">
        <v>0</v>
      </c>
      <c r="O765" t="n">
        <v>0</v>
      </c>
      <c r="P765" t="n">
        <v>0</v>
      </c>
      <c r="Q765" t="n">
        <v>0</v>
      </c>
      <c r="R765" t="n">
        <v>0</v>
      </c>
      <c r="S765" t="n">
        <v>0</v>
      </c>
      <c r="T765" t="n">
        <v>0</v>
      </c>
      <c r="U765" s="2" t="inlineStr"/>
    </row>
    <row r="766" ht="15" customHeight="1">
      <c r="A766" t="inlineStr">
        <is>
          <t>A 26622-2026</t>
        </is>
      </c>
      <c r="B766" t="inlineStr">
        <is>
          <t>avverkningsanmälan</t>
        </is>
      </c>
      <c r="C766" t="inlineStr">
        <is>
          <t>Föryngringsavverkning</t>
        </is>
      </c>
      <c r="D766" s="1" t="n">
        <v>46184</v>
      </c>
      <c r="E766" s="1" t="n">
        <v>46218</v>
      </c>
      <c r="F766" t="inlineStr">
        <is>
          <t>DALARNAS LÄN</t>
        </is>
      </c>
      <c r="G766" t="inlineStr">
        <is>
          <t>RÄTTVIK</t>
        </is>
      </c>
      <c r="H766" t="inlineStr">
        <is>
          <t>Sveaskog</t>
        </is>
      </c>
      <c r="I766" t="n">
        <v>3.4</v>
      </c>
      <c r="J766" t="n">
        <v>0</v>
      </c>
      <c r="K766" t="n">
        <v>0</v>
      </c>
      <c r="L766" t="n">
        <v>0</v>
      </c>
      <c r="M766" t="n">
        <v>0</v>
      </c>
      <c r="N766" t="n">
        <v>0</v>
      </c>
      <c r="O766" t="n">
        <v>0</v>
      </c>
      <c r="P766" t="n">
        <v>0</v>
      </c>
      <c r="Q766" t="n">
        <v>0</v>
      </c>
      <c r="R766" t="n">
        <v>0</v>
      </c>
      <c r="S766" t="n">
        <v>0</v>
      </c>
      <c r="T766" t="n">
        <v>0</v>
      </c>
      <c r="U766" s="2" t="inlineStr"/>
    </row>
    <row r="767" ht="15" customHeight="1">
      <c r="A767" t="inlineStr">
        <is>
          <t>A 23479-2023</t>
        </is>
      </c>
      <c r="B767" t="inlineStr">
        <is>
          <t>avverkningsanmälan</t>
        </is>
      </c>
      <c r="C767" t="inlineStr">
        <is>
          <t>Föryngringsavverkning</t>
        </is>
      </c>
      <c r="D767" s="1" t="n">
        <v>45072</v>
      </c>
      <c r="E767" s="1" t="n">
        <v>46218</v>
      </c>
      <c r="F767" t="inlineStr">
        <is>
          <t>DALARNAS LÄN</t>
        </is>
      </c>
      <c r="G767" t="inlineStr">
        <is>
          <t>RÄTTVIK</t>
        </is>
      </c>
      <c r="I767" t="n">
        <v>3.3</v>
      </c>
      <c r="J767" t="n">
        <v>0</v>
      </c>
      <c r="K767" t="n">
        <v>0</v>
      </c>
      <c r="L767" t="n">
        <v>0</v>
      </c>
      <c r="M767" t="n">
        <v>0</v>
      </c>
      <c r="N767" t="n">
        <v>0</v>
      </c>
      <c r="O767" t="n">
        <v>0</v>
      </c>
      <c r="P767" t="n">
        <v>0</v>
      </c>
      <c r="Q767" t="n">
        <v>0</v>
      </c>
      <c r="R767" t="n">
        <v>0</v>
      </c>
      <c r="S767" t="n">
        <v>0</v>
      </c>
      <c r="T767" t="n">
        <v>0</v>
      </c>
      <c r="U767" s="2" t="inlineStr"/>
    </row>
    <row r="768" ht="15" customHeight="1">
      <c r="A768" t="inlineStr">
        <is>
          <t>A 20573-2022</t>
        </is>
      </c>
      <c r="B768" t="inlineStr">
        <is>
          <t>avverkningsanmälan</t>
        </is>
      </c>
      <c r="C768" t="inlineStr">
        <is>
          <t>Föryngringsavverkning</t>
        </is>
      </c>
      <c r="D768" s="1" t="n">
        <v>44700</v>
      </c>
      <c r="E768" s="1" t="n">
        <v>46218</v>
      </c>
      <c r="F768" t="inlineStr">
        <is>
          <t>DALARNAS LÄN</t>
        </is>
      </c>
      <c r="G768" t="inlineStr">
        <is>
          <t>RÄTTVIK</t>
        </is>
      </c>
      <c r="I768" t="n">
        <v>2.2</v>
      </c>
      <c r="J768" t="n">
        <v>0</v>
      </c>
      <c r="K768" t="n">
        <v>0</v>
      </c>
      <c r="L768" t="n">
        <v>0</v>
      </c>
      <c r="M768" t="n">
        <v>0</v>
      </c>
      <c r="N768" t="n">
        <v>0</v>
      </c>
      <c r="O768" t="n">
        <v>0</v>
      </c>
      <c r="P768" t="n">
        <v>0</v>
      </c>
      <c r="Q768" t="n">
        <v>0</v>
      </c>
      <c r="R768" t="n">
        <v>0</v>
      </c>
      <c r="S768" t="n">
        <v>0</v>
      </c>
      <c r="T768" t="n">
        <v>0</v>
      </c>
      <c r="U768" s="2" t="inlineStr"/>
    </row>
    <row r="769" ht="15" customHeight="1">
      <c r="A769" t="inlineStr">
        <is>
          <t>A 55172-2025</t>
        </is>
      </c>
      <c r="B769" t="inlineStr">
        <is>
          <t>avverkningsanmälan</t>
        </is>
      </c>
      <c r="C769" t="inlineStr">
        <is>
          <t>Föryngringsavverkning</t>
        </is>
      </c>
      <c r="D769" s="1" t="n">
        <v>45968</v>
      </c>
      <c r="E769" s="1" t="n">
        <v>46218</v>
      </c>
      <c r="F769" t="inlineStr">
        <is>
          <t>DALARNAS LÄN</t>
        </is>
      </c>
      <c r="G769" t="inlineStr">
        <is>
          <t>RÄTTVIK</t>
        </is>
      </c>
      <c r="I769" t="n">
        <v>3.6</v>
      </c>
      <c r="J769" t="n">
        <v>0</v>
      </c>
      <c r="K769" t="n">
        <v>0</v>
      </c>
      <c r="L769" t="n">
        <v>0</v>
      </c>
      <c r="M769" t="n">
        <v>0</v>
      </c>
      <c r="N769" t="n">
        <v>0</v>
      </c>
      <c r="O769" t="n">
        <v>0</v>
      </c>
      <c r="P769" t="n">
        <v>0</v>
      </c>
      <c r="Q769" t="n">
        <v>0</v>
      </c>
      <c r="R769" t="n">
        <v>0</v>
      </c>
      <c r="S769" t="n">
        <v>0</v>
      </c>
      <c r="T769" t="n">
        <v>0</v>
      </c>
      <c r="U769" s="2" t="inlineStr"/>
    </row>
    <row r="770" ht="15" customHeight="1">
      <c r="A770" t="inlineStr">
        <is>
          <t>A 48582-2024</t>
        </is>
      </c>
      <c r="B770" t="inlineStr">
        <is>
          <t>avverkningsanmälan</t>
        </is>
      </c>
      <c r="C770" t="inlineStr">
        <is>
          <t>Föryngringsavverkning</t>
        </is>
      </c>
      <c r="D770" s="1" t="n">
        <v>45593</v>
      </c>
      <c r="E770" s="1" t="n">
        <v>46218</v>
      </c>
      <c r="F770" t="inlineStr">
        <is>
          <t>DALARNAS LÄN</t>
        </is>
      </c>
      <c r="G770" t="inlineStr">
        <is>
          <t>RÄTTVIK</t>
        </is>
      </c>
      <c r="I770" t="n">
        <v>1.9</v>
      </c>
      <c r="J770" t="n">
        <v>0</v>
      </c>
      <c r="K770" t="n">
        <v>0</v>
      </c>
      <c r="L770" t="n">
        <v>0</v>
      </c>
      <c r="M770" t="n">
        <v>0</v>
      </c>
      <c r="N770" t="n">
        <v>0</v>
      </c>
      <c r="O770" t="n">
        <v>0</v>
      </c>
      <c r="P770" t="n">
        <v>0</v>
      </c>
      <c r="Q770" t="n">
        <v>0</v>
      </c>
      <c r="R770" t="n">
        <v>0</v>
      </c>
      <c r="S770" t="n">
        <v>0</v>
      </c>
      <c r="T770" t="n">
        <v>0</v>
      </c>
      <c r="U770" s="2" t="inlineStr"/>
    </row>
    <row r="771" ht="15" customHeight="1">
      <c r="A771" t="inlineStr">
        <is>
          <t>A 6007-2026</t>
        </is>
      </c>
      <c r="B771" t="inlineStr">
        <is>
          <t>avverkningsanmälan</t>
        </is>
      </c>
      <c r="C771" t="inlineStr">
        <is>
          <t>Föryngringsavverkning</t>
        </is>
      </c>
      <c r="D771" s="1" t="n">
        <v>46052</v>
      </c>
      <c r="E771" s="1" t="n">
        <v>46218</v>
      </c>
      <c r="F771" t="inlineStr">
        <is>
          <t>DALARNAS LÄN</t>
        </is>
      </c>
      <c r="G771" t="inlineStr">
        <is>
          <t>RÄTTVIK</t>
        </is>
      </c>
      <c r="H771" t="inlineStr">
        <is>
          <t>Kyrkan</t>
        </is>
      </c>
      <c r="I771" t="n">
        <v>1.1</v>
      </c>
      <c r="J771" t="n">
        <v>0</v>
      </c>
      <c r="K771" t="n">
        <v>0</v>
      </c>
      <c r="L771" t="n">
        <v>0</v>
      </c>
      <c r="M771" t="n">
        <v>0</v>
      </c>
      <c r="N771" t="n">
        <v>0</v>
      </c>
      <c r="O771" t="n">
        <v>0</v>
      </c>
      <c r="P771" t="n">
        <v>0</v>
      </c>
      <c r="Q771" t="n">
        <v>0</v>
      </c>
      <c r="R771" t="n">
        <v>0</v>
      </c>
      <c r="S771" t="n">
        <v>0</v>
      </c>
      <c r="T771" t="n">
        <v>0</v>
      </c>
      <c r="U771" s="2" t="inlineStr"/>
    </row>
    <row r="772" ht="15" customHeight="1">
      <c r="A772" t="inlineStr">
        <is>
          <t>A 40195-2022</t>
        </is>
      </c>
      <c r="B772" t="inlineStr">
        <is>
          <t>avverkningsanmälan</t>
        </is>
      </c>
      <c r="C772" t="inlineStr">
        <is>
          <t>Avverkning för annat ändamål</t>
        </is>
      </c>
      <c r="D772" s="1" t="n">
        <v>44818</v>
      </c>
      <c r="E772" s="1" t="n">
        <v>46218</v>
      </c>
      <c r="F772" t="inlineStr">
        <is>
          <t>DALARNAS LÄN</t>
        </is>
      </c>
      <c r="G772" t="inlineStr">
        <is>
          <t>RÄTTVIK</t>
        </is>
      </c>
      <c r="I772" t="n">
        <v>0.9</v>
      </c>
      <c r="J772" t="n">
        <v>0</v>
      </c>
      <c r="K772" t="n">
        <v>0</v>
      </c>
      <c r="L772" t="n">
        <v>0</v>
      </c>
      <c r="M772" t="n">
        <v>0</v>
      </c>
      <c r="N772" t="n">
        <v>0</v>
      </c>
      <c r="O772" t="n">
        <v>0</v>
      </c>
      <c r="P772" t="n">
        <v>0</v>
      </c>
      <c r="Q772" t="n">
        <v>0</v>
      </c>
      <c r="R772" t="n">
        <v>0</v>
      </c>
      <c r="S772" t="n">
        <v>0</v>
      </c>
      <c r="T772" t="n">
        <v>0</v>
      </c>
      <c r="U772" s="2" t="inlineStr"/>
    </row>
    <row r="773" ht="15" customHeight="1">
      <c r="A773" t="inlineStr">
        <is>
          <t>A 46481-2025</t>
        </is>
      </c>
      <c r="B773" t="inlineStr">
        <is>
          <t>avverkningsanmälan</t>
        </is>
      </c>
      <c r="C773" t="inlineStr">
        <is>
          <t>Föryngringsavverkning</t>
        </is>
      </c>
      <c r="D773" s="1" t="n">
        <v>45925</v>
      </c>
      <c r="E773" s="1" t="n">
        <v>46218</v>
      </c>
      <c r="F773" t="inlineStr">
        <is>
          <t>DALARNAS LÄN</t>
        </is>
      </c>
      <c r="G773" t="inlineStr">
        <is>
          <t>RÄTTVIK</t>
        </is>
      </c>
      <c r="H773" t="inlineStr">
        <is>
          <t>Sveaskog</t>
        </is>
      </c>
      <c r="I773" t="n">
        <v>2.9</v>
      </c>
      <c r="J773" t="n">
        <v>0</v>
      </c>
      <c r="K773" t="n">
        <v>0</v>
      </c>
      <c r="L773" t="n">
        <v>0</v>
      </c>
      <c r="M773" t="n">
        <v>0</v>
      </c>
      <c r="N773" t="n">
        <v>0</v>
      </c>
      <c r="O773" t="n">
        <v>0</v>
      </c>
      <c r="P773" t="n">
        <v>0</v>
      </c>
      <c r="Q773" t="n">
        <v>0</v>
      </c>
      <c r="R773" t="n">
        <v>0</v>
      </c>
      <c r="S773" t="n">
        <v>0</v>
      </c>
      <c r="T773" t="n">
        <v>0</v>
      </c>
      <c r="U773" s="2" t="inlineStr"/>
    </row>
    <row r="774" ht="15" customHeight="1">
      <c r="A774" t="inlineStr">
        <is>
          <t>A 27467-2026</t>
        </is>
      </c>
      <c r="B774" t="inlineStr">
        <is>
          <t>avverkningsanmälan</t>
        </is>
      </c>
      <c r="C774" t="inlineStr">
        <is>
          <t>Föryngringsavverkning</t>
        </is>
      </c>
      <c r="D774" s="1" t="n">
        <v>46189</v>
      </c>
      <c r="E774" s="1" t="n">
        <v>46218</v>
      </c>
      <c r="F774" t="inlineStr">
        <is>
          <t>DALARNAS LÄN</t>
        </is>
      </c>
      <c r="G774" t="inlineStr">
        <is>
          <t>RÄTTVIK</t>
        </is>
      </c>
      <c r="H774" t="inlineStr">
        <is>
          <t>Bergvik skog väst AB</t>
        </is>
      </c>
      <c r="I774" t="n">
        <v>3.1</v>
      </c>
      <c r="J774" t="n">
        <v>0</v>
      </c>
      <c r="K774" t="n">
        <v>0</v>
      </c>
      <c r="L774" t="n">
        <v>0</v>
      </c>
      <c r="M774" t="n">
        <v>0</v>
      </c>
      <c r="N774" t="n">
        <v>0</v>
      </c>
      <c r="O774" t="n">
        <v>0</v>
      </c>
      <c r="P774" t="n">
        <v>0</v>
      </c>
      <c r="Q774" t="n">
        <v>0</v>
      </c>
      <c r="R774" t="n">
        <v>0</v>
      </c>
      <c r="S774" t="n">
        <v>0</v>
      </c>
      <c r="T774" t="n">
        <v>0</v>
      </c>
      <c r="U774" s="2" t="inlineStr"/>
    </row>
    <row r="775" ht="15" customHeight="1">
      <c r="A775" t="inlineStr">
        <is>
          <t>A 21185-2026</t>
        </is>
      </c>
      <c r="B775" t="inlineStr">
        <is>
          <t>avverkningsanmälan</t>
        </is>
      </c>
      <c r="C775" t="inlineStr">
        <is>
          <t>Föryngringsavverkning</t>
        </is>
      </c>
      <c r="D775" s="1" t="n">
        <v>46146</v>
      </c>
      <c r="E775" s="1" t="n">
        <v>46218</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21156-2026</t>
        </is>
      </c>
      <c r="B776" t="inlineStr">
        <is>
          <t>avverkningsanmälan</t>
        </is>
      </c>
      <c r="C776" t="inlineStr">
        <is>
          <t>Föryngringsavverkning</t>
        </is>
      </c>
      <c r="D776" s="1" t="n">
        <v>46146</v>
      </c>
      <c r="E776" s="1" t="n">
        <v>46218</v>
      </c>
      <c r="F776" t="inlineStr">
        <is>
          <t>DALARNAS LÄN</t>
        </is>
      </c>
      <c r="G776" t="inlineStr">
        <is>
          <t>RÄTTVIK</t>
        </is>
      </c>
      <c r="H776" t="inlineStr">
        <is>
          <t>Sveaskog</t>
        </is>
      </c>
      <c r="I776" t="n">
        <v>4.8</v>
      </c>
      <c r="J776" t="n">
        <v>0</v>
      </c>
      <c r="K776" t="n">
        <v>0</v>
      </c>
      <c r="L776" t="n">
        <v>0</v>
      </c>
      <c r="M776" t="n">
        <v>0</v>
      </c>
      <c r="N776" t="n">
        <v>0</v>
      </c>
      <c r="O776" t="n">
        <v>0</v>
      </c>
      <c r="P776" t="n">
        <v>0</v>
      </c>
      <c r="Q776" t="n">
        <v>0</v>
      </c>
      <c r="R776" t="n">
        <v>0</v>
      </c>
      <c r="S776" t="n">
        <v>0</v>
      </c>
      <c r="T776" t="n">
        <v>0</v>
      </c>
      <c r="U776" s="2" t="inlineStr"/>
    </row>
    <row r="777" ht="15" customHeight="1">
      <c r="A777" t="inlineStr">
        <is>
          <t>A 63111-2025</t>
        </is>
      </c>
      <c r="B777" t="inlineStr">
        <is>
          <t>avverkningsanmälan</t>
        </is>
      </c>
      <c r="C777" t="inlineStr">
        <is>
          <t>Föryngringsavverkning</t>
        </is>
      </c>
      <c r="D777" s="1" t="n">
        <v>46009</v>
      </c>
      <c r="E777" s="1" t="n">
        <v>46218</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21143-2026</t>
        </is>
      </c>
      <c r="B778" t="inlineStr">
        <is>
          <t>avverkningsanmälan</t>
        </is>
      </c>
      <c r="C778" t="inlineStr">
        <is>
          <t>Föryngringsavverkning</t>
        </is>
      </c>
      <c r="D778" s="1" t="n">
        <v>46146</v>
      </c>
      <c r="E778" s="1" t="n">
        <v>46218</v>
      </c>
      <c r="F778" t="inlineStr">
        <is>
          <t>DALARNAS LÄN</t>
        </is>
      </c>
      <c r="G778" t="inlineStr">
        <is>
          <t>RÄTTVIK</t>
        </is>
      </c>
      <c r="H778" t="inlineStr">
        <is>
          <t>Bergvik skog väst AB</t>
        </is>
      </c>
      <c r="I778" t="n">
        <v>7.7</v>
      </c>
      <c r="J778" t="n">
        <v>0</v>
      </c>
      <c r="K778" t="n">
        <v>0</v>
      </c>
      <c r="L778" t="n">
        <v>0</v>
      </c>
      <c r="M778" t="n">
        <v>0</v>
      </c>
      <c r="N778" t="n">
        <v>0</v>
      </c>
      <c r="O778" t="n">
        <v>0</v>
      </c>
      <c r="P778" t="n">
        <v>0</v>
      </c>
      <c r="Q778" t="n">
        <v>0</v>
      </c>
      <c r="R778" t="n">
        <v>0</v>
      </c>
      <c r="S778" t="n">
        <v>0</v>
      </c>
      <c r="T778" t="n">
        <v>0</v>
      </c>
      <c r="U778" s="2" t="inlineStr"/>
    </row>
    <row r="779" ht="15" customHeight="1">
      <c r="A779" t="inlineStr">
        <is>
          <t>A 29141-2023</t>
        </is>
      </c>
      <c r="B779" t="inlineStr">
        <is>
          <t>avverkningsanmälan</t>
        </is>
      </c>
      <c r="C779" t="inlineStr">
        <is>
          <t>Föryngringsavverkning</t>
        </is>
      </c>
      <c r="D779" s="1" t="n">
        <v>45105</v>
      </c>
      <c r="E779" s="1" t="n">
        <v>46218</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20515-2026</t>
        </is>
      </c>
      <c r="B780" t="inlineStr">
        <is>
          <t>avverkningsanmälan</t>
        </is>
      </c>
      <c r="C780" t="inlineStr">
        <is>
          <t>Föryngringsavverkning</t>
        </is>
      </c>
      <c r="D780" s="1" t="n">
        <v>46140</v>
      </c>
      <c r="E780" s="1" t="n">
        <v>46218</v>
      </c>
      <c r="F780" t="inlineStr">
        <is>
          <t>DALARNAS LÄN</t>
        </is>
      </c>
      <c r="G780" t="inlineStr">
        <is>
          <t>RÄTTVIK</t>
        </is>
      </c>
      <c r="I780" t="n">
        <v>4.3</v>
      </c>
      <c r="J780" t="n">
        <v>0</v>
      </c>
      <c r="K780" t="n">
        <v>0</v>
      </c>
      <c r="L780" t="n">
        <v>0</v>
      </c>
      <c r="M780" t="n">
        <v>0</v>
      </c>
      <c r="N780" t="n">
        <v>0</v>
      </c>
      <c r="O780" t="n">
        <v>0</v>
      </c>
      <c r="P780" t="n">
        <v>0</v>
      </c>
      <c r="Q780" t="n">
        <v>0</v>
      </c>
      <c r="R780" t="n">
        <v>0</v>
      </c>
      <c r="S780" t="n">
        <v>0</v>
      </c>
      <c r="T780" t="n">
        <v>0</v>
      </c>
      <c r="U780" s="2" t="inlineStr"/>
    </row>
    <row r="781" ht="15" customHeight="1">
      <c r="A781" t="inlineStr">
        <is>
          <t>A 63302-2025</t>
        </is>
      </c>
      <c r="B781" t="inlineStr">
        <is>
          <t>avverkningsanmälan</t>
        </is>
      </c>
      <c r="C781" t="inlineStr">
        <is>
          <t>Föryngringsavverkning</t>
        </is>
      </c>
      <c r="D781" s="1" t="n">
        <v>46010</v>
      </c>
      <c r="E781" s="1" t="n">
        <v>46218</v>
      </c>
      <c r="F781" t="inlineStr">
        <is>
          <t>DALARNAS LÄN</t>
        </is>
      </c>
      <c r="G781" t="inlineStr">
        <is>
          <t>RÄTTVIK</t>
        </is>
      </c>
      <c r="H781" t="inlineStr">
        <is>
          <t>Bergvik skog väst AB</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11003-2026</t>
        </is>
      </c>
      <c r="B782" t="inlineStr">
        <is>
          <t>avverkningsanmälan</t>
        </is>
      </c>
      <c r="C782" t="inlineStr">
        <is>
          <t>Föryngringsavverkning</t>
        </is>
      </c>
      <c r="D782" s="1" t="n">
        <v>46079</v>
      </c>
      <c r="E782" s="1" t="n">
        <v>46218</v>
      </c>
      <c r="F782" t="inlineStr">
        <is>
          <t>DALARNAS LÄN</t>
        </is>
      </c>
      <c r="G782" t="inlineStr">
        <is>
          <t>RÄTTVIK</t>
        </is>
      </c>
      <c r="I782" t="n">
        <v>2.6</v>
      </c>
      <c r="J782" t="n">
        <v>0</v>
      </c>
      <c r="K782" t="n">
        <v>0</v>
      </c>
      <c r="L782" t="n">
        <v>0</v>
      </c>
      <c r="M782" t="n">
        <v>0</v>
      </c>
      <c r="N782" t="n">
        <v>0</v>
      </c>
      <c r="O782" t="n">
        <v>0</v>
      </c>
      <c r="P782" t="n">
        <v>0</v>
      </c>
      <c r="Q782" t="n">
        <v>0</v>
      </c>
      <c r="R782" t="n">
        <v>0</v>
      </c>
      <c r="S782" t="n">
        <v>0</v>
      </c>
      <c r="T782" t="n">
        <v>0</v>
      </c>
      <c r="U782" s="2" t="inlineStr"/>
    </row>
    <row r="783" ht="15" customHeight="1">
      <c r="A783" t="inlineStr">
        <is>
          <t>A 21492-2026</t>
        </is>
      </c>
      <c r="B783" t="inlineStr">
        <is>
          <t>avverkningsanmälan</t>
        </is>
      </c>
      <c r="C783" t="inlineStr">
        <is>
          <t>Föryngringsavverkning</t>
        </is>
      </c>
      <c r="D783" s="1" t="n">
        <v>46148</v>
      </c>
      <c r="E783" s="1" t="n">
        <v>46218</v>
      </c>
      <c r="F783" t="inlineStr">
        <is>
          <t>DALARNAS LÄN</t>
        </is>
      </c>
      <c r="G783" t="inlineStr">
        <is>
          <t>RÄTTVIK</t>
        </is>
      </c>
      <c r="H783" t="inlineStr">
        <is>
          <t>Bergvik skog väst AB</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63309-2025</t>
        </is>
      </c>
      <c r="B784" t="inlineStr">
        <is>
          <t>avverkningsanmälan</t>
        </is>
      </c>
      <c r="C784" t="inlineStr">
        <is>
          <t>Föryngringsavverkning</t>
        </is>
      </c>
      <c r="D784" s="1" t="n">
        <v>46010</v>
      </c>
      <c r="E784" s="1" t="n">
        <v>46218</v>
      </c>
      <c r="F784" t="inlineStr">
        <is>
          <t>DALARNAS LÄN</t>
        </is>
      </c>
      <c r="G784" t="inlineStr">
        <is>
          <t>RÄTTVIK</t>
        </is>
      </c>
      <c r="H784" t="inlineStr">
        <is>
          <t>Bergvik skog väst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27795-2026</t>
        </is>
      </c>
      <c r="B785" t="inlineStr">
        <is>
          <t>avverkningsanmälan</t>
        </is>
      </c>
      <c r="C785" t="inlineStr">
        <is>
          <t>Föryngringsavverkning</t>
        </is>
      </c>
      <c r="D785" s="1" t="n">
        <v>46191</v>
      </c>
      <c r="E785" s="1" t="n">
        <v>46218</v>
      </c>
      <c r="F785" t="inlineStr">
        <is>
          <t>DALARNAS LÄN</t>
        </is>
      </c>
      <c r="G785" t="inlineStr">
        <is>
          <t>RÄTTVIK</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63336-2025</t>
        </is>
      </c>
      <c r="B786" t="inlineStr">
        <is>
          <t>avverkningsanmälan</t>
        </is>
      </c>
      <c r="C786" t="inlineStr">
        <is>
          <t>Föryngringsavverkning</t>
        </is>
      </c>
      <c r="D786" s="1" t="n">
        <v>46010</v>
      </c>
      <c r="E786" s="1" t="n">
        <v>46218</v>
      </c>
      <c r="F786" t="inlineStr">
        <is>
          <t>DALARNAS LÄN</t>
        </is>
      </c>
      <c r="G786" t="inlineStr">
        <is>
          <t>RÄTTVIK</t>
        </is>
      </c>
      <c r="H786" t="inlineStr">
        <is>
          <t>Bergvik skog väst AB</t>
        </is>
      </c>
      <c r="I786" t="n">
        <v>11.9</v>
      </c>
      <c r="J786" t="n">
        <v>0</v>
      </c>
      <c r="K786" t="n">
        <v>0</v>
      </c>
      <c r="L786" t="n">
        <v>0</v>
      </c>
      <c r="M786" t="n">
        <v>0</v>
      </c>
      <c r="N786" t="n">
        <v>0</v>
      </c>
      <c r="O786" t="n">
        <v>0</v>
      </c>
      <c r="P786" t="n">
        <v>0</v>
      </c>
      <c r="Q786" t="n">
        <v>0</v>
      </c>
      <c r="R786" t="n">
        <v>0</v>
      </c>
      <c r="S786" t="n">
        <v>0</v>
      </c>
      <c r="T786" t="n">
        <v>0</v>
      </c>
      <c r="U786" s="2" t="inlineStr"/>
    </row>
    <row r="787" ht="15" customHeight="1">
      <c r="A787" t="inlineStr">
        <is>
          <t>A 21470-2026</t>
        </is>
      </c>
      <c r="B787" t="inlineStr">
        <is>
          <t>avverkningsanmälan</t>
        </is>
      </c>
      <c r="C787" t="inlineStr">
        <is>
          <t>Föryngringsavverkning</t>
        </is>
      </c>
      <c r="D787" s="1" t="n">
        <v>46148</v>
      </c>
      <c r="E787" s="1" t="n">
        <v>46218</v>
      </c>
      <c r="F787" t="inlineStr">
        <is>
          <t>DALARNAS LÄN</t>
        </is>
      </c>
      <c r="G787" t="inlineStr">
        <is>
          <t>RÄTTVIK</t>
        </is>
      </c>
      <c r="H787" t="inlineStr">
        <is>
          <t>Bergvik skog väst AB</t>
        </is>
      </c>
      <c r="I787" t="n">
        <v>2.9</v>
      </c>
      <c r="J787" t="n">
        <v>0</v>
      </c>
      <c r="K787" t="n">
        <v>0</v>
      </c>
      <c r="L787" t="n">
        <v>0</v>
      </c>
      <c r="M787" t="n">
        <v>0</v>
      </c>
      <c r="N787" t="n">
        <v>0</v>
      </c>
      <c r="O787" t="n">
        <v>0</v>
      </c>
      <c r="P787" t="n">
        <v>0</v>
      </c>
      <c r="Q787" t="n">
        <v>0</v>
      </c>
      <c r="R787" t="n">
        <v>0</v>
      </c>
      <c r="S787" t="n">
        <v>0</v>
      </c>
      <c r="T787" t="n">
        <v>0</v>
      </c>
      <c r="U787" s="2" t="inlineStr"/>
    </row>
    <row r="788" ht="15" customHeight="1">
      <c r="A788" t="inlineStr">
        <is>
          <t>A 63251-2025</t>
        </is>
      </c>
      <c r="B788" t="inlineStr">
        <is>
          <t>avverkningsanmälan</t>
        </is>
      </c>
      <c r="C788" t="inlineStr">
        <is>
          <t>Föryngringsavverkning</t>
        </is>
      </c>
      <c r="D788" s="1" t="n">
        <v>46010</v>
      </c>
      <c r="E788" s="1" t="n">
        <v>46218</v>
      </c>
      <c r="F788" t="inlineStr">
        <is>
          <t>DALARNAS LÄN</t>
        </is>
      </c>
      <c r="G788" t="inlineStr">
        <is>
          <t>RÄTTVIK</t>
        </is>
      </c>
      <c r="H788" t="inlineStr">
        <is>
          <t>Bergvik skog väst AB</t>
        </is>
      </c>
      <c r="I788" t="n">
        <v>7.2</v>
      </c>
      <c r="J788" t="n">
        <v>0</v>
      </c>
      <c r="K788" t="n">
        <v>0</v>
      </c>
      <c r="L788" t="n">
        <v>0</v>
      </c>
      <c r="M788" t="n">
        <v>0</v>
      </c>
      <c r="N788" t="n">
        <v>0</v>
      </c>
      <c r="O788" t="n">
        <v>0</v>
      </c>
      <c r="P788" t="n">
        <v>0</v>
      </c>
      <c r="Q788" t="n">
        <v>0</v>
      </c>
      <c r="R788" t="n">
        <v>0</v>
      </c>
      <c r="S788" t="n">
        <v>0</v>
      </c>
      <c r="T788" t="n">
        <v>0</v>
      </c>
      <c r="U788" s="2" t="inlineStr"/>
    </row>
    <row r="789" ht="15" customHeight="1">
      <c r="A789" t="inlineStr">
        <is>
          <t>A 40313-2023</t>
        </is>
      </c>
      <c r="B789" t="inlineStr">
        <is>
          <t>avverkningsanmälan</t>
        </is>
      </c>
      <c r="C789" t="inlineStr">
        <is>
          <t>Föryngringsavverkning</t>
        </is>
      </c>
      <c r="D789" s="1" t="n">
        <v>45168</v>
      </c>
      <c r="E789" s="1" t="n">
        <v>46218</v>
      </c>
      <c r="F789" t="inlineStr">
        <is>
          <t>DALARNAS LÄN</t>
        </is>
      </c>
      <c r="G789" t="inlineStr">
        <is>
          <t>RÄTTVIK</t>
        </is>
      </c>
      <c r="I789" t="n">
        <v>1.3</v>
      </c>
      <c r="J789" t="n">
        <v>0</v>
      </c>
      <c r="K789" t="n">
        <v>0</v>
      </c>
      <c r="L789" t="n">
        <v>0</v>
      </c>
      <c r="M789" t="n">
        <v>0</v>
      </c>
      <c r="N789" t="n">
        <v>0</v>
      </c>
      <c r="O789" t="n">
        <v>0</v>
      </c>
      <c r="P789" t="n">
        <v>0</v>
      </c>
      <c r="Q789" t="n">
        <v>0</v>
      </c>
      <c r="R789" t="n">
        <v>0</v>
      </c>
      <c r="S789" t="n">
        <v>0</v>
      </c>
      <c r="T789" t="n">
        <v>0</v>
      </c>
      <c r="U789" s="2" t="inlineStr"/>
    </row>
    <row r="790" ht="15" customHeight="1">
      <c r="A790" t="inlineStr">
        <is>
          <t>A 27741-2026</t>
        </is>
      </c>
      <c r="B790" t="inlineStr">
        <is>
          <t>avverkningsanmälan</t>
        </is>
      </c>
      <c r="C790" t="inlineStr">
        <is>
          <t>Föryngringsavverkning</t>
        </is>
      </c>
      <c r="D790" s="1" t="n">
        <v>46191</v>
      </c>
      <c r="E790" s="1" t="n">
        <v>46218</v>
      </c>
      <c r="F790" t="inlineStr">
        <is>
          <t>DALARNAS LÄN</t>
        </is>
      </c>
      <c r="G790" t="inlineStr">
        <is>
          <t>RÄTTVIK</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63157-2025</t>
        </is>
      </c>
      <c r="B791" t="inlineStr">
        <is>
          <t>avverkningsanmälan</t>
        </is>
      </c>
      <c r="C791" t="inlineStr">
        <is>
          <t>Föryngringsavverkning</t>
        </is>
      </c>
      <c r="D791" s="1" t="n">
        <v>46010</v>
      </c>
      <c r="E791" s="1" t="n">
        <v>46218</v>
      </c>
      <c r="F791" t="inlineStr">
        <is>
          <t>DALARNAS LÄN</t>
        </is>
      </c>
      <c r="G791" t="inlineStr">
        <is>
          <t>RÄTTVIK</t>
        </is>
      </c>
      <c r="I791" t="n">
        <v>2</v>
      </c>
      <c r="J791" t="n">
        <v>0</v>
      </c>
      <c r="K791" t="n">
        <v>0</v>
      </c>
      <c r="L791" t="n">
        <v>0</v>
      </c>
      <c r="M791" t="n">
        <v>0</v>
      </c>
      <c r="N791" t="n">
        <v>0</v>
      </c>
      <c r="O791" t="n">
        <v>0</v>
      </c>
      <c r="P791" t="n">
        <v>0</v>
      </c>
      <c r="Q791" t="n">
        <v>0</v>
      </c>
      <c r="R791" t="n">
        <v>0</v>
      </c>
      <c r="S791" t="n">
        <v>0</v>
      </c>
      <c r="T791" t="n">
        <v>0</v>
      </c>
      <c r="U791" s="2" t="inlineStr"/>
    </row>
    <row r="792" ht="15" customHeight="1">
      <c r="A792" t="inlineStr">
        <is>
          <t>A 21723-2026</t>
        </is>
      </c>
      <c r="B792" t="inlineStr">
        <is>
          <t>avverkningsanmälan</t>
        </is>
      </c>
      <c r="C792" t="inlineStr">
        <is>
          <t>Föryngringsavverkning</t>
        </is>
      </c>
      <c r="D792" s="1" t="n">
        <v>46149</v>
      </c>
      <c r="E792" s="1" t="n">
        <v>46218</v>
      </c>
      <c r="F792" t="inlineStr">
        <is>
          <t>DALARNAS LÄN</t>
        </is>
      </c>
      <c r="G792" t="inlineStr">
        <is>
          <t>RÄTTVIK</t>
        </is>
      </c>
      <c r="H792" t="inlineStr">
        <is>
          <t>Bergvik skog väst AB</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2004-2025</t>
        </is>
      </c>
      <c r="B793" t="inlineStr">
        <is>
          <t>avverkningsanmälan</t>
        </is>
      </c>
      <c r="C793" t="inlineStr">
        <is>
          <t>Föryngringsavverkning</t>
        </is>
      </c>
      <c r="D793" s="1" t="n">
        <v>45671</v>
      </c>
      <c r="E793" s="1" t="n">
        <v>46218</v>
      </c>
      <c r="F793" t="inlineStr">
        <is>
          <t>DALARNAS LÄN</t>
        </is>
      </c>
      <c r="G793" t="inlineStr">
        <is>
          <t>RÄTTVIK</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2011-2025</t>
        </is>
      </c>
      <c r="B794" t="inlineStr">
        <is>
          <t>avverkningsanmälan</t>
        </is>
      </c>
      <c r="C794" t="inlineStr">
        <is>
          <t>Föryngringsavverkning</t>
        </is>
      </c>
      <c r="D794" s="1" t="n">
        <v>45672</v>
      </c>
      <c r="E794" s="1" t="n">
        <v>46218</v>
      </c>
      <c r="F794" t="inlineStr">
        <is>
          <t>DALARNAS LÄN</t>
        </is>
      </c>
      <c r="G794" t="inlineStr">
        <is>
          <t>RÄTTVIK</t>
        </is>
      </c>
      <c r="I794" t="n">
        <v>2.6</v>
      </c>
      <c r="J794" t="n">
        <v>0</v>
      </c>
      <c r="K794" t="n">
        <v>0</v>
      </c>
      <c r="L794" t="n">
        <v>0</v>
      </c>
      <c r="M794" t="n">
        <v>0</v>
      </c>
      <c r="N794" t="n">
        <v>0</v>
      </c>
      <c r="O794" t="n">
        <v>0</v>
      </c>
      <c r="P794" t="n">
        <v>0</v>
      </c>
      <c r="Q794" t="n">
        <v>0</v>
      </c>
      <c r="R794" t="n">
        <v>0</v>
      </c>
      <c r="S794" t="n">
        <v>0</v>
      </c>
      <c r="T794" t="n">
        <v>0</v>
      </c>
      <c r="U794" s="2" t="inlineStr"/>
    </row>
    <row r="795" ht="15" customHeight="1">
      <c r="A795" t="inlineStr">
        <is>
          <t>A 21493-2026</t>
        </is>
      </c>
      <c r="B795" t="inlineStr">
        <is>
          <t>avverkningsanmälan</t>
        </is>
      </c>
      <c r="C795" t="inlineStr">
        <is>
          <t>Föryngringsavverkning</t>
        </is>
      </c>
      <c r="D795" s="1" t="n">
        <v>46148</v>
      </c>
      <c r="E795" s="1" t="n">
        <v>46218</v>
      </c>
      <c r="F795" t="inlineStr">
        <is>
          <t>DALARNAS LÄN</t>
        </is>
      </c>
      <c r="G795" t="inlineStr">
        <is>
          <t>RÄTTVIK</t>
        </is>
      </c>
      <c r="H795" t="inlineStr">
        <is>
          <t>Bergvik skog väst AB</t>
        </is>
      </c>
      <c r="I795" t="n">
        <v>0.2</v>
      </c>
      <c r="J795" t="n">
        <v>0</v>
      </c>
      <c r="K795" t="n">
        <v>0</v>
      </c>
      <c r="L795" t="n">
        <v>0</v>
      </c>
      <c r="M795" t="n">
        <v>0</v>
      </c>
      <c r="N795" t="n">
        <v>0</v>
      </c>
      <c r="O795" t="n">
        <v>0</v>
      </c>
      <c r="P795" t="n">
        <v>0</v>
      </c>
      <c r="Q795" t="n">
        <v>0</v>
      </c>
      <c r="R795" t="n">
        <v>0</v>
      </c>
      <c r="S795" t="n">
        <v>0</v>
      </c>
      <c r="T795" t="n">
        <v>0</v>
      </c>
      <c r="U795" s="2" t="inlineStr"/>
    </row>
    <row r="796" ht="15" customHeight="1">
      <c r="A796" t="inlineStr">
        <is>
          <t>A 41869-2023</t>
        </is>
      </c>
      <c r="B796" t="inlineStr">
        <is>
          <t>avverkningsanmälan</t>
        </is>
      </c>
      <c r="C796" t="inlineStr">
        <is>
          <t>Avverkning för annat ändamål</t>
        </is>
      </c>
      <c r="D796" s="1" t="n">
        <v>45176</v>
      </c>
      <c r="E796" s="1" t="n">
        <v>46218</v>
      </c>
      <c r="F796" t="inlineStr">
        <is>
          <t>DALARNAS LÄN</t>
        </is>
      </c>
      <c r="G796" t="inlineStr">
        <is>
          <t>RÄTTVIK</t>
        </is>
      </c>
      <c r="I796" t="n">
        <v>0.2</v>
      </c>
      <c r="J796" t="n">
        <v>0</v>
      </c>
      <c r="K796" t="n">
        <v>0</v>
      </c>
      <c r="L796" t="n">
        <v>0</v>
      </c>
      <c r="M796" t="n">
        <v>0</v>
      </c>
      <c r="N796" t="n">
        <v>0</v>
      </c>
      <c r="O796" t="n">
        <v>0</v>
      </c>
      <c r="P796" t="n">
        <v>0</v>
      </c>
      <c r="Q796" t="n">
        <v>0</v>
      </c>
      <c r="R796" t="n">
        <v>0</v>
      </c>
      <c r="S796" t="n">
        <v>0</v>
      </c>
      <c r="T796" t="n">
        <v>0</v>
      </c>
      <c r="U796" s="2" t="inlineStr"/>
    </row>
    <row r="797" ht="15" customHeight="1">
      <c r="A797" t="inlineStr">
        <is>
          <t>A 18129-2024</t>
        </is>
      </c>
      <c r="B797" t="inlineStr">
        <is>
          <t>avverkningsanmälan</t>
        </is>
      </c>
      <c r="C797" t="inlineStr">
        <is>
          <t>Föryngringsavverkning</t>
        </is>
      </c>
      <c r="D797" s="1" t="n">
        <v>45420</v>
      </c>
      <c r="E797" s="1" t="n">
        <v>46218</v>
      </c>
      <c r="F797" t="inlineStr">
        <is>
          <t>DALARNAS LÄN</t>
        </is>
      </c>
      <c r="G797" t="inlineStr">
        <is>
          <t>RÄTTVIK</t>
        </is>
      </c>
      <c r="H797" t="inlineStr">
        <is>
          <t>Sveaskog</t>
        </is>
      </c>
      <c r="I797" t="n">
        <v>2.5</v>
      </c>
      <c r="J797" t="n">
        <v>0</v>
      </c>
      <c r="K797" t="n">
        <v>0</v>
      </c>
      <c r="L797" t="n">
        <v>0</v>
      </c>
      <c r="M797" t="n">
        <v>0</v>
      </c>
      <c r="N797" t="n">
        <v>0</v>
      </c>
      <c r="O797" t="n">
        <v>0</v>
      </c>
      <c r="P797" t="n">
        <v>0</v>
      </c>
      <c r="Q797" t="n">
        <v>0</v>
      </c>
      <c r="R797" t="n">
        <v>0</v>
      </c>
      <c r="S797" t="n">
        <v>0</v>
      </c>
      <c r="T797" t="n">
        <v>0</v>
      </c>
      <c r="U797" s="2" t="inlineStr"/>
    </row>
    <row r="798" ht="15" customHeight="1">
      <c r="A798" t="inlineStr">
        <is>
          <t>A 21496-2026</t>
        </is>
      </c>
      <c r="B798" t="inlineStr">
        <is>
          <t>avverkningsanmälan</t>
        </is>
      </c>
      <c r="C798" t="inlineStr">
        <is>
          <t>Föryngringsavverkning</t>
        </is>
      </c>
      <c r="D798" s="1" t="n">
        <v>46148</v>
      </c>
      <c r="E798" s="1" t="n">
        <v>46218</v>
      </c>
      <c r="F798" t="inlineStr">
        <is>
          <t>DALARNAS LÄN</t>
        </is>
      </c>
      <c r="G798" t="inlineStr">
        <is>
          <t>RÄTTVIK</t>
        </is>
      </c>
      <c r="H798" t="inlineStr">
        <is>
          <t>Bergvik skog väst AB</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27556-2026</t>
        </is>
      </c>
      <c r="B799" t="inlineStr">
        <is>
          <t>avverkningsanmälan</t>
        </is>
      </c>
      <c r="C799" t="inlineStr">
        <is>
          <t>Föryngringsavverkning</t>
        </is>
      </c>
      <c r="D799" s="1" t="n">
        <v>46190</v>
      </c>
      <c r="E799" s="1" t="n">
        <v>46218</v>
      </c>
      <c r="F799" t="inlineStr">
        <is>
          <t>DALARNAS LÄN</t>
        </is>
      </c>
      <c r="G799" t="inlineStr">
        <is>
          <t>RÄTTVIK</t>
        </is>
      </c>
      <c r="I799" t="n">
        <v>3.6</v>
      </c>
      <c r="J799" t="n">
        <v>0</v>
      </c>
      <c r="K799" t="n">
        <v>0</v>
      </c>
      <c r="L799" t="n">
        <v>0</v>
      </c>
      <c r="M799" t="n">
        <v>0</v>
      </c>
      <c r="N799" t="n">
        <v>0</v>
      </c>
      <c r="O799" t="n">
        <v>0</v>
      </c>
      <c r="P799" t="n">
        <v>0</v>
      </c>
      <c r="Q799" t="n">
        <v>0</v>
      </c>
      <c r="R799" t="n">
        <v>0</v>
      </c>
      <c r="S799" t="n">
        <v>0</v>
      </c>
      <c r="T799" t="n">
        <v>0</v>
      </c>
      <c r="U799" s="2" t="inlineStr"/>
    </row>
    <row r="800" ht="15" customHeight="1">
      <c r="A800" t="inlineStr">
        <is>
          <t>A 21497-2026</t>
        </is>
      </c>
      <c r="B800" t="inlineStr">
        <is>
          <t>avverkningsanmälan</t>
        </is>
      </c>
      <c r="C800" t="inlineStr">
        <is>
          <t>Föryngringsavverkning</t>
        </is>
      </c>
      <c r="D800" s="1" t="n">
        <v>46148</v>
      </c>
      <c r="E800" s="1" t="n">
        <v>46218</v>
      </c>
      <c r="F800" t="inlineStr">
        <is>
          <t>DALARNAS LÄN</t>
        </is>
      </c>
      <c r="G800" t="inlineStr">
        <is>
          <t>RÄTTVIK</t>
        </is>
      </c>
      <c r="H800" t="inlineStr">
        <is>
          <t>Bergvik skog väst AB</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40435-2024</t>
        </is>
      </c>
      <c r="B801" t="inlineStr">
        <is>
          <t>avverkningsanmälan</t>
        </is>
      </c>
      <c r="C801" t="inlineStr">
        <is>
          <t>Föryngringsavverkning</t>
        </is>
      </c>
      <c r="D801" s="1" t="n">
        <v>45555</v>
      </c>
      <c r="E801" s="1" t="n">
        <v>46218</v>
      </c>
      <c r="F801" t="inlineStr">
        <is>
          <t>DALARNAS LÄN</t>
        </is>
      </c>
      <c r="G801" t="inlineStr">
        <is>
          <t>RÄTTVIK</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60228-2022</t>
        </is>
      </c>
      <c r="B802" t="inlineStr">
        <is>
          <t>avverkningsanmälan</t>
        </is>
      </c>
      <c r="C802" t="inlineStr">
        <is>
          <t>Föryngringsavverkning</t>
        </is>
      </c>
      <c r="D802" s="1" t="n">
        <v>44910</v>
      </c>
      <c r="E802" s="1" t="n">
        <v>46218</v>
      </c>
      <c r="F802" t="inlineStr">
        <is>
          <t>DALARNAS LÄN</t>
        </is>
      </c>
      <c r="G802" t="inlineStr">
        <is>
          <t>RÄTTVIK</t>
        </is>
      </c>
      <c r="I802" t="n">
        <v>2.3</v>
      </c>
      <c r="J802" t="n">
        <v>0</v>
      </c>
      <c r="K802" t="n">
        <v>0</v>
      </c>
      <c r="L802" t="n">
        <v>0</v>
      </c>
      <c r="M802" t="n">
        <v>0</v>
      </c>
      <c r="N802" t="n">
        <v>0</v>
      </c>
      <c r="O802" t="n">
        <v>0</v>
      </c>
      <c r="P802" t="n">
        <v>0</v>
      </c>
      <c r="Q802" t="n">
        <v>0</v>
      </c>
      <c r="R802" t="n">
        <v>0</v>
      </c>
      <c r="S802" t="n">
        <v>0</v>
      </c>
      <c r="T802" t="n">
        <v>0</v>
      </c>
      <c r="U802" s="2" t="inlineStr"/>
    </row>
    <row r="803" ht="15" customHeight="1">
      <c r="A803" t="inlineStr">
        <is>
          <t>A 27797-2026</t>
        </is>
      </c>
      <c r="B803" t="inlineStr">
        <is>
          <t>avverkningsanmälan</t>
        </is>
      </c>
      <c r="C803" t="inlineStr">
        <is>
          <t>Föryngringsavverkning</t>
        </is>
      </c>
      <c r="D803" s="1" t="n">
        <v>46191</v>
      </c>
      <c r="E803" s="1" t="n">
        <v>46218</v>
      </c>
      <c r="F803" t="inlineStr">
        <is>
          <t>DALARNAS LÄN</t>
        </is>
      </c>
      <c r="G803" t="inlineStr">
        <is>
          <t>RÄTTVIK</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27641-2026</t>
        </is>
      </c>
      <c r="B804" t="inlineStr">
        <is>
          <t>avverkningsanmälan</t>
        </is>
      </c>
      <c r="C804" t="inlineStr">
        <is>
          <t>Föryngringsavverkning</t>
        </is>
      </c>
      <c r="D804" s="1" t="n">
        <v>46190</v>
      </c>
      <c r="E804" s="1" t="n">
        <v>46218</v>
      </c>
      <c r="F804" t="inlineStr">
        <is>
          <t>DALARNAS LÄN</t>
        </is>
      </c>
      <c r="G804" t="inlineStr">
        <is>
          <t>RÄTTVIK</t>
        </is>
      </c>
      <c r="H804" t="inlineStr">
        <is>
          <t>Bergvik skog väst AB</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53178-2025</t>
        </is>
      </c>
      <c r="B805" t="inlineStr">
        <is>
          <t>avverkningsanmälan</t>
        </is>
      </c>
      <c r="C805" t="inlineStr">
        <is>
          <t>Föryngringsavverkning</t>
        </is>
      </c>
      <c r="D805" s="1" t="n">
        <v>45958</v>
      </c>
      <c r="E805" s="1" t="n">
        <v>46218</v>
      </c>
      <c r="F805" t="inlineStr">
        <is>
          <t>DALARNAS LÄN</t>
        </is>
      </c>
      <c r="G805" t="inlineStr">
        <is>
          <t>RÄTTVIK</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27740-2026</t>
        </is>
      </c>
      <c r="B806" t="inlineStr">
        <is>
          <t>avverkningsanmälan</t>
        </is>
      </c>
      <c r="C806" t="inlineStr">
        <is>
          <t>Föryngringsavverkning</t>
        </is>
      </c>
      <c r="D806" s="1" t="n">
        <v>46191</v>
      </c>
      <c r="E806" s="1" t="n">
        <v>46218</v>
      </c>
      <c r="F806" t="inlineStr">
        <is>
          <t>DALARNAS LÄN</t>
        </is>
      </c>
      <c r="G806" t="inlineStr">
        <is>
          <t>RÄTTVIK</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54697-2023</t>
        </is>
      </c>
      <c r="B807" t="inlineStr">
        <is>
          <t>avverkningsanmälan</t>
        </is>
      </c>
      <c r="C807" t="inlineStr">
        <is>
          <t>Föryngringsavverkning</t>
        </is>
      </c>
      <c r="D807" s="1" t="n">
        <v>45236</v>
      </c>
      <c r="E807" s="1" t="n">
        <v>46218</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51833-2025</t>
        </is>
      </c>
      <c r="B808" t="inlineStr">
        <is>
          <t>avverkningsanmälan</t>
        </is>
      </c>
      <c r="C808" t="inlineStr">
        <is>
          <t>Föryngringsavverkning</t>
        </is>
      </c>
      <c r="D808" s="1" t="n">
        <v>45952</v>
      </c>
      <c r="E808" s="1" t="n">
        <v>46218</v>
      </c>
      <c r="F808" t="inlineStr">
        <is>
          <t>DALARNAS LÄN</t>
        </is>
      </c>
      <c r="G808" t="inlineStr">
        <is>
          <t>RÄTTVIK</t>
        </is>
      </c>
      <c r="H808" t="inlineStr">
        <is>
          <t>Bergvik skog väst AB</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338-2026</t>
        </is>
      </c>
      <c r="B809" t="inlineStr">
        <is>
          <t>avverkningsanmälan</t>
        </is>
      </c>
      <c r="C809" t="inlineStr">
        <is>
          <t>Föryngringsavverkning</t>
        </is>
      </c>
      <c r="D809" s="1" t="n">
        <v>46027</v>
      </c>
      <c r="E809" s="1" t="n">
        <v>46218</v>
      </c>
      <c r="F809" t="inlineStr">
        <is>
          <t>DALARNAS LÄN</t>
        </is>
      </c>
      <c r="G809" t="inlineStr">
        <is>
          <t>RÄTTVIK</t>
        </is>
      </c>
      <c r="I809" t="n">
        <v>12.9</v>
      </c>
      <c r="J809" t="n">
        <v>0</v>
      </c>
      <c r="K809" t="n">
        <v>0</v>
      </c>
      <c r="L809" t="n">
        <v>0</v>
      </c>
      <c r="M809" t="n">
        <v>0</v>
      </c>
      <c r="N809" t="n">
        <v>0</v>
      </c>
      <c r="O809" t="n">
        <v>0</v>
      </c>
      <c r="P809" t="n">
        <v>0</v>
      </c>
      <c r="Q809" t="n">
        <v>0</v>
      </c>
      <c r="R809" t="n">
        <v>0</v>
      </c>
      <c r="S809" t="n">
        <v>0</v>
      </c>
      <c r="T809" t="n">
        <v>0</v>
      </c>
      <c r="U809" s="2" t="inlineStr"/>
    </row>
    <row r="810" ht="15" customHeight="1">
      <c r="A810" t="inlineStr">
        <is>
          <t>A 11788-2026</t>
        </is>
      </c>
      <c r="B810" t="inlineStr">
        <is>
          <t>avverkningsanmälan</t>
        </is>
      </c>
      <c r="C810" t="inlineStr">
        <is>
          <t>Föryngringsavverkning</t>
        </is>
      </c>
      <c r="D810" s="1" t="n">
        <v>46085</v>
      </c>
      <c r="E810" s="1" t="n">
        <v>46218</v>
      </c>
      <c r="F810" t="inlineStr">
        <is>
          <t>DALARNAS LÄN</t>
        </is>
      </c>
      <c r="G810" t="inlineStr">
        <is>
          <t>RÄTTVIK</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356-2026</t>
        </is>
      </c>
      <c r="B811" t="inlineStr">
        <is>
          <t>avverkningsanmälan</t>
        </is>
      </c>
      <c r="C811" t="inlineStr">
        <is>
          <t>Föryngringsavverkning</t>
        </is>
      </c>
      <c r="D811" s="1" t="n">
        <v>46027</v>
      </c>
      <c r="E811" s="1" t="n">
        <v>46218</v>
      </c>
      <c r="F811" t="inlineStr">
        <is>
          <t>DALARNAS LÄN</t>
        </is>
      </c>
      <c r="G811" t="inlineStr">
        <is>
          <t>RÄTTVIK</t>
        </is>
      </c>
      <c r="I811" t="n">
        <v>3.5</v>
      </c>
      <c r="J811" t="n">
        <v>0</v>
      </c>
      <c r="K811" t="n">
        <v>0</v>
      </c>
      <c r="L811" t="n">
        <v>0</v>
      </c>
      <c r="M811" t="n">
        <v>0</v>
      </c>
      <c r="N811" t="n">
        <v>0</v>
      </c>
      <c r="O811" t="n">
        <v>0</v>
      </c>
      <c r="P811" t="n">
        <v>0</v>
      </c>
      <c r="Q811" t="n">
        <v>0</v>
      </c>
      <c r="R811" t="n">
        <v>0</v>
      </c>
      <c r="S811" t="n">
        <v>0</v>
      </c>
      <c r="T811" t="n">
        <v>0</v>
      </c>
      <c r="U811" s="2" t="inlineStr"/>
    </row>
    <row r="812" ht="15" customHeight="1">
      <c r="A812" t="inlineStr">
        <is>
          <t>A 592-2026</t>
        </is>
      </c>
      <c r="B812" t="inlineStr">
        <is>
          <t>avverkningsanmälan</t>
        </is>
      </c>
      <c r="C812" t="inlineStr">
        <is>
          <t>Föryngringsavverkning</t>
        </is>
      </c>
      <c r="D812" s="1" t="n">
        <v>46027</v>
      </c>
      <c r="E812" s="1" t="n">
        <v>46218</v>
      </c>
      <c r="F812" t="inlineStr">
        <is>
          <t>DALARNAS LÄN</t>
        </is>
      </c>
      <c r="G812" t="inlineStr">
        <is>
          <t>RÄTTVIK</t>
        </is>
      </c>
      <c r="I812" t="n">
        <v>6.1</v>
      </c>
      <c r="J812" t="n">
        <v>0</v>
      </c>
      <c r="K812" t="n">
        <v>0</v>
      </c>
      <c r="L812" t="n">
        <v>0</v>
      </c>
      <c r="M812" t="n">
        <v>0</v>
      </c>
      <c r="N812" t="n">
        <v>0</v>
      </c>
      <c r="O812" t="n">
        <v>0</v>
      </c>
      <c r="P812" t="n">
        <v>0</v>
      </c>
      <c r="Q812" t="n">
        <v>0</v>
      </c>
      <c r="R812" t="n">
        <v>0</v>
      </c>
      <c r="S812" t="n">
        <v>0</v>
      </c>
      <c r="T812" t="n">
        <v>0</v>
      </c>
      <c r="U812" s="2" t="inlineStr"/>
    </row>
    <row r="813" ht="15" customHeight="1">
      <c r="A813" t="inlineStr">
        <is>
          <t>A 22018-2026</t>
        </is>
      </c>
      <c r="B813" t="inlineStr">
        <is>
          <t>avverkningsanmälan</t>
        </is>
      </c>
      <c r="C813" t="inlineStr">
        <is>
          <t>Föryngringsavverkning</t>
        </is>
      </c>
      <c r="D813" s="1" t="n">
        <v>46153</v>
      </c>
      <c r="E813" s="1" t="n">
        <v>46218</v>
      </c>
      <c r="F813" t="inlineStr">
        <is>
          <t>DALARNAS LÄN</t>
        </is>
      </c>
      <c r="G813" t="inlineStr">
        <is>
          <t>RÄTTVIK</t>
        </is>
      </c>
      <c r="H813" t="inlineStr">
        <is>
          <t>Sveaskog</t>
        </is>
      </c>
      <c r="I813" t="n">
        <v>1.5</v>
      </c>
      <c r="J813" t="n">
        <v>0</v>
      </c>
      <c r="K813" t="n">
        <v>0</v>
      </c>
      <c r="L813" t="n">
        <v>0</v>
      </c>
      <c r="M813" t="n">
        <v>0</v>
      </c>
      <c r="N813" t="n">
        <v>0</v>
      </c>
      <c r="O813" t="n">
        <v>0</v>
      </c>
      <c r="P813" t="n">
        <v>0</v>
      </c>
      <c r="Q813" t="n">
        <v>0</v>
      </c>
      <c r="R813" t="n">
        <v>0</v>
      </c>
      <c r="S813" t="n">
        <v>0</v>
      </c>
      <c r="T813" t="n">
        <v>0</v>
      </c>
      <c r="U813" s="2" t="inlineStr"/>
    </row>
    <row r="814" ht="15" customHeight="1">
      <c r="A814" t="inlineStr">
        <is>
          <t>A 339-2026</t>
        </is>
      </c>
      <c r="B814" t="inlineStr">
        <is>
          <t>avverkningsanmälan</t>
        </is>
      </c>
      <c r="C814" t="inlineStr">
        <is>
          <t>Föryngringsavverkning</t>
        </is>
      </c>
      <c r="D814" s="1" t="n">
        <v>46027</v>
      </c>
      <c r="E814" s="1" t="n">
        <v>46218</v>
      </c>
      <c r="F814" t="inlineStr">
        <is>
          <t>DALARNAS LÄN</t>
        </is>
      </c>
      <c r="G814" t="inlineStr">
        <is>
          <t>RÄTTVIK</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10807-2025</t>
        </is>
      </c>
      <c r="B815" t="inlineStr">
        <is>
          <t>avverkningsanmälan</t>
        </is>
      </c>
      <c r="C815" t="inlineStr">
        <is>
          <t>Föryngringsavverkning</t>
        </is>
      </c>
      <c r="D815" s="1" t="n">
        <v>45722</v>
      </c>
      <c r="E815" s="1" t="n">
        <v>46218</v>
      </c>
      <c r="F815" t="inlineStr">
        <is>
          <t>DALARNAS LÄN</t>
        </is>
      </c>
      <c r="G815" t="inlineStr">
        <is>
          <t>RÄTTVIK</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48223-2024</t>
        </is>
      </c>
      <c r="B816" t="inlineStr">
        <is>
          <t>avverkningsanmälan</t>
        </is>
      </c>
      <c r="C816" t="inlineStr">
        <is>
          <t>Föryngringsavverkning</t>
        </is>
      </c>
      <c r="D816" s="1" t="n">
        <v>45590</v>
      </c>
      <c r="E816" s="1" t="n">
        <v>46218</v>
      </c>
      <c r="F816" t="inlineStr">
        <is>
          <t>DALARNAS LÄN</t>
        </is>
      </c>
      <c r="G816" t="inlineStr">
        <is>
          <t>RÄTTVIK</t>
        </is>
      </c>
      <c r="H816" t="inlineStr">
        <is>
          <t>Bergvik skog väst AB</t>
        </is>
      </c>
      <c r="I816" t="n">
        <v>1.6</v>
      </c>
      <c r="J816" t="n">
        <v>0</v>
      </c>
      <c r="K816" t="n">
        <v>0</v>
      </c>
      <c r="L816" t="n">
        <v>0</v>
      </c>
      <c r="M816" t="n">
        <v>0</v>
      </c>
      <c r="N816" t="n">
        <v>0</v>
      </c>
      <c r="O816" t="n">
        <v>0</v>
      </c>
      <c r="P816" t="n">
        <v>0</v>
      </c>
      <c r="Q816" t="n">
        <v>0</v>
      </c>
      <c r="R816" t="n">
        <v>0</v>
      </c>
      <c r="S816" t="n">
        <v>0</v>
      </c>
      <c r="T816" t="n">
        <v>0</v>
      </c>
      <c r="U816" s="2" t="inlineStr"/>
    </row>
    <row r="817" ht="15" customHeight="1">
      <c r="A817" t="inlineStr">
        <is>
          <t>A 29315-2024</t>
        </is>
      </c>
      <c r="B817" t="inlineStr">
        <is>
          <t>avverkningsanmälan</t>
        </is>
      </c>
      <c r="C817" t="inlineStr">
        <is>
          <t>Föryngringsavverkning</t>
        </is>
      </c>
      <c r="D817" s="1" t="n">
        <v>45483</v>
      </c>
      <c r="E817" s="1" t="n">
        <v>46218</v>
      </c>
      <c r="F817" t="inlineStr">
        <is>
          <t>DALARNAS LÄN</t>
        </is>
      </c>
      <c r="G817" t="inlineStr">
        <is>
          <t>RÄTTVIK</t>
        </is>
      </c>
      <c r="H817" t="inlineStr">
        <is>
          <t>Allmännings- och besparingsskogar</t>
        </is>
      </c>
      <c r="I817" t="n">
        <v>5</v>
      </c>
      <c r="J817" t="n">
        <v>0</v>
      </c>
      <c r="K817" t="n">
        <v>0</v>
      </c>
      <c r="L817" t="n">
        <v>0</v>
      </c>
      <c r="M817" t="n">
        <v>0</v>
      </c>
      <c r="N817" t="n">
        <v>0</v>
      </c>
      <c r="O817" t="n">
        <v>0</v>
      </c>
      <c r="P817" t="n">
        <v>0</v>
      </c>
      <c r="Q817" t="n">
        <v>0</v>
      </c>
      <c r="R817" t="n">
        <v>0</v>
      </c>
      <c r="S817" t="n">
        <v>0</v>
      </c>
      <c r="T817" t="n">
        <v>0</v>
      </c>
      <c r="U817" s="2" t="inlineStr"/>
    </row>
    <row r="818" ht="15" customHeight="1">
      <c r="A818" t="inlineStr">
        <is>
          <t>A 45052-2024</t>
        </is>
      </c>
      <c r="B818" t="inlineStr">
        <is>
          <t>avverkningsanmälan</t>
        </is>
      </c>
      <c r="C818" t="inlineStr">
        <is>
          <t>Avverkning för annat ändamål</t>
        </is>
      </c>
      <c r="D818" s="1" t="n">
        <v>45575</v>
      </c>
      <c r="E818" s="1" t="n">
        <v>46218</v>
      </c>
      <c r="F818" t="inlineStr">
        <is>
          <t>DALARNAS LÄN</t>
        </is>
      </c>
      <c r="G818" t="inlineStr">
        <is>
          <t>RÄTTVIK</t>
        </is>
      </c>
      <c r="H818" t="inlineStr">
        <is>
          <t>Bergvik skog väst AB</t>
        </is>
      </c>
      <c r="I818" t="n">
        <v>2.1</v>
      </c>
      <c r="J818" t="n">
        <v>0</v>
      </c>
      <c r="K818" t="n">
        <v>0</v>
      </c>
      <c r="L818" t="n">
        <v>0</v>
      </c>
      <c r="M818" t="n">
        <v>0</v>
      </c>
      <c r="N818" t="n">
        <v>0</v>
      </c>
      <c r="O818" t="n">
        <v>0</v>
      </c>
      <c r="P818" t="n">
        <v>0</v>
      </c>
      <c r="Q818" t="n">
        <v>0</v>
      </c>
      <c r="R818" t="n">
        <v>0</v>
      </c>
      <c r="S818" t="n">
        <v>0</v>
      </c>
      <c r="T818" t="n">
        <v>0</v>
      </c>
      <c r="U818" s="2" t="inlineStr"/>
    </row>
    <row r="819" ht="15" customHeight="1">
      <c r="A819" t="inlineStr">
        <is>
          <t>A 28078-2026</t>
        </is>
      </c>
      <c r="B819" t="inlineStr">
        <is>
          <t>avverkningsanmälan</t>
        </is>
      </c>
      <c r="C819" t="inlineStr">
        <is>
          <t>Föryngringsavverkning</t>
        </is>
      </c>
      <c r="D819" s="1" t="n">
        <v>46195</v>
      </c>
      <c r="E819" s="1" t="n">
        <v>46218</v>
      </c>
      <c r="F819" t="inlineStr">
        <is>
          <t>DALARNAS LÄN</t>
        </is>
      </c>
      <c r="G819" t="inlineStr">
        <is>
          <t>RÄTTVIK</t>
        </is>
      </c>
      <c r="I819" t="n">
        <v>3.6</v>
      </c>
      <c r="J819" t="n">
        <v>0</v>
      </c>
      <c r="K819" t="n">
        <v>0</v>
      </c>
      <c r="L819" t="n">
        <v>0</v>
      </c>
      <c r="M819" t="n">
        <v>0</v>
      </c>
      <c r="N819" t="n">
        <v>0</v>
      </c>
      <c r="O819" t="n">
        <v>0</v>
      </c>
      <c r="P819" t="n">
        <v>0</v>
      </c>
      <c r="Q819" t="n">
        <v>0</v>
      </c>
      <c r="R819" t="n">
        <v>0</v>
      </c>
      <c r="S819" t="n">
        <v>0</v>
      </c>
      <c r="T819" t="n">
        <v>0</v>
      </c>
      <c r="U819" s="2" t="inlineStr"/>
    </row>
    <row r="820" ht="15" customHeight="1">
      <c r="A820" t="inlineStr">
        <is>
          <t>A 28110-2026</t>
        </is>
      </c>
      <c r="B820" t="inlineStr">
        <is>
          <t>avverkningsanmälan</t>
        </is>
      </c>
      <c r="C820" t="inlineStr">
        <is>
          <t>Föryngringsavverkning</t>
        </is>
      </c>
      <c r="D820" s="1" t="n">
        <v>46195</v>
      </c>
      <c r="E820" s="1" t="n">
        <v>46218</v>
      </c>
      <c r="F820" t="inlineStr">
        <is>
          <t>DALARNAS LÄN</t>
        </is>
      </c>
      <c r="G820" t="inlineStr">
        <is>
          <t>RÄTTVIK</t>
        </is>
      </c>
      <c r="H820" t="inlineStr">
        <is>
          <t>Sveaskog</t>
        </is>
      </c>
      <c r="I820" t="n">
        <v>3.5</v>
      </c>
      <c r="J820" t="n">
        <v>0</v>
      </c>
      <c r="K820" t="n">
        <v>0</v>
      </c>
      <c r="L820" t="n">
        <v>0</v>
      </c>
      <c r="M820" t="n">
        <v>0</v>
      </c>
      <c r="N820" t="n">
        <v>0</v>
      </c>
      <c r="O820" t="n">
        <v>0</v>
      </c>
      <c r="P820" t="n">
        <v>0</v>
      </c>
      <c r="Q820" t="n">
        <v>0</v>
      </c>
      <c r="R820" t="n">
        <v>0</v>
      </c>
      <c r="S820" t="n">
        <v>0</v>
      </c>
      <c r="T820" t="n">
        <v>0</v>
      </c>
      <c r="U820" s="2" t="inlineStr"/>
    </row>
    <row r="821" ht="15" customHeight="1">
      <c r="A821" t="inlineStr">
        <is>
          <t>A 28115-2026</t>
        </is>
      </c>
      <c r="B821" t="inlineStr">
        <is>
          <t>avverkningsanmälan</t>
        </is>
      </c>
      <c r="C821" t="inlineStr">
        <is>
          <t>Föryngringsavverkning</t>
        </is>
      </c>
      <c r="D821" s="1" t="n">
        <v>46195</v>
      </c>
      <c r="E821" s="1" t="n">
        <v>46218</v>
      </c>
      <c r="F821" t="inlineStr">
        <is>
          <t>DALARNAS LÄN</t>
        </is>
      </c>
      <c r="G821" t="inlineStr">
        <is>
          <t>RÄTTVIK</t>
        </is>
      </c>
      <c r="H821" t="inlineStr">
        <is>
          <t>Sveaskog</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49240-2023</t>
        </is>
      </c>
      <c r="B822" t="inlineStr">
        <is>
          <t>avverkningsanmälan</t>
        </is>
      </c>
      <c r="C822" t="inlineStr">
        <is>
          <t>Föryngringsavverkning</t>
        </is>
      </c>
      <c r="D822" s="1" t="n">
        <v>45210</v>
      </c>
      <c r="E822" s="1" t="n">
        <v>46218</v>
      </c>
      <c r="F822" t="inlineStr">
        <is>
          <t>DALARNAS LÄN</t>
        </is>
      </c>
      <c r="G822" t="inlineStr">
        <is>
          <t>RÄTTVIK</t>
        </is>
      </c>
      <c r="I822" t="n">
        <v>1.8</v>
      </c>
      <c r="J822" t="n">
        <v>0</v>
      </c>
      <c r="K822" t="n">
        <v>0</v>
      </c>
      <c r="L822" t="n">
        <v>0</v>
      </c>
      <c r="M822" t="n">
        <v>0</v>
      </c>
      <c r="N822" t="n">
        <v>0</v>
      </c>
      <c r="O822" t="n">
        <v>0</v>
      </c>
      <c r="P822" t="n">
        <v>0</v>
      </c>
      <c r="Q822" t="n">
        <v>0</v>
      </c>
      <c r="R822" t="n">
        <v>0</v>
      </c>
      <c r="S822" t="n">
        <v>0</v>
      </c>
      <c r="T822" t="n">
        <v>0</v>
      </c>
      <c r="U822" s="2" t="inlineStr"/>
    </row>
    <row r="823" ht="15" customHeight="1">
      <c r="A823" t="inlineStr">
        <is>
          <t>A 8173-2026</t>
        </is>
      </c>
      <c r="B823" t="inlineStr">
        <is>
          <t>avverkningsanmälan</t>
        </is>
      </c>
      <c r="C823" t="inlineStr">
        <is>
          <t>Föryngringsavverkning</t>
        </is>
      </c>
      <c r="D823" s="1" t="n">
        <v>46064</v>
      </c>
      <c r="E823" s="1" t="n">
        <v>46218</v>
      </c>
      <c r="F823" t="inlineStr">
        <is>
          <t>DALARNAS LÄN</t>
        </is>
      </c>
      <c r="G823" t="inlineStr">
        <is>
          <t>RÄTTVIK</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15588-2026</t>
        </is>
      </c>
      <c r="B824" t="inlineStr">
        <is>
          <t>avverkningsanmälan</t>
        </is>
      </c>
      <c r="C824" t="inlineStr">
        <is>
          <t>Föryngringsavverkning</t>
        </is>
      </c>
      <c r="D824" s="1" t="n">
        <v>46106</v>
      </c>
      <c r="E824" s="1" t="n">
        <v>46218</v>
      </c>
      <c r="F824" t="inlineStr">
        <is>
          <t>DALARNAS LÄN</t>
        </is>
      </c>
      <c r="G824" t="inlineStr">
        <is>
          <t>RÄTTVIK</t>
        </is>
      </c>
      <c r="H824" t="inlineStr">
        <is>
          <t>Bergvik skog väst AB</t>
        </is>
      </c>
      <c r="I824" t="n">
        <v>1.9</v>
      </c>
      <c r="J824" t="n">
        <v>0</v>
      </c>
      <c r="K824" t="n">
        <v>0</v>
      </c>
      <c r="L824" t="n">
        <v>0</v>
      </c>
      <c r="M824" t="n">
        <v>0</v>
      </c>
      <c r="N824" t="n">
        <v>0</v>
      </c>
      <c r="O824" t="n">
        <v>0</v>
      </c>
      <c r="P824" t="n">
        <v>0</v>
      </c>
      <c r="Q824" t="n">
        <v>0</v>
      </c>
      <c r="R824" t="n">
        <v>0</v>
      </c>
      <c r="S824" t="n">
        <v>0</v>
      </c>
      <c r="T824" t="n">
        <v>0</v>
      </c>
      <c r="U824" s="2" t="inlineStr"/>
    </row>
    <row r="825" ht="15" customHeight="1">
      <c r="A825" t="inlineStr">
        <is>
          <t>A 1005-2022</t>
        </is>
      </c>
      <c r="B825" t="inlineStr">
        <is>
          <t>avverkningsanmälan</t>
        </is>
      </c>
      <c r="C825" t="inlineStr">
        <is>
          <t>Föryngringsavverkning</t>
        </is>
      </c>
      <c r="D825" s="1" t="n">
        <v>44571</v>
      </c>
      <c r="E825" s="1" t="n">
        <v>46218</v>
      </c>
      <c r="F825" t="inlineStr">
        <is>
          <t>DALARNAS LÄN</t>
        </is>
      </c>
      <c r="G825" t="inlineStr">
        <is>
          <t>RÄTTVIK</t>
        </is>
      </c>
      <c r="I825" t="n">
        <v>2.7</v>
      </c>
      <c r="J825" t="n">
        <v>0</v>
      </c>
      <c r="K825" t="n">
        <v>0</v>
      </c>
      <c r="L825" t="n">
        <v>0</v>
      </c>
      <c r="M825" t="n">
        <v>0</v>
      </c>
      <c r="N825" t="n">
        <v>0</v>
      </c>
      <c r="O825" t="n">
        <v>0</v>
      </c>
      <c r="P825" t="n">
        <v>0</v>
      </c>
      <c r="Q825" t="n">
        <v>0</v>
      </c>
      <c r="R825" t="n">
        <v>0</v>
      </c>
      <c r="S825" t="n">
        <v>0</v>
      </c>
      <c r="T825" t="n">
        <v>0</v>
      </c>
      <c r="U825" s="2" t="inlineStr"/>
    </row>
    <row r="826" ht="15" customHeight="1">
      <c r="A826" t="inlineStr">
        <is>
          <t>A 16715-2026</t>
        </is>
      </c>
      <c r="B826" t="inlineStr">
        <is>
          <t>avverkningsanmälan</t>
        </is>
      </c>
      <c r="C826" t="inlineStr">
        <is>
          <t>Föryngringsavverkning</t>
        </is>
      </c>
      <c r="D826" s="1" t="n">
        <v>46113</v>
      </c>
      <c r="E826" s="1" t="n">
        <v>46218</v>
      </c>
      <c r="F826" t="inlineStr">
        <is>
          <t>DALARNAS LÄN</t>
        </is>
      </c>
      <c r="G826" t="inlineStr">
        <is>
          <t>RÄTTVIK</t>
        </is>
      </c>
      <c r="H826" t="inlineStr">
        <is>
          <t>Bergvik skog väst AB</t>
        </is>
      </c>
      <c r="I826" t="n">
        <v>6</v>
      </c>
      <c r="J826" t="n">
        <v>0</v>
      </c>
      <c r="K826" t="n">
        <v>0</v>
      </c>
      <c r="L826" t="n">
        <v>0</v>
      </c>
      <c r="M826" t="n">
        <v>0</v>
      </c>
      <c r="N826" t="n">
        <v>0</v>
      </c>
      <c r="O826" t="n">
        <v>0</v>
      </c>
      <c r="P826" t="n">
        <v>0</v>
      </c>
      <c r="Q826" t="n">
        <v>0</v>
      </c>
      <c r="R826" t="n">
        <v>0</v>
      </c>
      <c r="S826" t="n">
        <v>0</v>
      </c>
      <c r="T826" t="n">
        <v>0</v>
      </c>
      <c r="U826" s="2" t="inlineStr"/>
    </row>
    <row r="827" ht="15" customHeight="1">
      <c r="A827" t="inlineStr">
        <is>
          <t>A 1336-2026</t>
        </is>
      </c>
      <c r="B827" t="inlineStr">
        <is>
          <t>avverkningsanmälan</t>
        </is>
      </c>
      <c r="C827" t="inlineStr">
        <is>
          <t>Föryngringsavverkning</t>
        </is>
      </c>
      <c r="D827" s="1" t="n">
        <v>46031</v>
      </c>
      <c r="E827" s="1" t="n">
        <v>46218</v>
      </c>
      <c r="F827" t="inlineStr">
        <is>
          <t>DALARNAS LÄN</t>
        </is>
      </c>
      <c r="G827" t="inlineStr">
        <is>
          <t>RÄTTVIK</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15243-2026</t>
        </is>
      </c>
      <c r="B828" t="inlineStr">
        <is>
          <t>avverkningsanmälan</t>
        </is>
      </c>
      <c r="C828" t="inlineStr">
        <is>
          <t>Föryngringsavverkning</t>
        </is>
      </c>
      <c r="D828" s="1" t="n">
        <v>46105</v>
      </c>
      <c r="E828" s="1" t="n">
        <v>46218</v>
      </c>
      <c r="F828" t="inlineStr">
        <is>
          <t>DALARNAS LÄN</t>
        </is>
      </c>
      <c r="G828" t="inlineStr">
        <is>
          <t>RÄTTVIK</t>
        </is>
      </c>
      <c r="H828" t="inlineStr">
        <is>
          <t>Bergvik skog väst AB</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934-2026</t>
        </is>
      </c>
      <c r="B829" t="inlineStr">
        <is>
          <t>avverkningsanmälan</t>
        </is>
      </c>
      <c r="C829" t="inlineStr">
        <is>
          <t>Föryngringsavverkning</t>
        </is>
      </c>
      <c r="D829" s="1" t="n">
        <v>46030</v>
      </c>
      <c r="E829" s="1" t="n">
        <v>46218</v>
      </c>
      <c r="F829" t="inlineStr">
        <is>
          <t>DALARNAS LÄN</t>
        </is>
      </c>
      <c r="G829" t="inlineStr">
        <is>
          <t>RÄTTVIK</t>
        </is>
      </c>
      <c r="I829" t="n">
        <v>9.5</v>
      </c>
      <c r="J829" t="n">
        <v>0</v>
      </c>
      <c r="K829" t="n">
        <v>0</v>
      </c>
      <c r="L829" t="n">
        <v>0</v>
      </c>
      <c r="M829" t="n">
        <v>0</v>
      </c>
      <c r="N829" t="n">
        <v>0</v>
      </c>
      <c r="O829" t="n">
        <v>0</v>
      </c>
      <c r="P829" t="n">
        <v>0</v>
      </c>
      <c r="Q829" t="n">
        <v>0</v>
      </c>
      <c r="R829" t="n">
        <v>0</v>
      </c>
      <c r="S829" t="n">
        <v>0</v>
      </c>
      <c r="T829" t="n">
        <v>0</v>
      </c>
      <c r="U829" s="2" t="inlineStr"/>
    </row>
    <row r="830" ht="15" customHeight="1">
      <c r="A830" t="inlineStr">
        <is>
          <t>A 1462-2026</t>
        </is>
      </c>
      <c r="B830" t="inlineStr">
        <is>
          <t>avverkningsanmälan</t>
        </is>
      </c>
      <c r="C830" t="inlineStr">
        <is>
          <t>Föryngringsavverkning</t>
        </is>
      </c>
      <c r="D830" s="1" t="n">
        <v>46033</v>
      </c>
      <c r="E830" s="1" t="n">
        <v>46218</v>
      </c>
      <c r="F830" t="inlineStr">
        <is>
          <t>DALARNAS LÄN</t>
        </is>
      </c>
      <c r="G830" t="inlineStr">
        <is>
          <t>RÄTTVIK</t>
        </is>
      </c>
      <c r="I830" t="n">
        <v>5</v>
      </c>
      <c r="J830" t="n">
        <v>0</v>
      </c>
      <c r="K830" t="n">
        <v>0</v>
      </c>
      <c r="L830" t="n">
        <v>0</v>
      </c>
      <c r="M830" t="n">
        <v>0</v>
      </c>
      <c r="N830" t="n">
        <v>0</v>
      </c>
      <c r="O830" t="n">
        <v>0</v>
      </c>
      <c r="P830" t="n">
        <v>0</v>
      </c>
      <c r="Q830" t="n">
        <v>0</v>
      </c>
      <c r="R830" t="n">
        <v>0</v>
      </c>
      <c r="S830" t="n">
        <v>0</v>
      </c>
      <c r="T830" t="n">
        <v>0</v>
      </c>
      <c r="U830" s="2" t="inlineStr"/>
    </row>
    <row r="831" ht="15" customHeight="1">
      <c r="A831" t="inlineStr">
        <is>
          <t>A 1646-2026</t>
        </is>
      </c>
      <c r="B831" t="inlineStr">
        <is>
          <t>avverkningsanmälan</t>
        </is>
      </c>
      <c r="C831" t="inlineStr">
        <is>
          <t>Föryngringsavverkning</t>
        </is>
      </c>
      <c r="D831" s="1" t="n">
        <v>46034</v>
      </c>
      <c r="E831" s="1" t="n">
        <v>46218</v>
      </c>
      <c r="F831" t="inlineStr">
        <is>
          <t>DALARNAS LÄN</t>
        </is>
      </c>
      <c r="G831" t="inlineStr">
        <is>
          <t>RÄTTVIK</t>
        </is>
      </c>
      <c r="I831" t="n">
        <v>2.9</v>
      </c>
      <c r="J831" t="n">
        <v>0</v>
      </c>
      <c r="K831" t="n">
        <v>0</v>
      </c>
      <c r="L831" t="n">
        <v>0</v>
      </c>
      <c r="M831" t="n">
        <v>0</v>
      </c>
      <c r="N831" t="n">
        <v>0</v>
      </c>
      <c r="O831" t="n">
        <v>0</v>
      </c>
      <c r="P831" t="n">
        <v>0</v>
      </c>
      <c r="Q831" t="n">
        <v>0</v>
      </c>
      <c r="R831" t="n">
        <v>0</v>
      </c>
      <c r="S831" t="n">
        <v>0</v>
      </c>
      <c r="T831" t="n">
        <v>0</v>
      </c>
      <c r="U831" s="2" t="inlineStr"/>
    </row>
    <row r="832" ht="15" customHeight="1">
      <c r="A832" t="inlineStr">
        <is>
          <t>A 14903-2026</t>
        </is>
      </c>
      <c r="B832" t="inlineStr">
        <is>
          <t>avverkningsanmälan</t>
        </is>
      </c>
      <c r="C832" t="inlineStr">
        <is>
          <t>Föryngringsavverkning</t>
        </is>
      </c>
      <c r="D832" s="1" t="n">
        <v>46104</v>
      </c>
      <c r="E832" s="1" t="n">
        <v>46218</v>
      </c>
      <c r="F832" t="inlineStr">
        <is>
          <t>DALARNAS LÄN</t>
        </is>
      </c>
      <c r="G832" t="inlineStr">
        <is>
          <t>RÄTTVIK</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22638-2026</t>
        </is>
      </c>
      <c r="B833" t="inlineStr">
        <is>
          <t>avverkningsanmälan</t>
        </is>
      </c>
      <c r="C833" t="inlineStr">
        <is>
          <t>Föryngringsavverkning</t>
        </is>
      </c>
      <c r="D833" s="1" t="n">
        <v>46155</v>
      </c>
      <c r="E833" s="1" t="n">
        <v>46218</v>
      </c>
      <c r="F833" t="inlineStr">
        <is>
          <t>DALARNAS LÄN</t>
        </is>
      </c>
      <c r="G833" t="inlineStr">
        <is>
          <t>RÄTTVIK</t>
        </is>
      </c>
      <c r="H833" t="inlineStr">
        <is>
          <t>Bergvik skog väst AB</t>
        </is>
      </c>
      <c r="I833" t="n">
        <v>0.9</v>
      </c>
      <c r="J833" t="n">
        <v>0</v>
      </c>
      <c r="K833" t="n">
        <v>0</v>
      </c>
      <c r="L833" t="n">
        <v>0</v>
      </c>
      <c r="M833" t="n">
        <v>0</v>
      </c>
      <c r="N833" t="n">
        <v>0</v>
      </c>
      <c r="O833" t="n">
        <v>0</v>
      </c>
      <c r="P833" t="n">
        <v>0</v>
      </c>
      <c r="Q833" t="n">
        <v>0</v>
      </c>
      <c r="R833" t="n">
        <v>0</v>
      </c>
      <c r="S833" t="n">
        <v>0</v>
      </c>
      <c r="T833" t="n">
        <v>0</v>
      </c>
      <c r="U833" s="2" t="inlineStr"/>
    </row>
    <row r="834" ht="15" customHeight="1">
      <c r="A834" t="inlineStr">
        <is>
          <t>A 28550-2026</t>
        </is>
      </c>
      <c r="B834" t="inlineStr">
        <is>
          <t>avverkningsanmälan</t>
        </is>
      </c>
      <c r="C834" t="inlineStr">
        <is>
          <t>Föryngringsavverkning</t>
        </is>
      </c>
      <c r="D834" s="1" t="n">
        <v>46197</v>
      </c>
      <c r="E834" s="1" t="n">
        <v>46218</v>
      </c>
      <c r="F834" t="inlineStr">
        <is>
          <t>DALARNAS LÄN</t>
        </is>
      </c>
      <c r="G834" t="inlineStr">
        <is>
          <t>RÄTTVIK</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28579-2026</t>
        </is>
      </c>
      <c r="B835" t="inlineStr">
        <is>
          <t>avverkningsanmälan</t>
        </is>
      </c>
      <c r="C835" t="inlineStr">
        <is>
          <t>Föryngringsavverkning</t>
        </is>
      </c>
      <c r="D835" s="1" t="n">
        <v>46197</v>
      </c>
      <c r="E835" s="1" t="n">
        <v>46218</v>
      </c>
      <c r="F835" t="inlineStr">
        <is>
          <t>DALARNAS LÄN</t>
        </is>
      </c>
      <c r="G835" t="inlineStr">
        <is>
          <t>RÄTTVIK</t>
        </is>
      </c>
      <c r="I835" t="n">
        <v>4.3</v>
      </c>
      <c r="J835" t="n">
        <v>0</v>
      </c>
      <c r="K835" t="n">
        <v>0</v>
      </c>
      <c r="L835" t="n">
        <v>0</v>
      </c>
      <c r="M835" t="n">
        <v>0</v>
      </c>
      <c r="N835" t="n">
        <v>0</v>
      </c>
      <c r="O835" t="n">
        <v>0</v>
      </c>
      <c r="P835" t="n">
        <v>0</v>
      </c>
      <c r="Q835" t="n">
        <v>0</v>
      </c>
      <c r="R835" t="n">
        <v>0</v>
      </c>
      <c r="S835" t="n">
        <v>0</v>
      </c>
      <c r="T835" t="n">
        <v>0</v>
      </c>
      <c r="U835" s="2" t="inlineStr"/>
    </row>
    <row r="836" ht="15" customHeight="1">
      <c r="A836" t="inlineStr">
        <is>
          <t>A 1463-2026</t>
        </is>
      </c>
      <c r="B836" t="inlineStr">
        <is>
          <t>avverkningsanmälan</t>
        </is>
      </c>
      <c r="C836" t="inlineStr">
        <is>
          <t>Föryngringsavverkning</t>
        </is>
      </c>
      <c r="D836" s="1" t="n">
        <v>46033</v>
      </c>
      <c r="E836" s="1" t="n">
        <v>46218</v>
      </c>
      <c r="F836" t="inlineStr">
        <is>
          <t>DALARNAS LÄN</t>
        </is>
      </c>
      <c r="G836" t="inlineStr">
        <is>
          <t>RÄTTVIK</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53471-2023</t>
        </is>
      </c>
      <c r="B837" t="inlineStr">
        <is>
          <t>avverkningsanmälan</t>
        </is>
      </c>
      <c r="C837" t="inlineStr">
        <is>
          <t>Föryngringsavverkning</t>
        </is>
      </c>
      <c r="D837" s="1" t="n">
        <v>45230</v>
      </c>
      <c r="E837" s="1" t="n">
        <v>46218</v>
      </c>
      <c r="F837" t="inlineStr">
        <is>
          <t>DALARNAS LÄN</t>
        </is>
      </c>
      <c r="G837" t="inlineStr">
        <is>
          <t>RÄTTVIK</t>
        </is>
      </c>
      <c r="I837" t="n">
        <v>1.1</v>
      </c>
      <c r="J837" t="n">
        <v>0</v>
      </c>
      <c r="K837" t="n">
        <v>0</v>
      </c>
      <c r="L837" t="n">
        <v>0</v>
      </c>
      <c r="M837" t="n">
        <v>0</v>
      </c>
      <c r="N837" t="n">
        <v>0</v>
      </c>
      <c r="O837" t="n">
        <v>0</v>
      </c>
      <c r="P837" t="n">
        <v>0</v>
      </c>
      <c r="Q837" t="n">
        <v>0</v>
      </c>
      <c r="R837" t="n">
        <v>0</v>
      </c>
      <c r="S837" t="n">
        <v>0</v>
      </c>
      <c r="T837" t="n">
        <v>0</v>
      </c>
      <c r="U837" s="2" t="inlineStr"/>
    </row>
    <row r="838" ht="15" customHeight="1">
      <c r="A838" t="inlineStr">
        <is>
          <t>A 270-2026</t>
        </is>
      </c>
      <c r="B838" t="inlineStr">
        <is>
          <t>avverkningsanmälan</t>
        </is>
      </c>
      <c r="C838" t="inlineStr">
        <is>
          <t>Föryngringsavverkning</t>
        </is>
      </c>
      <c r="D838" s="1" t="n">
        <v>46027</v>
      </c>
      <c r="E838" s="1" t="n">
        <v>46218</v>
      </c>
      <c r="F838" t="inlineStr">
        <is>
          <t>DALARNAS LÄN</t>
        </is>
      </c>
      <c r="G838" t="inlineStr">
        <is>
          <t>RÄTTVIK</t>
        </is>
      </c>
      <c r="I838" t="n">
        <v>18.7</v>
      </c>
      <c r="J838" t="n">
        <v>0</v>
      </c>
      <c r="K838" t="n">
        <v>0</v>
      </c>
      <c r="L838" t="n">
        <v>0</v>
      </c>
      <c r="M838" t="n">
        <v>0</v>
      </c>
      <c r="N838" t="n">
        <v>0</v>
      </c>
      <c r="O838" t="n">
        <v>0</v>
      </c>
      <c r="P838" t="n">
        <v>0</v>
      </c>
      <c r="Q838" t="n">
        <v>0</v>
      </c>
      <c r="R838" t="n">
        <v>0</v>
      </c>
      <c r="S838" t="n">
        <v>0</v>
      </c>
      <c r="T838" t="n">
        <v>0</v>
      </c>
      <c r="U838" s="2" t="inlineStr"/>
    </row>
    <row r="839" ht="15" customHeight="1">
      <c r="A839" t="inlineStr">
        <is>
          <t>A 62505-2023</t>
        </is>
      </c>
      <c r="B839" t="inlineStr">
        <is>
          <t>avverkningsanmälan</t>
        </is>
      </c>
      <c r="C839" t="inlineStr">
        <is>
          <t>Föryngringsavverkning</t>
        </is>
      </c>
      <c r="D839" s="1" t="n">
        <v>45267</v>
      </c>
      <c r="E839" s="1" t="n">
        <v>46218</v>
      </c>
      <c r="F839" t="inlineStr">
        <is>
          <t>DALARNAS LÄN</t>
        </is>
      </c>
      <c r="G839" t="inlineStr">
        <is>
          <t>RÄTTVIK</t>
        </is>
      </c>
      <c r="I839" t="n">
        <v>3</v>
      </c>
      <c r="J839" t="n">
        <v>0</v>
      </c>
      <c r="K839" t="n">
        <v>0</v>
      </c>
      <c r="L839" t="n">
        <v>0</v>
      </c>
      <c r="M839" t="n">
        <v>0</v>
      </c>
      <c r="N839" t="n">
        <v>0</v>
      </c>
      <c r="O839" t="n">
        <v>0</v>
      </c>
      <c r="P839" t="n">
        <v>0</v>
      </c>
      <c r="Q839" t="n">
        <v>0</v>
      </c>
      <c r="R839" t="n">
        <v>0</v>
      </c>
      <c r="S839" t="n">
        <v>0</v>
      </c>
      <c r="T839" t="n">
        <v>0</v>
      </c>
      <c r="U839" s="2" t="inlineStr"/>
    </row>
    <row r="840" ht="15" customHeight="1">
      <c r="A840" t="inlineStr">
        <is>
          <t>A 1460-2026</t>
        </is>
      </c>
      <c r="B840" t="inlineStr">
        <is>
          <t>avverkningsanmälan</t>
        </is>
      </c>
      <c r="C840" t="inlineStr">
        <is>
          <t>Föryngringsavverkning</t>
        </is>
      </c>
      <c r="D840" s="1" t="n">
        <v>46033</v>
      </c>
      <c r="E840" s="1" t="n">
        <v>46218</v>
      </c>
      <c r="F840" t="inlineStr">
        <is>
          <t>DALARNAS LÄN</t>
        </is>
      </c>
      <c r="G840" t="inlineStr">
        <is>
          <t>RÄTTVIK</t>
        </is>
      </c>
      <c r="H840" t="inlineStr">
        <is>
          <t>Bergvik skog väst AB</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28397-2026</t>
        </is>
      </c>
      <c r="B841" t="inlineStr">
        <is>
          <t>avverkningsanmälan</t>
        </is>
      </c>
      <c r="C841" t="inlineStr">
        <is>
          <t>Föryngringsavverkning</t>
        </is>
      </c>
      <c r="D841" s="1" t="n">
        <v>46197</v>
      </c>
      <c r="E841" s="1" t="n">
        <v>46218</v>
      </c>
      <c r="F841" t="inlineStr">
        <is>
          <t>DALARNAS LÄN</t>
        </is>
      </c>
      <c r="G841" t="inlineStr">
        <is>
          <t>RÄTTVIK</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56544-2023</t>
        </is>
      </c>
      <c r="B842" t="inlineStr">
        <is>
          <t>avverkningsanmälan</t>
        </is>
      </c>
      <c r="C842" t="inlineStr">
        <is>
          <t>Föryngringsavverkning</t>
        </is>
      </c>
      <c r="D842" s="1" t="n">
        <v>45243</v>
      </c>
      <c r="E842" s="1" t="n">
        <v>46218</v>
      </c>
      <c r="F842" t="inlineStr">
        <is>
          <t>DALARNAS LÄN</t>
        </is>
      </c>
      <c r="G842" t="inlineStr">
        <is>
          <t>RÄTTVIK</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2118-2026</t>
        </is>
      </c>
      <c r="B843" t="inlineStr">
        <is>
          <t>avverkningsanmälan</t>
        </is>
      </c>
      <c r="C843" t="inlineStr">
        <is>
          <t>Föryngringsavverkning</t>
        </is>
      </c>
      <c r="D843" s="1" t="n">
        <v>46036</v>
      </c>
      <c r="E843" s="1" t="n">
        <v>46218</v>
      </c>
      <c r="F843" t="inlineStr">
        <is>
          <t>DALARNAS LÄN</t>
        </is>
      </c>
      <c r="G843" t="inlineStr">
        <is>
          <t>RÄTTVIK</t>
        </is>
      </c>
      <c r="I843" t="n">
        <v>2.5</v>
      </c>
      <c r="J843" t="n">
        <v>0</v>
      </c>
      <c r="K843" t="n">
        <v>0</v>
      </c>
      <c r="L843" t="n">
        <v>0</v>
      </c>
      <c r="M843" t="n">
        <v>0</v>
      </c>
      <c r="N843" t="n">
        <v>0</v>
      </c>
      <c r="O843" t="n">
        <v>0</v>
      </c>
      <c r="P843" t="n">
        <v>0</v>
      </c>
      <c r="Q843" t="n">
        <v>0</v>
      </c>
      <c r="R843" t="n">
        <v>0</v>
      </c>
      <c r="S843" t="n">
        <v>0</v>
      </c>
      <c r="T843" t="n">
        <v>0</v>
      </c>
      <c r="U843" s="2" t="inlineStr"/>
    </row>
    <row r="844" ht="15" customHeight="1">
      <c r="A844" t="inlineStr">
        <is>
          <t>A 36458-2024</t>
        </is>
      </c>
      <c r="B844" t="inlineStr">
        <is>
          <t>avverkningsanmälan</t>
        </is>
      </c>
      <c r="C844" t="inlineStr">
        <is>
          <t>Föryngringsavverkning</t>
        </is>
      </c>
      <c r="D844" s="1" t="n">
        <v>45537</v>
      </c>
      <c r="E844" s="1" t="n">
        <v>46218</v>
      </c>
      <c r="F844" t="inlineStr">
        <is>
          <t>DALARNAS LÄN</t>
        </is>
      </c>
      <c r="G844" t="inlineStr">
        <is>
          <t>RÄTTVIK</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2121-2026</t>
        </is>
      </c>
      <c r="B845" t="inlineStr">
        <is>
          <t>avverkningsanmälan</t>
        </is>
      </c>
      <c r="C845" t="inlineStr">
        <is>
          <t>Föryngringsavverkning</t>
        </is>
      </c>
      <c r="D845" s="1" t="n">
        <v>46036</v>
      </c>
      <c r="E845" s="1" t="n">
        <v>46218</v>
      </c>
      <c r="F845" t="inlineStr">
        <is>
          <t>DALARNAS LÄN</t>
        </is>
      </c>
      <c r="G845" t="inlineStr">
        <is>
          <t>RÄTTVIK</t>
        </is>
      </c>
      <c r="I845" t="n">
        <v>1.4</v>
      </c>
      <c r="J845" t="n">
        <v>0</v>
      </c>
      <c r="K845" t="n">
        <v>0</v>
      </c>
      <c r="L845" t="n">
        <v>0</v>
      </c>
      <c r="M845" t="n">
        <v>0</v>
      </c>
      <c r="N845" t="n">
        <v>0</v>
      </c>
      <c r="O845" t="n">
        <v>0</v>
      </c>
      <c r="P845" t="n">
        <v>0</v>
      </c>
      <c r="Q845" t="n">
        <v>0</v>
      </c>
      <c r="R845" t="n">
        <v>0</v>
      </c>
      <c r="S845" t="n">
        <v>0</v>
      </c>
      <c r="T845" t="n">
        <v>0</v>
      </c>
      <c r="U845" s="2" t="inlineStr"/>
    </row>
    <row r="846" ht="15" customHeight="1">
      <c r="A846" t="inlineStr">
        <is>
          <t>A 2163-2026</t>
        </is>
      </c>
      <c r="B846" t="inlineStr">
        <is>
          <t>avverkningsanmälan</t>
        </is>
      </c>
      <c r="C846" t="inlineStr">
        <is>
          <t>Föryngringsavverkning</t>
        </is>
      </c>
      <c r="D846" s="1" t="n">
        <v>46036</v>
      </c>
      <c r="E846" s="1" t="n">
        <v>46218</v>
      </c>
      <c r="F846" t="inlineStr">
        <is>
          <t>DALARNAS LÄN</t>
        </is>
      </c>
      <c r="G846" t="inlineStr">
        <is>
          <t>RÄTTVIK</t>
        </is>
      </c>
      <c r="I846" t="n">
        <v>1.5</v>
      </c>
      <c r="J846" t="n">
        <v>0</v>
      </c>
      <c r="K846" t="n">
        <v>0</v>
      </c>
      <c r="L846" t="n">
        <v>0</v>
      </c>
      <c r="M846" t="n">
        <v>0</v>
      </c>
      <c r="N846" t="n">
        <v>0</v>
      </c>
      <c r="O846" t="n">
        <v>0</v>
      </c>
      <c r="P846" t="n">
        <v>0</v>
      </c>
      <c r="Q846" t="n">
        <v>0</v>
      </c>
      <c r="R846" t="n">
        <v>0</v>
      </c>
      <c r="S846" t="n">
        <v>0</v>
      </c>
      <c r="T846" t="n">
        <v>0</v>
      </c>
      <c r="U846" s="2" t="inlineStr"/>
    </row>
    <row r="847" ht="15" customHeight="1">
      <c r="A847" t="inlineStr">
        <is>
          <t>A 2128-2026</t>
        </is>
      </c>
      <c r="B847" t="inlineStr">
        <is>
          <t>avverkningsanmälan</t>
        </is>
      </c>
      <c r="C847" t="inlineStr">
        <is>
          <t>Föryngringsavverkning</t>
        </is>
      </c>
      <c r="D847" s="1" t="n">
        <v>46036</v>
      </c>
      <c r="E847" s="1" t="n">
        <v>46218</v>
      </c>
      <c r="F847" t="inlineStr">
        <is>
          <t>DALARNAS LÄN</t>
        </is>
      </c>
      <c r="G847" t="inlineStr">
        <is>
          <t>RÄTTVIK</t>
        </is>
      </c>
      <c r="I847" t="n">
        <v>10.1</v>
      </c>
      <c r="J847" t="n">
        <v>0</v>
      </c>
      <c r="K847" t="n">
        <v>0</v>
      </c>
      <c r="L847" t="n">
        <v>0</v>
      </c>
      <c r="M847" t="n">
        <v>0</v>
      </c>
      <c r="N847" t="n">
        <v>0</v>
      </c>
      <c r="O847" t="n">
        <v>0</v>
      </c>
      <c r="P847" t="n">
        <v>0</v>
      </c>
      <c r="Q847" t="n">
        <v>0</v>
      </c>
      <c r="R847" t="n">
        <v>0</v>
      </c>
      <c r="S847" t="n">
        <v>0</v>
      </c>
      <c r="T847" t="n">
        <v>0</v>
      </c>
      <c r="U847" s="2" t="inlineStr"/>
    </row>
    <row r="848" ht="15" customHeight="1">
      <c r="A848" t="inlineStr">
        <is>
          <t>A 4707-2026</t>
        </is>
      </c>
      <c r="B848" t="inlineStr">
        <is>
          <t>avverkningsanmälan</t>
        </is>
      </c>
      <c r="C848" t="inlineStr">
        <is>
          <t>Föryngringsavverkning</t>
        </is>
      </c>
      <c r="D848" s="1" t="n">
        <v>46048</v>
      </c>
      <c r="E848" s="1" t="n">
        <v>46218</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28576-2026</t>
        </is>
      </c>
      <c r="B849" t="inlineStr">
        <is>
          <t>avverkningsanmälan</t>
        </is>
      </c>
      <c r="C849" t="inlineStr">
        <is>
          <t>Föryngringsavverkning</t>
        </is>
      </c>
      <c r="D849" s="1" t="n">
        <v>46197</v>
      </c>
      <c r="E849" s="1" t="n">
        <v>46218</v>
      </c>
      <c r="F849" t="inlineStr">
        <is>
          <t>DALARNAS LÄN</t>
        </is>
      </c>
      <c r="G849" t="inlineStr">
        <is>
          <t>RÄTTVIK</t>
        </is>
      </c>
      <c r="I849" t="n">
        <v>9.4</v>
      </c>
      <c r="J849" t="n">
        <v>0</v>
      </c>
      <c r="K849" t="n">
        <v>0</v>
      </c>
      <c r="L849" t="n">
        <v>0</v>
      </c>
      <c r="M849" t="n">
        <v>0</v>
      </c>
      <c r="N849" t="n">
        <v>0</v>
      </c>
      <c r="O849" t="n">
        <v>0</v>
      </c>
      <c r="P849" t="n">
        <v>0</v>
      </c>
      <c r="Q849" t="n">
        <v>0</v>
      </c>
      <c r="R849" t="n">
        <v>0</v>
      </c>
      <c r="S849" t="n">
        <v>0</v>
      </c>
      <c r="T849" t="n">
        <v>0</v>
      </c>
      <c r="U849" s="2" t="inlineStr"/>
    </row>
    <row r="850" ht="15" customHeight="1">
      <c r="A850" t="inlineStr">
        <is>
          <t>A 28321-2026</t>
        </is>
      </c>
      <c r="B850" t="inlineStr">
        <is>
          <t>avverkningsanmälan</t>
        </is>
      </c>
      <c r="C850" t="inlineStr">
        <is>
          <t>Föryngringsavverkning</t>
        </is>
      </c>
      <c r="D850" s="1" t="n">
        <v>46196</v>
      </c>
      <c r="E850" s="1" t="n">
        <v>46218</v>
      </c>
      <c r="F850" t="inlineStr">
        <is>
          <t>DALARNAS LÄN</t>
        </is>
      </c>
      <c r="G850" t="inlineStr">
        <is>
          <t>RÄTTVIK</t>
        </is>
      </c>
      <c r="I850" t="n">
        <v>3.1</v>
      </c>
      <c r="J850" t="n">
        <v>0</v>
      </c>
      <c r="K850" t="n">
        <v>0</v>
      </c>
      <c r="L850" t="n">
        <v>0</v>
      </c>
      <c r="M850" t="n">
        <v>0</v>
      </c>
      <c r="N850" t="n">
        <v>0</v>
      </c>
      <c r="O850" t="n">
        <v>0</v>
      </c>
      <c r="P850" t="n">
        <v>0</v>
      </c>
      <c r="Q850" t="n">
        <v>0</v>
      </c>
      <c r="R850" t="n">
        <v>0</v>
      </c>
      <c r="S850" t="n">
        <v>0</v>
      </c>
      <c r="T850" t="n">
        <v>0</v>
      </c>
      <c r="U850" s="2" t="inlineStr"/>
    </row>
    <row r="851" ht="15" customHeight="1">
      <c r="A851" t="inlineStr">
        <is>
          <t>A 6291-2026</t>
        </is>
      </c>
      <c r="B851" t="inlineStr">
        <is>
          <t>avverkningsanmälan</t>
        </is>
      </c>
      <c r="C851" t="inlineStr">
        <is>
          <t>Föryngringsavverkning</t>
        </is>
      </c>
      <c r="D851" s="1" t="n">
        <v>46055</v>
      </c>
      <c r="E851" s="1" t="n">
        <v>46218</v>
      </c>
      <c r="F851" t="inlineStr">
        <is>
          <t>DALARNAS LÄN</t>
        </is>
      </c>
      <c r="G851" t="inlineStr">
        <is>
          <t>RÄTTVIK</t>
        </is>
      </c>
      <c r="I851" t="n">
        <v>4.2</v>
      </c>
      <c r="J851" t="n">
        <v>0</v>
      </c>
      <c r="K851" t="n">
        <v>0</v>
      </c>
      <c r="L851" t="n">
        <v>0</v>
      </c>
      <c r="M851" t="n">
        <v>0</v>
      </c>
      <c r="N851" t="n">
        <v>0</v>
      </c>
      <c r="O851" t="n">
        <v>0</v>
      </c>
      <c r="P851" t="n">
        <v>0</v>
      </c>
      <c r="Q851" t="n">
        <v>0</v>
      </c>
      <c r="R851" t="n">
        <v>0</v>
      </c>
      <c r="S851" t="n">
        <v>0</v>
      </c>
      <c r="T851" t="n">
        <v>0</v>
      </c>
      <c r="U851" s="2" t="inlineStr"/>
    </row>
    <row r="852" ht="15" customHeight="1">
      <c r="A852" t="inlineStr">
        <is>
          <t>A 2068-2023</t>
        </is>
      </c>
      <c r="B852" t="inlineStr">
        <is>
          <t>avverkningsanmälan</t>
        </is>
      </c>
      <c r="C852" t="inlineStr">
        <is>
          <t>Föryngringsavverkning</t>
        </is>
      </c>
      <c r="D852" s="1" t="n">
        <v>44939</v>
      </c>
      <c r="E852" s="1" t="n">
        <v>46218</v>
      </c>
      <c r="F852" t="inlineStr">
        <is>
          <t>DALARNAS LÄN</t>
        </is>
      </c>
      <c r="G852" t="inlineStr">
        <is>
          <t>RÄTTVIK</t>
        </is>
      </c>
      <c r="I852" t="n">
        <v>1.3</v>
      </c>
      <c r="J852" t="n">
        <v>0</v>
      </c>
      <c r="K852" t="n">
        <v>0</v>
      </c>
      <c r="L852" t="n">
        <v>0</v>
      </c>
      <c r="M852" t="n">
        <v>0</v>
      </c>
      <c r="N852" t="n">
        <v>0</v>
      </c>
      <c r="O852" t="n">
        <v>0</v>
      </c>
      <c r="P852" t="n">
        <v>0</v>
      </c>
      <c r="Q852" t="n">
        <v>0</v>
      </c>
      <c r="R852" t="n">
        <v>0</v>
      </c>
      <c r="S852" t="n">
        <v>0</v>
      </c>
      <c r="T852" t="n">
        <v>0</v>
      </c>
      <c r="U852" s="2" t="inlineStr"/>
    </row>
    <row r="853" ht="15" customHeight="1">
      <c r="A853" t="inlineStr">
        <is>
          <t>A 24889-2022</t>
        </is>
      </c>
      <c r="B853" t="inlineStr">
        <is>
          <t>avverkningsanmälan</t>
        </is>
      </c>
      <c r="C853" t="inlineStr">
        <is>
          <t>Föryngringsavverkning</t>
        </is>
      </c>
      <c r="D853" s="1" t="n">
        <v>44728</v>
      </c>
      <c r="E853" s="1" t="n">
        <v>46218</v>
      </c>
      <c r="F853" t="inlineStr">
        <is>
          <t>DALARNAS LÄN</t>
        </is>
      </c>
      <c r="G853" t="inlineStr">
        <is>
          <t>RÄTTVIK</t>
        </is>
      </c>
      <c r="H853" t="inlineStr">
        <is>
          <t>Sveaskog</t>
        </is>
      </c>
      <c r="I853" t="n">
        <v>3.3</v>
      </c>
      <c r="J853" t="n">
        <v>0</v>
      </c>
      <c r="K853" t="n">
        <v>0</v>
      </c>
      <c r="L853" t="n">
        <v>0</v>
      </c>
      <c r="M853" t="n">
        <v>0</v>
      </c>
      <c r="N853" t="n">
        <v>0</v>
      </c>
      <c r="O853" t="n">
        <v>0</v>
      </c>
      <c r="P853" t="n">
        <v>0</v>
      </c>
      <c r="Q853" t="n">
        <v>0</v>
      </c>
      <c r="R853" t="n">
        <v>0</v>
      </c>
      <c r="S853" t="n">
        <v>0</v>
      </c>
      <c r="T853" t="n">
        <v>0</v>
      </c>
      <c r="U853" s="2" t="inlineStr"/>
    </row>
    <row r="854" ht="15" customHeight="1">
      <c r="A854" t="inlineStr">
        <is>
          <t>A 22636-2026</t>
        </is>
      </c>
      <c r="B854" t="inlineStr">
        <is>
          <t>avverkningsanmälan</t>
        </is>
      </c>
      <c r="C854" t="inlineStr">
        <is>
          <t>Föryngringsavverkning</t>
        </is>
      </c>
      <c r="D854" s="1" t="n">
        <v>46155</v>
      </c>
      <c r="E854" s="1" t="n">
        <v>46218</v>
      </c>
      <c r="F854" t="inlineStr">
        <is>
          <t>DALARNAS LÄN</t>
        </is>
      </c>
      <c r="G854" t="inlineStr">
        <is>
          <t>RÄTTVIK</t>
        </is>
      </c>
      <c r="H854" t="inlineStr">
        <is>
          <t>Bergvik skog väst AB</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45047-2024</t>
        </is>
      </c>
      <c r="B855" t="inlineStr">
        <is>
          <t>avverkningsanmälan</t>
        </is>
      </c>
      <c r="C855" t="inlineStr">
        <is>
          <t>Avverkning för annat ändamål</t>
        </is>
      </c>
      <c r="D855" s="1" t="n">
        <v>45575</v>
      </c>
      <c r="E855" s="1" t="n">
        <v>46218</v>
      </c>
      <c r="F855" t="inlineStr">
        <is>
          <t>DALARNAS LÄN</t>
        </is>
      </c>
      <c r="G855" t="inlineStr">
        <is>
          <t>RÄTTVIK</t>
        </is>
      </c>
      <c r="H855" t="inlineStr">
        <is>
          <t>Bergvik skog väst AB</t>
        </is>
      </c>
      <c r="I855" t="n">
        <v>1.5</v>
      </c>
      <c r="J855" t="n">
        <v>0</v>
      </c>
      <c r="K855" t="n">
        <v>0</v>
      </c>
      <c r="L855" t="n">
        <v>0</v>
      </c>
      <c r="M855" t="n">
        <v>0</v>
      </c>
      <c r="N855" t="n">
        <v>0</v>
      </c>
      <c r="O855" t="n">
        <v>0</v>
      </c>
      <c r="P855" t="n">
        <v>0</v>
      </c>
      <c r="Q855" t="n">
        <v>0</v>
      </c>
      <c r="R855" t="n">
        <v>0</v>
      </c>
      <c r="S855" t="n">
        <v>0</v>
      </c>
      <c r="T855" t="n">
        <v>0</v>
      </c>
      <c r="U855" s="2" t="inlineStr"/>
    </row>
    <row r="856" ht="15" customHeight="1">
      <c r="A856" t="inlineStr">
        <is>
          <t>A 39983-2022</t>
        </is>
      </c>
      <c r="B856" t="inlineStr">
        <is>
          <t>avverkningsanmälan</t>
        </is>
      </c>
      <c r="C856" t="inlineStr">
        <is>
          <t>Föryngringsavverkning</t>
        </is>
      </c>
      <c r="D856" s="1" t="n">
        <v>44818</v>
      </c>
      <c r="E856" s="1" t="n">
        <v>46218</v>
      </c>
      <c r="F856" t="inlineStr">
        <is>
          <t>DALARNAS LÄN</t>
        </is>
      </c>
      <c r="G856" t="inlineStr">
        <is>
          <t>RÄTTVIK</t>
        </is>
      </c>
      <c r="I856" t="n">
        <v>5.5</v>
      </c>
      <c r="J856" t="n">
        <v>0</v>
      </c>
      <c r="K856" t="n">
        <v>0</v>
      </c>
      <c r="L856" t="n">
        <v>0</v>
      </c>
      <c r="M856" t="n">
        <v>0</v>
      </c>
      <c r="N856" t="n">
        <v>0</v>
      </c>
      <c r="O856" t="n">
        <v>0</v>
      </c>
      <c r="P856" t="n">
        <v>0</v>
      </c>
      <c r="Q856" t="n">
        <v>0</v>
      </c>
      <c r="R856" t="n">
        <v>0</v>
      </c>
      <c r="S856" t="n">
        <v>0</v>
      </c>
      <c r="T856" t="n">
        <v>0</v>
      </c>
      <c r="U856" s="2" t="inlineStr"/>
    </row>
    <row r="857" ht="15" customHeight="1">
      <c r="A857" t="inlineStr">
        <is>
          <t>A 28313-2026</t>
        </is>
      </c>
      <c r="B857" t="inlineStr">
        <is>
          <t>avverkningsanmälan</t>
        </is>
      </c>
      <c r="C857" t="inlineStr">
        <is>
          <t>Föryngringsavverkning</t>
        </is>
      </c>
      <c r="D857" s="1" t="n">
        <v>46196</v>
      </c>
      <c r="E857" s="1" t="n">
        <v>46218</v>
      </c>
      <c r="F857" t="inlineStr">
        <is>
          <t>DALARNAS LÄN</t>
        </is>
      </c>
      <c r="G857" t="inlineStr">
        <is>
          <t>RÄTTVIK</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3342-2024</t>
        </is>
      </c>
      <c r="B858" t="inlineStr">
        <is>
          <t>avverkningsanmälan</t>
        </is>
      </c>
      <c r="C858" t="inlineStr">
        <is>
          <t>Föryngringsavverkning</t>
        </is>
      </c>
      <c r="D858" s="1" t="n">
        <v>45317</v>
      </c>
      <c r="E858" s="1" t="n">
        <v>46218</v>
      </c>
      <c r="F858" t="inlineStr">
        <is>
          <t>DALARNAS LÄN</t>
        </is>
      </c>
      <c r="G858" t="inlineStr">
        <is>
          <t>RÄTTVIK</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329-2023</t>
        </is>
      </c>
      <c r="B859" t="inlineStr">
        <is>
          <t>avverkningsanmälan</t>
        </is>
      </c>
      <c r="C859" t="inlineStr">
        <is>
          <t>Föryngringsavverkning</t>
        </is>
      </c>
      <c r="D859" s="1" t="n">
        <v>44929</v>
      </c>
      <c r="E859" s="1" t="n">
        <v>46218</v>
      </c>
      <c r="F859" t="inlineStr">
        <is>
          <t>DALARNAS LÄN</t>
        </is>
      </c>
      <c r="G859" t="inlineStr">
        <is>
          <t>RÄTTVIK</t>
        </is>
      </c>
      <c r="I859" t="n">
        <v>4.8</v>
      </c>
      <c r="J859" t="n">
        <v>0</v>
      </c>
      <c r="K859" t="n">
        <v>0</v>
      </c>
      <c r="L859" t="n">
        <v>0</v>
      </c>
      <c r="M859" t="n">
        <v>0</v>
      </c>
      <c r="N859" t="n">
        <v>0</v>
      </c>
      <c r="O859" t="n">
        <v>0</v>
      </c>
      <c r="P859" t="n">
        <v>0</v>
      </c>
      <c r="Q859" t="n">
        <v>0</v>
      </c>
      <c r="R859" t="n">
        <v>0</v>
      </c>
      <c r="S859" t="n">
        <v>0</v>
      </c>
      <c r="T859" t="n">
        <v>0</v>
      </c>
      <c r="U859" s="2" t="inlineStr"/>
    </row>
    <row r="860" ht="15" customHeight="1">
      <c r="A860" t="inlineStr">
        <is>
          <t>A 28705-2026</t>
        </is>
      </c>
      <c r="B860" t="inlineStr">
        <is>
          <t>avverkningsanmälan</t>
        </is>
      </c>
      <c r="C860" t="inlineStr">
        <is>
          <t>Föryngringsavverkning</t>
        </is>
      </c>
      <c r="D860" s="1" t="n">
        <v>46198</v>
      </c>
      <c r="E860" s="1" t="n">
        <v>46218</v>
      </c>
      <c r="F860" t="inlineStr">
        <is>
          <t>DALARNAS LÄN</t>
        </is>
      </c>
      <c r="G860" t="inlineStr">
        <is>
          <t>RÄTTVIK</t>
        </is>
      </c>
      <c r="H860" t="inlineStr">
        <is>
          <t>Bergvik skog väst AB</t>
        </is>
      </c>
      <c r="I860" t="n">
        <v>7.1</v>
      </c>
      <c r="J860" t="n">
        <v>0</v>
      </c>
      <c r="K860" t="n">
        <v>0</v>
      </c>
      <c r="L860" t="n">
        <v>0</v>
      </c>
      <c r="M860" t="n">
        <v>0</v>
      </c>
      <c r="N860" t="n">
        <v>0</v>
      </c>
      <c r="O860" t="n">
        <v>0</v>
      </c>
      <c r="P860" t="n">
        <v>0</v>
      </c>
      <c r="Q860" t="n">
        <v>0</v>
      </c>
      <c r="R860" t="n">
        <v>0</v>
      </c>
      <c r="S860" t="n">
        <v>0</v>
      </c>
      <c r="T860" t="n">
        <v>0</v>
      </c>
      <c r="U860" s="2" t="inlineStr"/>
    </row>
    <row r="861" ht="15" customHeight="1">
      <c r="A861" t="inlineStr">
        <is>
          <t>A 60588-2024</t>
        </is>
      </c>
      <c r="B861" t="inlineStr">
        <is>
          <t>avverkningsanmälan</t>
        </is>
      </c>
      <c r="C861" t="inlineStr">
        <is>
          <t>Föryngringsavverkning</t>
        </is>
      </c>
      <c r="D861" s="1" t="n">
        <v>45644</v>
      </c>
      <c r="E861" s="1" t="n">
        <v>46218</v>
      </c>
      <c r="F861" t="inlineStr">
        <is>
          <t>DALARNAS LÄN</t>
        </is>
      </c>
      <c r="G861" t="inlineStr">
        <is>
          <t>RÄTTVIK</t>
        </is>
      </c>
      <c r="I861" t="n">
        <v>1.8</v>
      </c>
      <c r="J861" t="n">
        <v>0</v>
      </c>
      <c r="K861" t="n">
        <v>0</v>
      </c>
      <c r="L861" t="n">
        <v>0</v>
      </c>
      <c r="M861" t="n">
        <v>0</v>
      </c>
      <c r="N861" t="n">
        <v>0</v>
      </c>
      <c r="O861" t="n">
        <v>0</v>
      </c>
      <c r="P861" t="n">
        <v>0</v>
      </c>
      <c r="Q861" t="n">
        <v>0</v>
      </c>
      <c r="R861" t="n">
        <v>0</v>
      </c>
      <c r="S861" t="n">
        <v>0</v>
      </c>
      <c r="T861" t="n">
        <v>0</v>
      </c>
      <c r="U861" s="2" t="inlineStr"/>
    </row>
    <row r="862" ht="15" customHeight="1">
      <c r="A862" t="inlineStr">
        <is>
          <t>A 28719-2026</t>
        </is>
      </c>
      <c r="B862" t="inlineStr">
        <is>
          <t>avverkningsanmälan</t>
        </is>
      </c>
      <c r="C862" t="inlineStr">
        <is>
          <t>Föryngringsavverkning</t>
        </is>
      </c>
      <c r="D862" s="1" t="n">
        <v>46198</v>
      </c>
      <c r="E862" s="1" t="n">
        <v>46218</v>
      </c>
      <c r="F862" t="inlineStr">
        <is>
          <t>DALARNAS LÄN</t>
        </is>
      </c>
      <c r="G862" t="inlineStr">
        <is>
          <t>RÄTTVIK</t>
        </is>
      </c>
      <c r="H862" t="inlineStr">
        <is>
          <t>Bergvik skog väst AB</t>
        </is>
      </c>
      <c r="I862" t="n">
        <v>5.4</v>
      </c>
      <c r="J862" t="n">
        <v>0</v>
      </c>
      <c r="K862" t="n">
        <v>0</v>
      </c>
      <c r="L862" t="n">
        <v>0</v>
      </c>
      <c r="M862" t="n">
        <v>0</v>
      </c>
      <c r="N862" t="n">
        <v>0</v>
      </c>
      <c r="O862" t="n">
        <v>0</v>
      </c>
      <c r="P862" t="n">
        <v>0</v>
      </c>
      <c r="Q862" t="n">
        <v>0</v>
      </c>
      <c r="R862" t="n">
        <v>0</v>
      </c>
      <c r="S862" t="n">
        <v>0</v>
      </c>
      <c r="T862" t="n">
        <v>0</v>
      </c>
      <c r="U862" s="2" t="inlineStr"/>
    </row>
    <row r="863" ht="15" customHeight="1">
      <c r="A863" t="inlineStr">
        <is>
          <t>A 3448-2026</t>
        </is>
      </c>
      <c r="B863" t="inlineStr">
        <is>
          <t>avverkningsanmälan</t>
        </is>
      </c>
      <c r="C863" t="inlineStr">
        <is>
          <t>Föryngringsavverkning</t>
        </is>
      </c>
      <c r="D863" s="1" t="n">
        <v>46042</v>
      </c>
      <c r="E863" s="1" t="n">
        <v>46218</v>
      </c>
      <c r="F863" t="inlineStr">
        <is>
          <t>DALARNAS LÄN</t>
        </is>
      </c>
      <c r="G863" t="inlineStr">
        <is>
          <t>RÄTTVIK</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2835-2026</t>
        </is>
      </c>
      <c r="B864" t="inlineStr">
        <is>
          <t>avverkningsanmälan</t>
        </is>
      </c>
      <c r="C864" t="inlineStr">
        <is>
          <t>Föryngringsavverkning</t>
        </is>
      </c>
      <c r="D864" s="1" t="n">
        <v>46038</v>
      </c>
      <c r="E864" s="1" t="n">
        <v>46218</v>
      </c>
      <c r="F864" t="inlineStr">
        <is>
          <t>DALARNAS LÄN</t>
        </is>
      </c>
      <c r="G864" t="inlineStr">
        <is>
          <t>RÄTTVIK</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28992-2026</t>
        </is>
      </c>
      <c r="B865" t="inlineStr">
        <is>
          <t>avverkningsanmälan</t>
        </is>
      </c>
      <c r="C865" t="inlineStr">
        <is>
          <t>Föryngringsavverkning</t>
        </is>
      </c>
      <c r="D865" s="1" t="n">
        <v>46199</v>
      </c>
      <c r="E865" s="1" t="n">
        <v>46218</v>
      </c>
      <c r="F865" t="inlineStr">
        <is>
          <t>DALARNAS LÄN</t>
        </is>
      </c>
      <c r="G865" t="inlineStr">
        <is>
          <t>RÄTTVIK</t>
        </is>
      </c>
      <c r="H865" t="inlineStr">
        <is>
          <t>Bergvik skog väst AB</t>
        </is>
      </c>
      <c r="I865" t="n">
        <v>4.2</v>
      </c>
      <c r="J865" t="n">
        <v>0</v>
      </c>
      <c r="K865" t="n">
        <v>0</v>
      </c>
      <c r="L865" t="n">
        <v>0</v>
      </c>
      <c r="M865" t="n">
        <v>0</v>
      </c>
      <c r="N865" t="n">
        <v>0</v>
      </c>
      <c r="O865" t="n">
        <v>0</v>
      </c>
      <c r="P865" t="n">
        <v>0</v>
      </c>
      <c r="Q865" t="n">
        <v>0</v>
      </c>
      <c r="R865" t="n">
        <v>0</v>
      </c>
      <c r="S865" t="n">
        <v>0</v>
      </c>
      <c r="T865" t="n">
        <v>0</v>
      </c>
      <c r="U865" s="2" t="inlineStr"/>
    </row>
    <row r="866" ht="15" customHeight="1">
      <c r="A866" t="inlineStr">
        <is>
          <t>A 3466-2026</t>
        </is>
      </c>
      <c r="B866" t="inlineStr">
        <is>
          <t>avverkningsanmälan</t>
        </is>
      </c>
      <c r="C866" t="inlineStr">
        <is>
          <t>Föryngringsavverkning</t>
        </is>
      </c>
      <c r="D866" s="1" t="n">
        <v>46042</v>
      </c>
      <c r="E866" s="1" t="n">
        <v>46218</v>
      </c>
      <c r="F866" t="inlineStr">
        <is>
          <t>DALARNAS LÄN</t>
        </is>
      </c>
      <c r="G866" t="inlineStr">
        <is>
          <t>RÄTTVIK</t>
        </is>
      </c>
      <c r="I866" t="n">
        <v>2.2</v>
      </c>
      <c r="J866" t="n">
        <v>0</v>
      </c>
      <c r="K866" t="n">
        <v>0</v>
      </c>
      <c r="L866" t="n">
        <v>0</v>
      </c>
      <c r="M866" t="n">
        <v>0</v>
      </c>
      <c r="N866" t="n">
        <v>0</v>
      </c>
      <c r="O866" t="n">
        <v>0</v>
      </c>
      <c r="P866" t="n">
        <v>0</v>
      </c>
      <c r="Q866" t="n">
        <v>0</v>
      </c>
      <c r="R866" t="n">
        <v>0</v>
      </c>
      <c r="S866" t="n">
        <v>0</v>
      </c>
      <c r="T866" t="n">
        <v>0</v>
      </c>
      <c r="U866" s="2" t="inlineStr"/>
    </row>
    <row r="867" ht="15" customHeight="1">
      <c r="A867" t="inlineStr">
        <is>
          <t>A 3449-2026</t>
        </is>
      </c>
      <c r="B867" t="inlineStr">
        <is>
          <t>avverkningsanmälan</t>
        </is>
      </c>
      <c r="C867" t="inlineStr">
        <is>
          <t>Föryngringsavverkning</t>
        </is>
      </c>
      <c r="D867" s="1" t="n">
        <v>46042</v>
      </c>
      <c r="E867" s="1" t="n">
        <v>46218</v>
      </c>
      <c r="F867" t="inlineStr">
        <is>
          <t>DALARNAS LÄN</t>
        </is>
      </c>
      <c r="G867" t="inlineStr">
        <is>
          <t>RÄTTVIK</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3476-2026</t>
        </is>
      </c>
      <c r="B868" t="inlineStr">
        <is>
          <t>avverkningsanmälan</t>
        </is>
      </c>
      <c r="C868" t="inlineStr">
        <is>
          <t>Föryngringsavverkning</t>
        </is>
      </c>
      <c r="D868" s="1" t="n">
        <v>46042</v>
      </c>
      <c r="E868" s="1" t="n">
        <v>46218</v>
      </c>
      <c r="F868" t="inlineStr">
        <is>
          <t>DALARNAS LÄN</t>
        </is>
      </c>
      <c r="G868" t="inlineStr">
        <is>
          <t>RÄTTVIK</t>
        </is>
      </c>
      <c r="I868" t="n">
        <v>2.6</v>
      </c>
      <c r="J868" t="n">
        <v>0</v>
      </c>
      <c r="K868" t="n">
        <v>0</v>
      </c>
      <c r="L868" t="n">
        <v>0</v>
      </c>
      <c r="M868" t="n">
        <v>0</v>
      </c>
      <c r="N868" t="n">
        <v>0</v>
      </c>
      <c r="O868" t="n">
        <v>0</v>
      </c>
      <c r="P868" t="n">
        <v>0</v>
      </c>
      <c r="Q868" t="n">
        <v>0</v>
      </c>
      <c r="R868" t="n">
        <v>0</v>
      </c>
      <c r="S868" t="n">
        <v>0</v>
      </c>
      <c r="T868" t="n">
        <v>0</v>
      </c>
      <c r="U868" s="2" t="inlineStr"/>
    </row>
    <row r="869" ht="15" customHeight="1">
      <c r="A869" t="inlineStr">
        <is>
          <t>A 3797-2026</t>
        </is>
      </c>
      <c r="B869" t="inlineStr">
        <is>
          <t>avverkningsanmälan</t>
        </is>
      </c>
      <c r="C869" t="inlineStr">
        <is>
          <t>Föryngringsavverkning</t>
        </is>
      </c>
      <c r="D869" s="1" t="n">
        <v>46043</v>
      </c>
      <c r="E869" s="1" t="n">
        <v>46218</v>
      </c>
      <c r="F869" t="inlineStr">
        <is>
          <t>DALARNAS LÄN</t>
        </is>
      </c>
      <c r="G869" t="inlineStr">
        <is>
          <t>RÄTTVIK</t>
        </is>
      </c>
      <c r="I869" t="n">
        <v>4.7</v>
      </c>
      <c r="J869" t="n">
        <v>0</v>
      </c>
      <c r="K869" t="n">
        <v>0</v>
      </c>
      <c r="L869" t="n">
        <v>0</v>
      </c>
      <c r="M869" t="n">
        <v>0</v>
      </c>
      <c r="N869" t="n">
        <v>0</v>
      </c>
      <c r="O869" t="n">
        <v>0</v>
      </c>
      <c r="P869" t="n">
        <v>0</v>
      </c>
      <c r="Q869" t="n">
        <v>0</v>
      </c>
      <c r="R869" t="n">
        <v>0</v>
      </c>
      <c r="S869" t="n">
        <v>0</v>
      </c>
      <c r="T869" t="n">
        <v>0</v>
      </c>
      <c r="U869" s="2" t="inlineStr"/>
    </row>
    <row r="870" ht="15" customHeight="1">
      <c r="A870" t="inlineStr">
        <is>
          <t>A 28122-2026</t>
        </is>
      </c>
      <c r="B870" t="inlineStr">
        <is>
          <t>avverkningsanmälan</t>
        </is>
      </c>
      <c r="C870" t="inlineStr">
        <is>
          <t>Föryngringsavverkning</t>
        </is>
      </c>
      <c r="D870" s="1" t="n">
        <v>46195</v>
      </c>
      <c r="E870" s="1" t="n">
        <v>46218</v>
      </c>
      <c r="F870" t="inlineStr">
        <is>
          <t>DALARNAS LÄN</t>
        </is>
      </c>
      <c r="G870" t="inlineStr">
        <is>
          <t>RÄTTVIK</t>
        </is>
      </c>
      <c r="H870" t="inlineStr">
        <is>
          <t>Sveaskog</t>
        </is>
      </c>
      <c r="I870" t="n">
        <v>3.1</v>
      </c>
      <c r="J870" t="n">
        <v>0</v>
      </c>
      <c r="K870" t="n">
        <v>0</v>
      </c>
      <c r="L870" t="n">
        <v>0</v>
      </c>
      <c r="M870" t="n">
        <v>0</v>
      </c>
      <c r="N870" t="n">
        <v>0</v>
      </c>
      <c r="O870" t="n">
        <v>0</v>
      </c>
      <c r="P870" t="n">
        <v>0</v>
      </c>
      <c r="Q870" t="n">
        <v>0</v>
      </c>
      <c r="R870" t="n">
        <v>0</v>
      </c>
      <c r="S870" t="n">
        <v>0</v>
      </c>
      <c r="T870" t="n">
        <v>0</v>
      </c>
      <c r="U870" s="2" t="inlineStr"/>
    </row>
    <row r="871" ht="15" customHeight="1">
      <c r="A871" t="inlineStr">
        <is>
          <t>A 28712-2026</t>
        </is>
      </c>
      <c r="B871" t="inlineStr">
        <is>
          <t>avverkningsanmälan</t>
        </is>
      </c>
      <c r="C871" t="inlineStr">
        <is>
          <t>Föryngringsavverkning</t>
        </is>
      </c>
      <c r="D871" s="1" t="n">
        <v>46198</v>
      </c>
      <c r="E871" s="1" t="n">
        <v>46218</v>
      </c>
      <c r="F871" t="inlineStr">
        <is>
          <t>DALARNAS LÄN</t>
        </is>
      </c>
      <c r="G871" t="inlineStr">
        <is>
          <t>RÄTTVIK</t>
        </is>
      </c>
      <c r="H871" t="inlineStr">
        <is>
          <t>Bergvik skog väst AB</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7063-2026</t>
        </is>
      </c>
      <c r="B872" t="inlineStr">
        <is>
          <t>avverkningsanmälan</t>
        </is>
      </c>
      <c r="C872" t="inlineStr">
        <is>
          <t>Föryngringsavverkning</t>
        </is>
      </c>
      <c r="D872" s="1" t="n">
        <v>46057</v>
      </c>
      <c r="E872" s="1" t="n">
        <v>46218</v>
      </c>
      <c r="F872" t="inlineStr">
        <is>
          <t>DALARNAS LÄN</t>
        </is>
      </c>
      <c r="G872" t="inlineStr">
        <is>
          <t>RÄTTVIK</t>
        </is>
      </c>
      <c r="I872" t="n">
        <v>1</v>
      </c>
      <c r="J872" t="n">
        <v>0</v>
      </c>
      <c r="K872" t="n">
        <v>0</v>
      </c>
      <c r="L872" t="n">
        <v>0</v>
      </c>
      <c r="M872" t="n">
        <v>0</v>
      </c>
      <c r="N872" t="n">
        <v>0</v>
      </c>
      <c r="O872" t="n">
        <v>0</v>
      </c>
      <c r="P872" t="n">
        <v>0</v>
      </c>
      <c r="Q872" t="n">
        <v>0</v>
      </c>
      <c r="R872" t="n">
        <v>0</v>
      </c>
      <c r="S872" t="n">
        <v>0</v>
      </c>
      <c r="T872" t="n">
        <v>0</v>
      </c>
      <c r="U872" s="2" t="inlineStr"/>
    </row>
    <row r="873" ht="15" customHeight="1">
      <c r="A873" t="inlineStr">
        <is>
          <t>A 4061-2026</t>
        </is>
      </c>
      <c r="B873" t="inlineStr">
        <is>
          <t>avverkningsanmälan</t>
        </is>
      </c>
      <c r="C873" t="inlineStr">
        <is>
          <t>Föryngringsavverkning</t>
        </is>
      </c>
      <c r="D873" s="1" t="n">
        <v>46044</v>
      </c>
      <c r="E873" s="1" t="n">
        <v>46218</v>
      </c>
      <c r="F873" t="inlineStr">
        <is>
          <t>DALARNAS LÄN</t>
        </is>
      </c>
      <c r="G873" t="inlineStr">
        <is>
          <t>RÄTTVIK</t>
        </is>
      </c>
      <c r="I873" t="n">
        <v>7.2</v>
      </c>
      <c r="J873" t="n">
        <v>0</v>
      </c>
      <c r="K873" t="n">
        <v>0</v>
      </c>
      <c r="L873" t="n">
        <v>0</v>
      </c>
      <c r="M873" t="n">
        <v>0</v>
      </c>
      <c r="N873" t="n">
        <v>0</v>
      </c>
      <c r="O873" t="n">
        <v>0</v>
      </c>
      <c r="P873" t="n">
        <v>0</v>
      </c>
      <c r="Q873" t="n">
        <v>0</v>
      </c>
      <c r="R873" t="n">
        <v>0</v>
      </c>
      <c r="S873" t="n">
        <v>0</v>
      </c>
      <c r="T873" t="n">
        <v>0</v>
      </c>
      <c r="U873" s="2" t="inlineStr"/>
    </row>
    <row r="874" ht="15" customHeight="1">
      <c r="A874" t="inlineStr">
        <is>
          <t>A 22741-2026</t>
        </is>
      </c>
      <c r="B874" t="inlineStr">
        <is>
          <t>avverkningsanmälan</t>
        </is>
      </c>
      <c r="C874" t="inlineStr">
        <is>
          <t>Föryngringsavverkning</t>
        </is>
      </c>
      <c r="D874" s="1" t="n">
        <v>46157</v>
      </c>
      <c r="E874" s="1" t="n">
        <v>46218</v>
      </c>
      <c r="F874" t="inlineStr">
        <is>
          <t>DALARNAS LÄN</t>
        </is>
      </c>
      <c r="G874" t="inlineStr">
        <is>
          <t>RÄTTVIK</t>
        </is>
      </c>
      <c r="I874" t="n">
        <v>0.4</v>
      </c>
      <c r="J874" t="n">
        <v>0</v>
      </c>
      <c r="K874" t="n">
        <v>0</v>
      </c>
      <c r="L874" t="n">
        <v>0</v>
      </c>
      <c r="M874" t="n">
        <v>0</v>
      </c>
      <c r="N874" t="n">
        <v>0</v>
      </c>
      <c r="O874" t="n">
        <v>0</v>
      </c>
      <c r="P874" t="n">
        <v>0</v>
      </c>
      <c r="Q874" t="n">
        <v>0</v>
      </c>
      <c r="R874" t="n">
        <v>0</v>
      </c>
      <c r="S874" t="n">
        <v>0</v>
      </c>
      <c r="T874" t="n">
        <v>0</v>
      </c>
      <c r="U874" s="2" t="inlineStr"/>
    </row>
    <row r="875" ht="15" customHeight="1">
      <c r="A875" t="inlineStr">
        <is>
          <t>A 4092-2026</t>
        </is>
      </c>
      <c r="B875" t="inlineStr">
        <is>
          <t>avverkningsanmälan</t>
        </is>
      </c>
      <c r="C875" t="inlineStr">
        <is>
          <t>Föryngringsavverkning</t>
        </is>
      </c>
      <c r="D875" s="1" t="n">
        <v>46044</v>
      </c>
      <c r="E875" s="1" t="n">
        <v>46218</v>
      </c>
      <c r="F875" t="inlineStr">
        <is>
          <t>DALARNAS LÄN</t>
        </is>
      </c>
      <c r="G875" t="inlineStr">
        <is>
          <t>RÄTTVIK</t>
        </is>
      </c>
      <c r="I875" t="n">
        <v>1.4</v>
      </c>
      <c r="J875" t="n">
        <v>0</v>
      </c>
      <c r="K875" t="n">
        <v>0</v>
      </c>
      <c r="L875" t="n">
        <v>0</v>
      </c>
      <c r="M875" t="n">
        <v>0</v>
      </c>
      <c r="N875" t="n">
        <v>0</v>
      </c>
      <c r="O875" t="n">
        <v>0</v>
      </c>
      <c r="P875" t="n">
        <v>0</v>
      </c>
      <c r="Q875" t="n">
        <v>0</v>
      </c>
      <c r="R875" t="n">
        <v>0</v>
      </c>
      <c r="S875" t="n">
        <v>0</v>
      </c>
      <c r="T875" t="n">
        <v>0</v>
      </c>
      <c r="U875" s="2" t="inlineStr"/>
    </row>
    <row r="876" ht="15" customHeight="1">
      <c r="A876" t="inlineStr">
        <is>
          <t>A 28637-2026</t>
        </is>
      </c>
      <c r="B876" t="inlineStr">
        <is>
          <t>avverkningsanmälan</t>
        </is>
      </c>
      <c r="C876" t="inlineStr">
        <is>
          <t>Avverkning för att bevara och utveckla /försöksver</t>
        </is>
      </c>
      <c r="D876" s="1" t="n">
        <v>46198</v>
      </c>
      <c r="E876" s="1" t="n">
        <v>46218</v>
      </c>
      <c r="F876" t="inlineStr">
        <is>
          <t>DALARNAS LÄN</t>
        </is>
      </c>
      <c r="G876" t="inlineStr">
        <is>
          <t>RÄTTVIK</t>
        </is>
      </c>
      <c r="H876" t="inlineStr">
        <is>
          <t>Sveaskog</t>
        </is>
      </c>
      <c r="I876" t="n">
        <v>7.5</v>
      </c>
      <c r="J876" t="n">
        <v>0</v>
      </c>
      <c r="K876" t="n">
        <v>0</v>
      </c>
      <c r="L876" t="n">
        <v>0</v>
      </c>
      <c r="M876" t="n">
        <v>0</v>
      </c>
      <c r="N876" t="n">
        <v>0</v>
      </c>
      <c r="O876" t="n">
        <v>0</v>
      </c>
      <c r="P876" t="n">
        <v>0</v>
      </c>
      <c r="Q876" t="n">
        <v>0</v>
      </c>
      <c r="R876" t="n">
        <v>0</v>
      </c>
      <c r="S876" t="n">
        <v>0</v>
      </c>
      <c r="T876" t="n">
        <v>0</v>
      </c>
      <c r="U876" s="2" t="inlineStr"/>
    </row>
    <row r="877" ht="15" customHeight="1">
      <c r="A877" t="inlineStr">
        <is>
          <t>A 29538-2026</t>
        </is>
      </c>
      <c r="B877" t="inlineStr">
        <is>
          <t>avverkningsanmälan</t>
        </is>
      </c>
      <c r="C877" t="inlineStr">
        <is>
          <t>Föryngringsavverkning</t>
        </is>
      </c>
      <c r="D877" s="1" t="n">
        <v>46203</v>
      </c>
      <c r="E877" s="1" t="n">
        <v>46218</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27962-2024</t>
        </is>
      </c>
      <c r="B878" t="inlineStr">
        <is>
          <t>avverkningsanmälan</t>
        </is>
      </c>
      <c r="C878" t="inlineStr">
        <is>
          <t>Föryngringsavverkning</t>
        </is>
      </c>
      <c r="D878" s="1" t="n">
        <v>45476</v>
      </c>
      <c r="E878" s="1" t="n">
        <v>46218</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29452-2026</t>
        </is>
      </c>
      <c r="B879" t="inlineStr">
        <is>
          <t>avverkningsanmälan</t>
        </is>
      </c>
      <c r="C879" t="inlineStr">
        <is>
          <t>Föryngringsavverkning</t>
        </is>
      </c>
      <c r="D879" s="1" t="n">
        <v>46203</v>
      </c>
      <c r="E879" s="1" t="n">
        <v>46218</v>
      </c>
      <c r="F879" t="inlineStr">
        <is>
          <t>DALARNAS LÄN</t>
        </is>
      </c>
      <c r="G879" t="inlineStr">
        <is>
          <t>RÄTTVIK</t>
        </is>
      </c>
      <c r="H879" t="inlineStr">
        <is>
          <t>Bergvik skog väst AB</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4648-2026</t>
        </is>
      </c>
      <c r="B880" t="inlineStr">
        <is>
          <t>avverkningsanmälan</t>
        </is>
      </c>
      <c r="C880" t="inlineStr">
        <is>
          <t>Föryngringsavverkning</t>
        </is>
      </c>
      <c r="D880" s="1" t="n">
        <v>46048</v>
      </c>
      <c r="E880" s="1" t="n">
        <v>46218</v>
      </c>
      <c r="F880" t="inlineStr">
        <is>
          <t>DALARNAS LÄN</t>
        </is>
      </c>
      <c r="G880" t="inlineStr">
        <is>
          <t>RÄTTVIK</t>
        </is>
      </c>
      <c r="I880" t="n">
        <v>5.4</v>
      </c>
      <c r="J880" t="n">
        <v>0</v>
      </c>
      <c r="K880" t="n">
        <v>0</v>
      </c>
      <c r="L880" t="n">
        <v>0</v>
      </c>
      <c r="M880" t="n">
        <v>0</v>
      </c>
      <c r="N880" t="n">
        <v>0</v>
      </c>
      <c r="O880" t="n">
        <v>0</v>
      </c>
      <c r="P880" t="n">
        <v>0</v>
      </c>
      <c r="Q880" t="n">
        <v>0</v>
      </c>
      <c r="R880" t="n">
        <v>0</v>
      </c>
      <c r="S880" t="n">
        <v>0</v>
      </c>
      <c r="T880" t="n">
        <v>0</v>
      </c>
      <c r="U880" s="2" t="inlineStr"/>
    </row>
    <row r="881" ht="15" customHeight="1">
      <c r="A881" t="inlineStr">
        <is>
          <t>A 5005-2026</t>
        </is>
      </c>
      <c r="B881" t="inlineStr">
        <is>
          <t>avverkningsanmälan</t>
        </is>
      </c>
      <c r="C881" t="inlineStr">
        <is>
          <t>Föryngringsavverkning</t>
        </is>
      </c>
      <c r="D881" s="1" t="n">
        <v>46049</v>
      </c>
      <c r="E881" s="1" t="n">
        <v>46218</v>
      </c>
      <c r="F881" t="inlineStr">
        <is>
          <t>DALARNAS LÄN</t>
        </is>
      </c>
      <c r="G881" t="inlineStr">
        <is>
          <t>RÄTTVIK</t>
        </is>
      </c>
      <c r="I881" t="n">
        <v>3.3</v>
      </c>
      <c r="J881" t="n">
        <v>0</v>
      </c>
      <c r="K881" t="n">
        <v>0</v>
      </c>
      <c r="L881" t="n">
        <v>0</v>
      </c>
      <c r="M881" t="n">
        <v>0</v>
      </c>
      <c r="N881" t="n">
        <v>0</v>
      </c>
      <c r="O881" t="n">
        <v>0</v>
      </c>
      <c r="P881" t="n">
        <v>0</v>
      </c>
      <c r="Q881" t="n">
        <v>0</v>
      </c>
      <c r="R881" t="n">
        <v>0</v>
      </c>
      <c r="S881" t="n">
        <v>0</v>
      </c>
      <c r="T881" t="n">
        <v>0</v>
      </c>
      <c r="U881" s="2" t="inlineStr"/>
    </row>
    <row r="882" ht="15" customHeight="1">
      <c r="A882" t="inlineStr">
        <is>
          <t>A 4824-2026</t>
        </is>
      </c>
      <c r="B882" t="inlineStr">
        <is>
          <t>avverkningsanmälan</t>
        </is>
      </c>
      <c r="C882" t="inlineStr">
        <is>
          <t>Föryngringsavverkning</t>
        </is>
      </c>
      <c r="D882" s="1" t="n">
        <v>46048</v>
      </c>
      <c r="E882" s="1" t="n">
        <v>46218</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59958-2024</t>
        </is>
      </c>
      <c r="B883" t="inlineStr">
        <is>
          <t>avverkningsanmälan</t>
        </is>
      </c>
      <c r="C883" t="inlineStr">
        <is>
          <t>Föryngringsavverkning</t>
        </is>
      </c>
      <c r="D883" s="1" t="n">
        <v>45642</v>
      </c>
      <c r="E883" s="1" t="n">
        <v>46218</v>
      </c>
      <c r="F883" t="inlineStr">
        <is>
          <t>DALARNAS LÄN</t>
        </is>
      </c>
      <c r="G883" t="inlineStr">
        <is>
          <t>RÄTTVIK</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12334-2022</t>
        </is>
      </c>
      <c r="B884" t="inlineStr">
        <is>
          <t>avverkningsanmälan</t>
        </is>
      </c>
      <c r="C884" t="inlineStr">
        <is>
          <t>Avverkning för annat ändamål</t>
        </is>
      </c>
      <c r="D884" s="1" t="n">
        <v>44637</v>
      </c>
      <c r="E884" s="1" t="n">
        <v>46218</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32012-2023</t>
        </is>
      </c>
      <c r="B885" t="inlineStr">
        <is>
          <t>avverkningsanmälan</t>
        </is>
      </c>
      <c r="C885" t="inlineStr">
        <is>
          <t>Föryngringsavverkning</t>
        </is>
      </c>
      <c r="D885" s="1" t="n">
        <v>45119</v>
      </c>
      <c r="E885" s="1" t="n">
        <v>46218</v>
      </c>
      <c r="F885" t="inlineStr">
        <is>
          <t>DALARNAS LÄN</t>
        </is>
      </c>
      <c r="G885" t="inlineStr">
        <is>
          <t>RÄTTVIK</t>
        </is>
      </c>
      <c r="I885" t="n">
        <v>3.5</v>
      </c>
      <c r="J885" t="n">
        <v>0</v>
      </c>
      <c r="K885" t="n">
        <v>0</v>
      </c>
      <c r="L885" t="n">
        <v>0</v>
      </c>
      <c r="M885" t="n">
        <v>0</v>
      </c>
      <c r="N885" t="n">
        <v>0</v>
      </c>
      <c r="O885" t="n">
        <v>0</v>
      </c>
      <c r="P885" t="n">
        <v>0</v>
      </c>
      <c r="Q885" t="n">
        <v>0</v>
      </c>
      <c r="R885" t="n">
        <v>0</v>
      </c>
      <c r="S885" t="n">
        <v>0</v>
      </c>
      <c r="T885" t="n">
        <v>0</v>
      </c>
      <c r="U885" s="2" t="inlineStr"/>
    </row>
    <row r="886" ht="15" customHeight="1">
      <c r="A886" t="inlineStr">
        <is>
          <t>A 51872-2023</t>
        </is>
      </c>
      <c r="B886" t="inlineStr">
        <is>
          <t>avverkningsanmälan</t>
        </is>
      </c>
      <c r="C886" t="inlineStr">
        <is>
          <t>Föryngringsavverkning</t>
        </is>
      </c>
      <c r="D886" s="1" t="n">
        <v>45223</v>
      </c>
      <c r="E886" s="1" t="n">
        <v>46218</v>
      </c>
      <c r="F886" t="inlineStr">
        <is>
          <t>DALARNAS LÄN</t>
        </is>
      </c>
      <c r="G886" t="inlineStr">
        <is>
          <t>RÄTTVIK</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29534-2026</t>
        </is>
      </c>
      <c r="B887" t="inlineStr">
        <is>
          <t>avverkningsanmälan</t>
        </is>
      </c>
      <c r="C887" t="inlineStr">
        <is>
          <t>Föryngringsavverkning</t>
        </is>
      </c>
      <c r="D887" s="1" t="n">
        <v>46203</v>
      </c>
      <c r="E887" s="1" t="n">
        <v>46218</v>
      </c>
      <c r="F887" t="inlineStr">
        <is>
          <t>DALARNAS LÄN</t>
        </is>
      </c>
      <c r="G887" t="inlineStr">
        <is>
          <t>RÄTTVIK</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29535-2026</t>
        </is>
      </c>
      <c r="B888" t="inlineStr">
        <is>
          <t>avverkningsanmälan</t>
        </is>
      </c>
      <c r="C888" t="inlineStr">
        <is>
          <t>Föryngringsavverkning</t>
        </is>
      </c>
      <c r="D888" s="1" t="n">
        <v>46203</v>
      </c>
      <c r="E888" s="1" t="n">
        <v>46218</v>
      </c>
      <c r="F888" t="inlineStr">
        <is>
          <t>DALARNAS LÄN</t>
        </is>
      </c>
      <c r="G888" t="inlineStr">
        <is>
          <t>RÄTTVIK</t>
        </is>
      </c>
      <c r="I888" t="n">
        <v>4.2</v>
      </c>
      <c r="J888" t="n">
        <v>0</v>
      </c>
      <c r="K888" t="n">
        <v>0</v>
      </c>
      <c r="L888" t="n">
        <v>0</v>
      </c>
      <c r="M888" t="n">
        <v>0</v>
      </c>
      <c r="N888" t="n">
        <v>0</v>
      </c>
      <c r="O888" t="n">
        <v>0</v>
      </c>
      <c r="P888" t="n">
        <v>0</v>
      </c>
      <c r="Q888" t="n">
        <v>0</v>
      </c>
      <c r="R888" t="n">
        <v>0</v>
      </c>
      <c r="S888" t="n">
        <v>0</v>
      </c>
      <c r="T888" t="n">
        <v>0</v>
      </c>
      <c r="U888" s="2" t="inlineStr"/>
    </row>
    <row r="889" ht="15" customHeight="1">
      <c r="A889" t="inlineStr">
        <is>
          <t>A 36952-2022</t>
        </is>
      </c>
      <c r="B889" t="inlineStr">
        <is>
          <t>avverkningsanmälan</t>
        </is>
      </c>
      <c r="C889" t="inlineStr">
        <is>
          <t>Föryngringsavverkning</t>
        </is>
      </c>
      <c r="D889" s="1" t="n">
        <v>44806</v>
      </c>
      <c r="E889" s="1" t="n">
        <v>46218</v>
      </c>
      <c r="F889" t="inlineStr">
        <is>
          <t>DALARNAS LÄN</t>
        </is>
      </c>
      <c r="G889" t="inlineStr">
        <is>
          <t>RÄTTVIK</t>
        </is>
      </c>
      <c r="I889" t="n">
        <v>4.2</v>
      </c>
      <c r="J889" t="n">
        <v>0</v>
      </c>
      <c r="K889" t="n">
        <v>0</v>
      </c>
      <c r="L889" t="n">
        <v>0</v>
      </c>
      <c r="M889" t="n">
        <v>0</v>
      </c>
      <c r="N889" t="n">
        <v>0</v>
      </c>
      <c r="O889" t="n">
        <v>0</v>
      </c>
      <c r="P889" t="n">
        <v>0</v>
      </c>
      <c r="Q889" t="n">
        <v>0</v>
      </c>
      <c r="R889" t="n">
        <v>0</v>
      </c>
      <c r="S889" t="n">
        <v>0</v>
      </c>
      <c r="T889" t="n">
        <v>0</v>
      </c>
      <c r="U889" s="2" t="inlineStr"/>
    </row>
    <row r="890" ht="15" customHeight="1">
      <c r="A890" t="inlineStr">
        <is>
          <t>A 20717-2026</t>
        </is>
      </c>
      <c r="B890" t="inlineStr">
        <is>
          <t>avverkningsanmälan</t>
        </is>
      </c>
      <c r="C890" t="inlineStr">
        <is>
          <t>Avverkning för att bevara och utveckla /försöksver</t>
        </is>
      </c>
      <c r="D890" s="1" t="n">
        <v>46141</v>
      </c>
      <c r="E890" s="1" t="n">
        <v>46218</v>
      </c>
      <c r="F890" t="inlineStr">
        <is>
          <t>DALARNAS LÄN</t>
        </is>
      </c>
      <c r="G890" t="inlineStr">
        <is>
          <t>RÄTTVIK</t>
        </is>
      </c>
      <c r="H890" t="inlineStr">
        <is>
          <t>Sveaskog</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22803-2026</t>
        </is>
      </c>
      <c r="B891" t="inlineStr">
        <is>
          <t>avverkningsanmälan</t>
        </is>
      </c>
      <c r="C891" t="inlineStr">
        <is>
          <t>Föryngringsavverkning</t>
        </is>
      </c>
      <c r="D891" s="1" t="n">
        <v>46159</v>
      </c>
      <c r="E891" s="1" t="n">
        <v>46218</v>
      </c>
      <c r="F891" t="inlineStr">
        <is>
          <t>DALARNAS LÄN</t>
        </is>
      </c>
      <c r="G891" t="inlineStr">
        <is>
          <t>RÄTTVIK</t>
        </is>
      </c>
      <c r="H891" t="inlineStr">
        <is>
          <t>Bergvik skog väst AB</t>
        </is>
      </c>
      <c r="I891" t="n">
        <v>4.6</v>
      </c>
      <c r="J891" t="n">
        <v>0</v>
      </c>
      <c r="K891" t="n">
        <v>0</v>
      </c>
      <c r="L891" t="n">
        <v>0</v>
      </c>
      <c r="M891" t="n">
        <v>0</v>
      </c>
      <c r="N891" t="n">
        <v>0</v>
      </c>
      <c r="O891" t="n">
        <v>0</v>
      </c>
      <c r="P891" t="n">
        <v>0</v>
      </c>
      <c r="Q891" t="n">
        <v>0</v>
      </c>
      <c r="R891" t="n">
        <v>0</v>
      </c>
      <c r="S891" t="n">
        <v>0</v>
      </c>
      <c r="T891" t="n">
        <v>0</v>
      </c>
      <c r="U891" s="2" t="inlineStr"/>
    </row>
    <row r="892" ht="15" customHeight="1">
      <c r="A892" t="inlineStr">
        <is>
          <t>A 5430-2026</t>
        </is>
      </c>
      <c r="B892" t="inlineStr">
        <is>
          <t>avverkningsanmälan</t>
        </is>
      </c>
      <c r="C892" t="inlineStr">
        <is>
          <t>Föryngringsavverkning</t>
        </is>
      </c>
      <c r="D892" s="1" t="n">
        <v>46050</v>
      </c>
      <c r="E892" s="1" t="n">
        <v>46218</v>
      </c>
      <c r="F892" t="inlineStr">
        <is>
          <t>DALARNAS LÄN</t>
        </is>
      </c>
      <c r="G892" t="inlineStr">
        <is>
          <t>RÄTTVIK</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66670-2021</t>
        </is>
      </c>
      <c r="B893" t="inlineStr">
        <is>
          <t>avverkningsanmälan</t>
        </is>
      </c>
      <c r="C893" t="inlineStr">
        <is>
          <t>Föryngringsavverkning</t>
        </is>
      </c>
      <c r="D893" s="1" t="n">
        <v>44519</v>
      </c>
      <c r="E893" s="1" t="n">
        <v>46218</v>
      </c>
      <c r="F893" t="inlineStr">
        <is>
          <t>DALARNAS LÄN</t>
        </is>
      </c>
      <c r="G893" t="inlineStr">
        <is>
          <t>RÄTTVIK</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52939-2022</t>
        </is>
      </c>
      <c r="B894" t="inlineStr">
        <is>
          <t>avverkningsanmälan</t>
        </is>
      </c>
      <c r="C894" t="inlineStr">
        <is>
          <t>Föryngringsavverkning</t>
        </is>
      </c>
      <c r="D894" s="1" t="n">
        <v>44875</v>
      </c>
      <c r="E894" s="1" t="n">
        <v>46218</v>
      </c>
      <c r="F894" t="inlineStr">
        <is>
          <t>DALARNAS LÄN</t>
        </is>
      </c>
      <c r="G894" t="inlineStr">
        <is>
          <t>RÄTTVIK</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61656-2024</t>
        </is>
      </c>
      <c r="B895" t="inlineStr">
        <is>
          <t>avverkningsanmälan</t>
        </is>
      </c>
      <c r="C895" t="inlineStr">
        <is>
          <t>Föryngringsavverkning</t>
        </is>
      </c>
      <c r="D895" s="1" t="n">
        <v>45646</v>
      </c>
      <c r="E895" s="1" t="n">
        <v>46218</v>
      </c>
      <c r="F895" t="inlineStr">
        <is>
          <t>DALARNAS LÄN</t>
        </is>
      </c>
      <c r="G895" t="inlineStr">
        <is>
          <t>RÄTTVIK</t>
        </is>
      </c>
      <c r="I895" t="n">
        <v>2.3</v>
      </c>
      <c r="J895" t="n">
        <v>0</v>
      </c>
      <c r="K895" t="n">
        <v>0</v>
      </c>
      <c r="L895" t="n">
        <v>0</v>
      </c>
      <c r="M895" t="n">
        <v>0</v>
      </c>
      <c r="N895" t="n">
        <v>0</v>
      </c>
      <c r="O895" t="n">
        <v>0</v>
      </c>
      <c r="P895" t="n">
        <v>0</v>
      </c>
      <c r="Q895" t="n">
        <v>0</v>
      </c>
      <c r="R895" t="n">
        <v>0</v>
      </c>
      <c r="S895" t="n">
        <v>0</v>
      </c>
      <c r="T895" t="n">
        <v>0</v>
      </c>
      <c r="U895" s="2" t="inlineStr"/>
    </row>
    <row r="896" ht="15" customHeight="1">
      <c r="A896" t="inlineStr">
        <is>
          <t>A 46384-2024</t>
        </is>
      </c>
      <c r="B896" t="inlineStr">
        <is>
          <t>avverkningsanmälan</t>
        </is>
      </c>
      <c r="C896" t="inlineStr">
        <is>
          <t>Föryngringsavverkning</t>
        </is>
      </c>
      <c r="D896" s="1" t="n">
        <v>45582</v>
      </c>
      <c r="E896" s="1" t="n">
        <v>46218</v>
      </c>
      <c r="F896" t="inlineStr">
        <is>
          <t>DALARNAS LÄN</t>
        </is>
      </c>
      <c r="G896" t="inlineStr">
        <is>
          <t>RÄTTVIK</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45472-2022</t>
        </is>
      </c>
      <c r="B897" t="inlineStr">
        <is>
          <t>avverkningsanmälan</t>
        </is>
      </c>
      <c r="C897" t="inlineStr">
        <is>
          <t>Föryngringsavverkning</t>
        </is>
      </c>
      <c r="D897" s="1" t="n">
        <v>44841</v>
      </c>
      <c r="E897" s="1" t="n">
        <v>46218</v>
      </c>
      <c r="F897" t="inlineStr">
        <is>
          <t>DALARNAS LÄN</t>
        </is>
      </c>
      <c r="G897" t="inlineStr">
        <is>
          <t>RÄTTVIK</t>
        </is>
      </c>
      <c r="I897" t="n">
        <v>1.9</v>
      </c>
      <c r="J897" t="n">
        <v>0</v>
      </c>
      <c r="K897" t="n">
        <v>0</v>
      </c>
      <c r="L897" t="n">
        <v>0</v>
      </c>
      <c r="M897" t="n">
        <v>0</v>
      </c>
      <c r="N897" t="n">
        <v>0</v>
      </c>
      <c r="O897" t="n">
        <v>0</v>
      </c>
      <c r="P897" t="n">
        <v>0</v>
      </c>
      <c r="Q897" t="n">
        <v>0</v>
      </c>
      <c r="R897" t="n">
        <v>0</v>
      </c>
      <c r="S897" t="n">
        <v>0</v>
      </c>
      <c r="T897" t="n">
        <v>0</v>
      </c>
      <c r="U897" s="2" t="inlineStr"/>
    </row>
    <row r="898" ht="15" customHeight="1">
      <c r="A898" t="inlineStr">
        <is>
          <t>A 6470-2026</t>
        </is>
      </c>
      <c r="B898" t="inlineStr">
        <is>
          <t>avverkningsanmälan</t>
        </is>
      </c>
      <c r="C898" t="inlineStr">
        <is>
          <t>Föryngringsavverkning</t>
        </is>
      </c>
      <c r="D898" s="1" t="n">
        <v>46056</v>
      </c>
      <c r="E898" s="1" t="n">
        <v>46218</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23275-2026</t>
        </is>
      </c>
      <c r="B899" t="inlineStr">
        <is>
          <t>avverkningsanmälan</t>
        </is>
      </c>
      <c r="C899" t="inlineStr">
        <is>
          <t>Föryngringsavverkning</t>
        </is>
      </c>
      <c r="D899" s="1" t="n">
        <v>46162</v>
      </c>
      <c r="E899" s="1" t="n">
        <v>46218</v>
      </c>
      <c r="F899" t="inlineStr">
        <is>
          <t>DALARNAS LÄN</t>
        </is>
      </c>
      <c r="G899" t="inlineStr">
        <is>
          <t>RÄTTVIK</t>
        </is>
      </c>
      <c r="I899" t="n">
        <v>6.3</v>
      </c>
      <c r="J899" t="n">
        <v>0</v>
      </c>
      <c r="K899" t="n">
        <v>0</v>
      </c>
      <c r="L899" t="n">
        <v>0</v>
      </c>
      <c r="M899" t="n">
        <v>0</v>
      </c>
      <c r="N899" t="n">
        <v>0</v>
      </c>
      <c r="O899" t="n">
        <v>0</v>
      </c>
      <c r="P899" t="n">
        <v>0</v>
      </c>
      <c r="Q899" t="n">
        <v>0</v>
      </c>
      <c r="R899" t="n">
        <v>0</v>
      </c>
      <c r="S899" t="n">
        <v>0</v>
      </c>
      <c r="T899" t="n">
        <v>0</v>
      </c>
      <c r="U899" s="2" t="inlineStr"/>
    </row>
    <row r="900" ht="15" customHeight="1">
      <c r="A900" t="inlineStr">
        <is>
          <t>A 6858-2026</t>
        </is>
      </c>
      <c r="B900" t="inlineStr">
        <is>
          <t>avverkningsanmälan</t>
        </is>
      </c>
      <c r="C900" t="inlineStr">
        <is>
          <t>Föryngringsavverkning</t>
        </is>
      </c>
      <c r="D900" s="1" t="n">
        <v>46057</v>
      </c>
      <c r="E900" s="1" t="n">
        <v>46218</v>
      </c>
      <c r="F900" t="inlineStr">
        <is>
          <t>DALARNAS LÄN</t>
        </is>
      </c>
      <c r="G900" t="inlineStr">
        <is>
          <t>RÄTTVIK</t>
        </is>
      </c>
      <c r="I900" t="n">
        <v>3.9</v>
      </c>
      <c r="J900" t="n">
        <v>0</v>
      </c>
      <c r="K900" t="n">
        <v>0</v>
      </c>
      <c r="L900" t="n">
        <v>0</v>
      </c>
      <c r="M900" t="n">
        <v>0</v>
      </c>
      <c r="N900" t="n">
        <v>0</v>
      </c>
      <c r="O900" t="n">
        <v>0</v>
      </c>
      <c r="P900" t="n">
        <v>0</v>
      </c>
      <c r="Q900" t="n">
        <v>0</v>
      </c>
      <c r="R900" t="n">
        <v>0</v>
      </c>
      <c r="S900" t="n">
        <v>0</v>
      </c>
      <c r="T900" t="n">
        <v>0</v>
      </c>
      <c r="U900" s="2" t="inlineStr"/>
    </row>
    <row r="901" ht="15" customHeight="1">
      <c r="A901" t="inlineStr">
        <is>
          <t>A 373-2026</t>
        </is>
      </c>
      <c r="B901" t="inlineStr">
        <is>
          <t>avverkningsanmälan</t>
        </is>
      </c>
      <c r="C901" t="inlineStr">
        <is>
          <t>Föryngringsavverkning</t>
        </is>
      </c>
      <c r="D901" s="1" t="n">
        <v>46027</v>
      </c>
      <c r="E901" s="1" t="n">
        <v>46218</v>
      </c>
      <c r="F901" t="inlineStr">
        <is>
          <t>DALARNAS LÄN</t>
        </is>
      </c>
      <c r="G901" t="inlineStr">
        <is>
          <t>RÄTTVIK</t>
        </is>
      </c>
      <c r="I901" t="n">
        <v>1</v>
      </c>
      <c r="J901" t="n">
        <v>0</v>
      </c>
      <c r="K901" t="n">
        <v>0</v>
      </c>
      <c r="L901" t="n">
        <v>0</v>
      </c>
      <c r="M901" t="n">
        <v>0</v>
      </c>
      <c r="N901" t="n">
        <v>0</v>
      </c>
      <c r="O901" t="n">
        <v>0</v>
      </c>
      <c r="P901" t="n">
        <v>0</v>
      </c>
      <c r="Q901" t="n">
        <v>0</v>
      </c>
      <c r="R901" t="n">
        <v>0</v>
      </c>
      <c r="S901" t="n">
        <v>0</v>
      </c>
      <c r="T901" t="n">
        <v>0</v>
      </c>
      <c r="U901" s="2" t="inlineStr"/>
    </row>
    <row r="902" ht="15" customHeight="1">
      <c r="A902" t="inlineStr">
        <is>
          <t>A 7915-2026</t>
        </is>
      </c>
      <c r="B902" t="inlineStr">
        <is>
          <t>avverkningsanmälan</t>
        </is>
      </c>
      <c r="C902" t="inlineStr">
        <is>
          <t>Föryngringsavverkning</t>
        </is>
      </c>
      <c r="D902" s="1" t="n">
        <v>46063</v>
      </c>
      <c r="E902" s="1" t="n">
        <v>46218</v>
      </c>
      <c r="F902" t="inlineStr">
        <is>
          <t>DALARNAS LÄN</t>
        </is>
      </c>
      <c r="G902" t="inlineStr">
        <is>
          <t>RÄTTVIK</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7790-2026</t>
        </is>
      </c>
      <c r="B903" t="inlineStr">
        <is>
          <t>avverkningsanmälan</t>
        </is>
      </c>
      <c r="C903" t="inlineStr">
        <is>
          <t>Föryngringsavverkning</t>
        </is>
      </c>
      <c r="D903" s="1" t="n">
        <v>46062</v>
      </c>
      <c r="E903" s="1" t="n">
        <v>46218</v>
      </c>
      <c r="F903" t="inlineStr">
        <is>
          <t>DALARNAS LÄN</t>
        </is>
      </c>
      <c r="G903" t="inlineStr">
        <is>
          <t>RÄTTVIK</t>
        </is>
      </c>
      <c r="I903" t="n">
        <v>2</v>
      </c>
      <c r="J903" t="n">
        <v>0</v>
      </c>
      <c r="K903" t="n">
        <v>0</v>
      </c>
      <c r="L903" t="n">
        <v>0</v>
      </c>
      <c r="M903" t="n">
        <v>0</v>
      </c>
      <c r="N903" t="n">
        <v>0</v>
      </c>
      <c r="O903" t="n">
        <v>0</v>
      </c>
      <c r="P903" t="n">
        <v>0</v>
      </c>
      <c r="Q903" t="n">
        <v>0</v>
      </c>
      <c r="R903" t="n">
        <v>0</v>
      </c>
      <c r="S903" t="n">
        <v>0</v>
      </c>
      <c r="T903" t="n">
        <v>0</v>
      </c>
      <c r="U903" s="2" t="inlineStr"/>
    </row>
    <row r="904" ht="15" customHeight="1">
      <c r="A904" t="inlineStr">
        <is>
          <t>A 7663-2026</t>
        </is>
      </c>
      <c r="B904" t="inlineStr">
        <is>
          <t>avverkningsanmälan</t>
        </is>
      </c>
      <c r="C904" t="inlineStr">
        <is>
          <t>Föryngringsavverkning</t>
        </is>
      </c>
      <c r="D904" s="1" t="n">
        <v>46062</v>
      </c>
      <c r="E904" s="1" t="n">
        <v>46218</v>
      </c>
      <c r="F904" t="inlineStr">
        <is>
          <t>DALARNAS LÄN</t>
        </is>
      </c>
      <c r="G904" t="inlineStr">
        <is>
          <t>RÄTTVIK</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7663-2026</t>
        </is>
      </c>
      <c r="B905" t="inlineStr">
        <is>
          <t>avverkningsanmälan</t>
        </is>
      </c>
      <c r="C905" t="inlineStr">
        <is>
          <t>Föryngringsavverkning</t>
        </is>
      </c>
      <c r="D905" s="1" t="n">
        <v>46062</v>
      </c>
      <c r="E905" s="1" t="n">
        <v>46218</v>
      </c>
      <c r="F905" t="inlineStr">
        <is>
          <t>DALARNAS LÄN</t>
        </is>
      </c>
      <c r="G905" t="inlineStr">
        <is>
          <t>RÄTTVIK</t>
        </is>
      </c>
      <c r="I905" t="n">
        <v>0.3</v>
      </c>
      <c r="J905" t="n">
        <v>0</v>
      </c>
      <c r="K905" t="n">
        <v>0</v>
      </c>
      <c r="L905" t="n">
        <v>0</v>
      </c>
      <c r="M905" t="n">
        <v>0</v>
      </c>
      <c r="N905" t="n">
        <v>0</v>
      </c>
      <c r="O905" t="n">
        <v>0</v>
      </c>
      <c r="P905" t="n">
        <v>0</v>
      </c>
      <c r="Q905" t="n">
        <v>0</v>
      </c>
      <c r="R905" t="n">
        <v>0</v>
      </c>
      <c r="S905" t="n">
        <v>0</v>
      </c>
      <c r="T905" t="n">
        <v>0</v>
      </c>
      <c r="U905" s="2" t="inlineStr"/>
    </row>
    <row r="906" ht="15" customHeight="1">
      <c r="A906" t="inlineStr">
        <is>
          <t>A 7805-2026</t>
        </is>
      </c>
      <c r="B906" t="inlineStr">
        <is>
          <t>avverkningsanmälan</t>
        </is>
      </c>
      <c r="C906" t="inlineStr">
        <is>
          <t>Föryngringsavverkning</t>
        </is>
      </c>
      <c r="D906" s="1" t="n">
        <v>46062</v>
      </c>
      <c r="E906" s="1" t="n">
        <v>46218</v>
      </c>
      <c r="F906" t="inlineStr">
        <is>
          <t>DALARNAS LÄN</t>
        </is>
      </c>
      <c r="G906" t="inlineStr">
        <is>
          <t>RÄTTVIK</t>
        </is>
      </c>
      <c r="I906" t="n">
        <v>5.1</v>
      </c>
      <c r="J906" t="n">
        <v>0</v>
      </c>
      <c r="K906" t="n">
        <v>0</v>
      </c>
      <c r="L906" t="n">
        <v>0</v>
      </c>
      <c r="M906" t="n">
        <v>0</v>
      </c>
      <c r="N906" t="n">
        <v>0</v>
      </c>
      <c r="O906" t="n">
        <v>0</v>
      </c>
      <c r="P906" t="n">
        <v>0</v>
      </c>
      <c r="Q906" t="n">
        <v>0</v>
      </c>
      <c r="R906" t="n">
        <v>0</v>
      </c>
      <c r="S906" t="n">
        <v>0</v>
      </c>
      <c r="T906" t="n">
        <v>0</v>
      </c>
      <c r="U906" s="2" t="inlineStr"/>
    </row>
    <row r="907" ht="15" customHeight="1">
      <c r="A907" t="inlineStr">
        <is>
          <t>A 8140-2026</t>
        </is>
      </c>
      <c r="B907" t="inlineStr">
        <is>
          <t>avverkningsanmälan</t>
        </is>
      </c>
      <c r="C907" t="inlineStr">
        <is>
          <t>Föryngringsavverkning</t>
        </is>
      </c>
      <c r="D907" s="1" t="n">
        <v>46064</v>
      </c>
      <c r="E907" s="1" t="n">
        <v>46218</v>
      </c>
      <c r="F907" t="inlineStr">
        <is>
          <t>DALARNAS LÄN</t>
        </is>
      </c>
      <c r="G907" t="inlineStr">
        <is>
          <t>RÄTTVIK</t>
        </is>
      </c>
      <c r="I907" t="n">
        <v>1.9</v>
      </c>
      <c r="J907" t="n">
        <v>0</v>
      </c>
      <c r="K907" t="n">
        <v>0</v>
      </c>
      <c r="L907" t="n">
        <v>0</v>
      </c>
      <c r="M907" t="n">
        <v>0</v>
      </c>
      <c r="N907" t="n">
        <v>0</v>
      </c>
      <c r="O907" t="n">
        <v>0</v>
      </c>
      <c r="P907" t="n">
        <v>0</v>
      </c>
      <c r="Q907" t="n">
        <v>0</v>
      </c>
      <c r="R907" t="n">
        <v>0</v>
      </c>
      <c r="S907" t="n">
        <v>0</v>
      </c>
      <c r="T907" t="n">
        <v>0</v>
      </c>
      <c r="U907" s="2" t="inlineStr"/>
    </row>
    <row r="908" ht="15" customHeight="1">
      <c r="A908" t="inlineStr">
        <is>
          <t>A 8141-2026</t>
        </is>
      </c>
      <c r="B908" t="inlineStr">
        <is>
          <t>avverkningsanmälan</t>
        </is>
      </c>
      <c r="C908" t="inlineStr">
        <is>
          <t>Föryngringsavverkning</t>
        </is>
      </c>
      <c r="D908" s="1" t="n">
        <v>46064</v>
      </c>
      <c r="E908" s="1" t="n">
        <v>46218</v>
      </c>
      <c r="F908" t="inlineStr">
        <is>
          <t>DALARNAS LÄN</t>
        </is>
      </c>
      <c r="G908" t="inlineStr">
        <is>
          <t>RÄTTVIK</t>
        </is>
      </c>
      <c r="I908" t="n">
        <v>3</v>
      </c>
      <c r="J908" t="n">
        <v>0</v>
      </c>
      <c r="K908" t="n">
        <v>0</v>
      </c>
      <c r="L908" t="n">
        <v>0</v>
      </c>
      <c r="M908" t="n">
        <v>0</v>
      </c>
      <c r="N908" t="n">
        <v>0</v>
      </c>
      <c r="O908" t="n">
        <v>0</v>
      </c>
      <c r="P908" t="n">
        <v>0</v>
      </c>
      <c r="Q908" t="n">
        <v>0</v>
      </c>
      <c r="R908" t="n">
        <v>0</v>
      </c>
      <c r="S908" t="n">
        <v>0</v>
      </c>
      <c r="T908" t="n">
        <v>0</v>
      </c>
      <c r="U908" s="2" t="inlineStr"/>
    </row>
    <row r="909" ht="15" customHeight="1">
      <c r="A909" t="inlineStr">
        <is>
          <t>A 29873-2026</t>
        </is>
      </c>
      <c r="B909" t="inlineStr">
        <is>
          <t>avverkningsanmälan</t>
        </is>
      </c>
      <c r="C909" t="inlineStr">
        <is>
          <t>Föryngringsavverkning</t>
        </is>
      </c>
      <c r="D909" s="1" t="n">
        <v>46205</v>
      </c>
      <c r="E909" s="1" t="n">
        <v>46218</v>
      </c>
      <c r="F909" t="inlineStr">
        <is>
          <t>DALARNAS LÄN</t>
        </is>
      </c>
      <c r="G909" t="inlineStr">
        <is>
          <t>RÄTTVIK</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8393-2026</t>
        </is>
      </c>
      <c r="B910" t="inlineStr">
        <is>
          <t>avverkningsanmälan</t>
        </is>
      </c>
      <c r="C910" t="inlineStr">
        <is>
          <t>Föryngringsavverkning</t>
        </is>
      </c>
      <c r="D910" s="1" t="n">
        <v>46065</v>
      </c>
      <c r="E910" s="1" t="n">
        <v>46218</v>
      </c>
      <c r="F910" t="inlineStr">
        <is>
          <t>DALARNAS LÄN</t>
        </is>
      </c>
      <c r="G910" t="inlineStr">
        <is>
          <t>RÄTTVIK</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8458-2026</t>
        </is>
      </c>
      <c r="B911" t="inlineStr">
        <is>
          <t>avverkningsanmälan</t>
        </is>
      </c>
      <c r="C911" t="inlineStr">
        <is>
          <t>Föryngringsavverkning</t>
        </is>
      </c>
      <c r="D911" s="1" t="n">
        <v>46065</v>
      </c>
      <c r="E911" s="1" t="n">
        <v>46218</v>
      </c>
      <c r="F911" t="inlineStr">
        <is>
          <t>DALARNAS LÄN</t>
        </is>
      </c>
      <c r="G911" t="inlineStr">
        <is>
          <t>RÄTTVIK</t>
        </is>
      </c>
      <c r="H911" t="inlineStr">
        <is>
          <t>Bergvik skog väst AB</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30091-2026</t>
        </is>
      </c>
      <c r="B912" t="inlineStr">
        <is>
          <t>avverkningsanmälan</t>
        </is>
      </c>
      <c r="C912" t="inlineStr">
        <is>
          <t>Föryngringsavverkning</t>
        </is>
      </c>
      <c r="D912" s="1" t="n">
        <v>46206</v>
      </c>
      <c r="E912" s="1" t="n">
        <v>46218</v>
      </c>
      <c r="F912" t="inlineStr">
        <is>
          <t>DALARNAS LÄN</t>
        </is>
      </c>
      <c r="G912" t="inlineStr">
        <is>
          <t>RÄTTVIK</t>
        </is>
      </c>
      <c r="I912" t="n">
        <v>2.4</v>
      </c>
      <c r="J912" t="n">
        <v>0</v>
      </c>
      <c r="K912" t="n">
        <v>0</v>
      </c>
      <c r="L912" t="n">
        <v>0</v>
      </c>
      <c r="M912" t="n">
        <v>0</v>
      </c>
      <c r="N912" t="n">
        <v>0</v>
      </c>
      <c r="O912" t="n">
        <v>0</v>
      </c>
      <c r="P912" t="n">
        <v>0</v>
      </c>
      <c r="Q912" t="n">
        <v>0</v>
      </c>
      <c r="R912" t="n">
        <v>0</v>
      </c>
      <c r="S912" t="n">
        <v>0</v>
      </c>
      <c r="T912" t="n">
        <v>0</v>
      </c>
      <c r="U912" s="2" t="inlineStr"/>
    </row>
    <row r="913" ht="15" customHeight="1">
      <c r="A913" t="inlineStr">
        <is>
          <t>A 23774-2026</t>
        </is>
      </c>
      <c r="B913" t="inlineStr">
        <is>
          <t>avverkningsanmälan</t>
        </is>
      </c>
      <c r="C913" t="inlineStr">
        <is>
          <t>Föryngringsavverkning</t>
        </is>
      </c>
      <c r="D913" s="1" t="n">
        <v>46164</v>
      </c>
      <c r="E913" s="1" t="n">
        <v>46218</v>
      </c>
      <c r="F913" t="inlineStr">
        <is>
          <t>DALARNAS LÄN</t>
        </is>
      </c>
      <c r="G913" t="inlineStr">
        <is>
          <t>RÄTTVIK</t>
        </is>
      </c>
      <c r="H913" t="inlineStr">
        <is>
          <t>Bergvik skog väst AB</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8695-2026</t>
        </is>
      </c>
      <c r="B914" t="inlineStr">
        <is>
          <t>avverkningsanmälan</t>
        </is>
      </c>
      <c r="C914" t="inlineStr">
        <is>
          <t>Föryngringsavverkning</t>
        </is>
      </c>
      <c r="D914" s="1" t="n">
        <v>46066</v>
      </c>
      <c r="E914" s="1" t="n">
        <v>46218</v>
      </c>
      <c r="F914" t="inlineStr">
        <is>
          <t>DALARNAS LÄN</t>
        </is>
      </c>
      <c r="G914" t="inlineStr">
        <is>
          <t>RÄTTVIK</t>
        </is>
      </c>
      <c r="I914" t="n">
        <v>5.4</v>
      </c>
      <c r="J914" t="n">
        <v>0</v>
      </c>
      <c r="K914" t="n">
        <v>0</v>
      </c>
      <c r="L914" t="n">
        <v>0</v>
      </c>
      <c r="M914" t="n">
        <v>0</v>
      </c>
      <c r="N914" t="n">
        <v>0</v>
      </c>
      <c r="O914" t="n">
        <v>0</v>
      </c>
      <c r="P914" t="n">
        <v>0</v>
      </c>
      <c r="Q914" t="n">
        <v>0</v>
      </c>
      <c r="R914" t="n">
        <v>0</v>
      </c>
      <c r="S914" t="n">
        <v>0</v>
      </c>
      <c r="T914" t="n">
        <v>0</v>
      </c>
      <c r="U914" s="2" t="inlineStr"/>
    </row>
    <row r="915" ht="15" customHeight="1">
      <c r="A915" t="inlineStr">
        <is>
          <t>A 8766-2026</t>
        </is>
      </c>
      <c r="B915" t="inlineStr">
        <is>
          <t>avverkningsanmälan</t>
        </is>
      </c>
      <c r="C915" t="inlineStr">
        <is>
          <t>Avverkning för annat ändamål</t>
        </is>
      </c>
      <c r="D915" s="1" t="n">
        <v>46066</v>
      </c>
      <c r="E915" s="1" t="n">
        <v>46218</v>
      </c>
      <c r="F915" t="inlineStr">
        <is>
          <t>DALARNAS LÄN</t>
        </is>
      </c>
      <c r="G915" t="inlineStr">
        <is>
          <t>RÄTTVIK</t>
        </is>
      </c>
      <c r="I915" t="n">
        <v>0.1</v>
      </c>
      <c r="J915" t="n">
        <v>0</v>
      </c>
      <c r="K915" t="n">
        <v>0</v>
      </c>
      <c r="L915" t="n">
        <v>0</v>
      </c>
      <c r="M915" t="n">
        <v>0</v>
      </c>
      <c r="N915" t="n">
        <v>0</v>
      </c>
      <c r="O915" t="n">
        <v>0</v>
      </c>
      <c r="P915" t="n">
        <v>0</v>
      </c>
      <c r="Q915" t="n">
        <v>0</v>
      </c>
      <c r="R915" t="n">
        <v>0</v>
      </c>
      <c r="S915" t="n">
        <v>0</v>
      </c>
      <c r="T915" t="n">
        <v>0</v>
      </c>
      <c r="U915" s="2" t="inlineStr"/>
    </row>
    <row r="916" ht="15" customHeight="1">
      <c r="A916" t="inlineStr">
        <is>
          <t>A 23946-2026</t>
        </is>
      </c>
      <c r="B916" t="inlineStr">
        <is>
          <t>avverkningsanmälan</t>
        </is>
      </c>
      <c r="C916" t="inlineStr">
        <is>
          <t>Föryngringsavverkning</t>
        </is>
      </c>
      <c r="D916" s="1" t="n">
        <v>46167</v>
      </c>
      <c r="E916" s="1" t="n">
        <v>46218</v>
      </c>
      <c r="F916" t="inlineStr">
        <is>
          <t>DALARNAS LÄN</t>
        </is>
      </c>
      <c r="G916" t="inlineStr">
        <is>
          <t>RÄTTVIK</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8665-2026</t>
        </is>
      </c>
      <c r="B917" t="inlineStr">
        <is>
          <t>avverkningsanmälan</t>
        </is>
      </c>
      <c r="C917" t="inlineStr">
        <is>
          <t>Föryngringsavverkning</t>
        </is>
      </c>
      <c r="D917" s="1" t="n">
        <v>46066</v>
      </c>
      <c r="E917" s="1" t="n">
        <v>46218</v>
      </c>
      <c r="F917" t="inlineStr">
        <is>
          <t>DALARNAS LÄN</t>
        </is>
      </c>
      <c r="G917" t="inlineStr">
        <is>
          <t>RÄTTVIK</t>
        </is>
      </c>
      <c r="I917" t="n">
        <v>2.1</v>
      </c>
      <c r="J917" t="n">
        <v>0</v>
      </c>
      <c r="K917" t="n">
        <v>0</v>
      </c>
      <c r="L917" t="n">
        <v>0</v>
      </c>
      <c r="M917" t="n">
        <v>0</v>
      </c>
      <c r="N917" t="n">
        <v>0</v>
      </c>
      <c r="O917" t="n">
        <v>0</v>
      </c>
      <c r="P917" t="n">
        <v>0</v>
      </c>
      <c r="Q917" t="n">
        <v>0</v>
      </c>
      <c r="R917" t="n">
        <v>0</v>
      </c>
      <c r="S917" t="n">
        <v>0</v>
      </c>
      <c r="T917" t="n">
        <v>0</v>
      </c>
      <c r="U917" s="2" t="inlineStr"/>
    </row>
    <row r="918" ht="15" customHeight="1">
      <c r="A918" t="inlineStr">
        <is>
          <t>A 30335-2026</t>
        </is>
      </c>
      <c r="B918" t="inlineStr">
        <is>
          <t>avverkningsanmälan</t>
        </is>
      </c>
      <c r="C918" t="inlineStr">
        <is>
          <t>Föryngringsavverkning</t>
        </is>
      </c>
      <c r="D918" s="1" t="n">
        <v>46208</v>
      </c>
      <c r="E918" s="1" t="n">
        <v>46218</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8924-2026</t>
        </is>
      </c>
      <c r="B919" t="inlineStr">
        <is>
          <t>avverkningsanmälan</t>
        </is>
      </c>
      <c r="C919" t="inlineStr">
        <is>
          <t>Föryngringsavverkning</t>
        </is>
      </c>
      <c r="D919" s="1" t="n">
        <v>46069</v>
      </c>
      <c r="E919" s="1" t="n">
        <v>46218</v>
      </c>
      <c r="F919" t="inlineStr">
        <is>
          <t>DALARNAS LÄN</t>
        </is>
      </c>
      <c r="G919" t="inlineStr">
        <is>
          <t>RÄTTVIK</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9286-2026</t>
        </is>
      </c>
      <c r="B920" t="inlineStr">
        <is>
          <t>avverkningsanmälan</t>
        </is>
      </c>
      <c r="C920" t="inlineStr">
        <is>
          <t>Föryngringsavverkning</t>
        </is>
      </c>
      <c r="D920" s="1" t="n">
        <v>46070</v>
      </c>
      <c r="E920" s="1" t="n">
        <v>46218</v>
      </c>
      <c r="F920" t="inlineStr">
        <is>
          <t>DALARNAS LÄN</t>
        </is>
      </c>
      <c r="G920" t="inlineStr">
        <is>
          <t>RÄTTVIK</t>
        </is>
      </c>
      <c r="I920" t="n">
        <v>0.8</v>
      </c>
      <c r="J920" t="n">
        <v>0</v>
      </c>
      <c r="K920" t="n">
        <v>0</v>
      </c>
      <c r="L920" t="n">
        <v>0</v>
      </c>
      <c r="M920" t="n">
        <v>0</v>
      </c>
      <c r="N920" t="n">
        <v>0</v>
      </c>
      <c r="O920" t="n">
        <v>0</v>
      </c>
      <c r="P920" t="n">
        <v>0</v>
      </c>
      <c r="Q920" t="n">
        <v>0</v>
      </c>
      <c r="R920" t="n">
        <v>0</v>
      </c>
      <c r="S920" t="n">
        <v>0</v>
      </c>
      <c r="T920" t="n">
        <v>0</v>
      </c>
      <c r="U920" s="2" t="inlineStr"/>
    </row>
    <row r="921" ht="15" customHeight="1">
      <c r="A921" t="inlineStr">
        <is>
          <t>A 30301-2026</t>
        </is>
      </c>
      <c r="B921" t="inlineStr">
        <is>
          <t>avverkningsanmälan</t>
        </is>
      </c>
      <c r="C921" t="inlineStr">
        <is>
          <t>Föryngringsavverkning</t>
        </is>
      </c>
      <c r="D921" s="1" t="n">
        <v>46206</v>
      </c>
      <c r="E921" s="1" t="n">
        <v>46218</v>
      </c>
      <c r="F921" t="inlineStr">
        <is>
          <t>DALARNAS LÄN</t>
        </is>
      </c>
      <c r="G921" t="inlineStr">
        <is>
          <t>RÄTTVIK</t>
        </is>
      </c>
      <c r="H921" t="inlineStr">
        <is>
          <t>Sveaskog</t>
        </is>
      </c>
      <c r="I921" t="n">
        <v>13.5</v>
      </c>
      <c r="J921" t="n">
        <v>0</v>
      </c>
      <c r="K921" t="n">
        <v>0</v>
      </c>
      <c r="L921" t="n">
        <v>0</v>
      </c>
      <c r="M921" t="n">
        <v>0</v>
      </c>
      <c r="N921" t="n">
        <v>0</v>
      </c>
      <c r="O921" t="n">
        <v>0</v>
      </c>
      <c r="P921" t="n">
        <v>0</v>
      </c>
      <c r="Q921" t="n">
        <v>0</v>
      </c>
      <c r="R921" t="n">
        <v>0</v>
      </c>
      <c r="S921" t="n">
        <v>0</v>
      </c>
      <c r="T921" t="n">
        <v>0</v>
      </c>
      <c r="U921" s="2" t="inlineStr"/>
    </row>
    <row r="922" ht="15" customHeight="1">
      <c r="A922" t="inlineStr">
        <is>
          <t>A 30122-2026</t>
        </is>
      </c>
      <c r="B922" t="inlineStr">
        <is>
          <t>avverkningsanmälan</t>
        </is>
      </c>
      <c r="C922" t="inlineStr">
        <is>
          <t>Föryngringsavverkning</t>
        </is>
      </c>
      <c r="D922" s="1" t="n">
        <v>46206</v>
      </c>
      <c r="E922" s="1" t="n">
        <v>46218</v>
      </c>
      <c r="F922" t="inlineStr">
        <is>
          <t>DALARNAS LÄN</t>
        </is>
      </c>
      <c r="G922" t="inlineStr">
        <is>
          <t>RÄTTVIK</t>
        </is>
      </c>
      <c r="I922" t="n">
        <v>2.6</v>
      </c>
      <c r="J922" t="n">
        <v>0</v>
      </c>
      <c r="K922" t="n">
        <v>0</v>
      </c>
      <c r="L922" t="n">
        <v>0</v>
      </c>
      <c r="M922" t="n">
        <v>0</v>
      </c>
      <c r="N922" t="n">
        <v>0</v>
      </c>
      <c r="O922" t="n">
        <v>0</v>
      </c>
      <c r="P922" t="n">
        <v>0</v>
      </c>
      <c r="Q922" t="n">
        <v>0</v>
      </c>
      <c r="R922" t="n">
        <v>0</v>
      </c>
      <c r="S922" t="n">
        <v>0</v>
      </c>
      <c r="T922" t="n">
        <v>0</v>
      </c>
      <c r="U922" s="2" t="inlineStr"/>
    </row>
    <row r="923" ht="15" customHeight="1">
      <c r="A923" t="inlineStr">
        <is>
          <t>A 9859-2026</t>
        </is>
      </c>
      <c r="B923" t="inlineStr">
        <is>
          <t>avverkningsanmälan</t>
        </is>
      </c>
      <c r="C923" t="inlineStr">
        <is>
          <t>Föryngringsavverkning</t>
        </is>
      </c>
      <c r="D923" s="1" t="n">
        <v>46072</v>
      </c>
      <c r="E923" s="1" t="n">
        <v>46218</v>
      </c>
      <c r="F923" t="inlineStr">
        <is>
          <t>DALARNAS LÄN</t>
        </is>
      </c>
      <c r="G923" t="inlineStr">
        <is>
          <t>RÄTTVIK</t>
        </is>
      </c>
      <c r="H923" t="inlineStr">
        <is>
          <t>Övriga statliga verk och myndigheter</t>
        </is>
      </c>
      <c r="I923" t="n">
        <v>0.8</v>
      </c>
      <c r="J923" t="n">
        <v>0</v>
      </c>
      <c r="K923" t="n">
        <v>0</v>
      </c>
      <c r="L923" t="n">
        <v>0</v>
      </c>
      <c r="M923" t="n">
        <v>0</v>
      </c>
      <c r="N923" t="n">
        <v>0</v>
      </c>
      <c r="O923" t="n">
        <v>0</v>
      </c>
      <c r="P923" t="n">
        <v>0</v>
      </c>
      <c r="Q923" t="n">
        <v>0</v>
      </c>
      <c r="R923" t="n">
        <v>0</v>
      </c>
      <c r="S923" t="n">
        <v>0</v>
      </c>
      <c r="T923" t="n">
        <v>0</v>
      </c>
      <c r="U923" s="2" t="inlineStr"/>
    </row>
    <row r="924" ht="15" customHeight="1">
      <c r="A924" t="inlineStr">
        <is>
          <t>A 9860-2026</t>
        </is>
      </c>
      <c r="B924" t="inlineStr">
        <is>
          <t>avverkningsanmälan</t>
        </is>
      </c>
      <c r="C924" t="inlineStr">
        <is>
          <t>Föryngringsavverkning</t>
        </is>
      </c>
      <c r="D924" s="1" t="n">
        <v>46072</v>
      </c>
      <c r="E924" s="1" t="n">
        <v>46218</v>
      </c>
      <c r="F924" t="inlineStr">
        <is>
          <t>DALARNAS LÄN</t>
        </is>
      </c>
      <c r="G924" t="inlineStr">
        <is>
          <t>RÄTTVIK</t>
        </is>
      </c>
      <c r="H924" t="inlineStr">
        <is>
          <t>Övriga statliga verk och myndigheter</t>
        </is>
      </c>
      <c r="I924" t="n">
        <v>2.1</v>
      </c>
      <c r="J924" t="n">
        <v>0</v>
      </c>
      <c r="K924" t="n">
        <v>0</v>
      </c>
      <c r="L924" t="n">
        <v>0</v>
      </c>
      <c r="M924" t="n">
        <v>0</v>
      </c>
      <c r="N924" t="n">
        <v>0</v>
      </c>
      <c r="O924" t="n">
        <v>0</v>
      </c>
      <c r="P924" t="n">
        <v>0</v>
      </c>
      <c r="Q924" t="n">
        <v>0</v>
      </c>
      <c r="R924" t="n">
        <v>0</v>
      </c>
      <c r="S924" t="n">
        <v>0</v>
      </c>
      <c r="T924" t="n">
        <v>0</v>
      </c>
      <c r="U924" s="2" t="inlineStr"/>
    </row>
    <row r="925" ht="15" customHeight="1">
      <c r="A925" t="inlineStr">
        <is>
          <t>A 10023-2026</t>
        </is>
      </c>
      <c r="B925" t="inlineStr">
        <is>
          <t>avverkningsanmälan</t>
        </is>
      </c>
      <c r="C925" t="inlineStr">
        <is>
          <t>Föryngringsavverkning</t>
        </is>
      </c>
      <c r="D925" s="1" t="n">
        <v>46073</v>
      </c>
      <c r="E925" s="1" t="n">
        <v>46218</v>
      </c>
      <c r="F925" t="inlineStr">
        <is>
          <t>DALARNAS LÄN</t>
        </is>
      </c>
      <c r="G925" t="inlineStr">
        <is>
          <t>RÄTTVIK</t>
        </is>
      </c>
      <c r="H925" t="inlineStr">
        <is>
          <t>Bergvik skog väst AB</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9989-2026</t>
        </is>
      </c>
      <c r="B926" t="inlineStr">
        <is>
          <t>avverkningsanmälan</t>
        </is>
      </c>
      <c r="C926" t="inlineStr">
        <is>
          <t>Föryngringsavverkning</t>
        </is>
      </c>
      <c r="D926" s="1" t="n">
        <v>46073</v>
      </c>
      <c r="E926" s="1" t="n">
        <v>46218</v>
      </c>
      <c r="F926" t="inlineStr">
        <is>
          <t>DALARNAS LÄN</t>
        </is>
      </c>
      <c r="G926" t="inlineStr">
        <is>
          <t>RÄTTVIK</t>
        </is>
      </c>
      <c r="H926" t="inlineStr">
        <is>
          <t>Bergvik skog väst AB</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30347-2026</t>
        </is>
      </c>
      <c r="B927" t="inlineStr">
        <is>
          <t>avverkningsanmälan</t>
        </is>
      </c>
      <c r="C927" t="inlineStr">
        <is>
          <t>Föryngringsavverkning</t>
        </is>
      </c>
      <c r="D927" s="1" t="n">
        <v>46209</v>
      </c>
      <c r="E927" s="1" t="n">
        <v>46218</v>
      </c>
      <c r="F927" t="inlineStr">
        <is>
          <t>DALARNAS LÄN</t>
        </is>
      </c>
      <c r="G927" t="inlineStr">
        <is>
          <t>RÄTTVIK</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61607-2024</t>
        </is>
      </c>
      <c r="B928" t="inlineStr">
        <is>
          <t>avverkningsanmälan</t>
        </is>
      </c>
      <c r="C928" t="inlineStr">
        <is>
          <t>Föryngringsavverkning</t>
        </is>
      </c>
      <c r="D928" s="1" t="n">
        <v>45646</v>
      </c>
      <c r="E928" s="1" t="n">
        <v>46218</v>
      </c>
      <c r="F928" t="inlineStr">
        <is>
          <t>DALARNAS LÄN</t>
        </is>
      </c>
      <c r="G928" t="inlineStr">
        <is>
          <t>RÄTTVIK</t>
        </is>
      </c>
      <c r="I928" t="n">
        <v>2.1</v>
      </c>
      <c r="J928" t="n">
        <v>0</v>
      </c>
      <c r="K928" t="n">
        <v>0</v>
      </c>
      <c r="L928" t="n">
        <v>0</v>
      </c>
      <c r="M928" t="n">
        <v>0</v>
      </c>
      <c r="N928" t="n">
        <v>0</v>
      </c>
      <c r="O928" t="n">
        <v>0</v>
      </c>
      <c r="P928" t="n">
        <v>0</v>
      </c>
      <c r="Q928" t="n">
        <v>0</v>
      </c>
      <c r="R928" t="n">
        <v>0</v>
      </c>
      <c r="S928" t="n">
        <v>0</v>
      </c>
      <c r="T928" t="n">
        <v>0</v>
      </c>
      <c r="U928" s="2" t="inlineStr"/>
    </row>
    <row r="929" ht="15" customHeight="1">
      <c r="A929" t="inlineStr">
        <is>
          <t>A 10703-2026</t>
        </is>
      </c>
      <c r="B929" t="inlineStr">
        <is>
          <t>avverkningsanmälan</t>
        </is>
      </c>
      <c r="C929" t="inlineStr">
        <is>
          <t>Föryngringsavverkning</t>
        </is>
      </c>
      <c r="D929" s="1" t="n">
        <v>46078</v>
      </c>
      <c r="E929" s="1" t="n">
        <v>46218</v>
      </c>
      <c r="F929" t="inlineStr">
        <is>
          <t>DALARNAS LÄN</t>
        </is>
      </c>
      <c r="G929" t="inlineStr">
        <is>
          <t>RÄTTVIK</t>
        </is>
      </c>
      <c r="I929" t="n">
        <v>0.6</v>
      </c>
      <c r="J929" t="n">
        <v>0</v>
      </c>
      <c r="K929" t="n">
        <v>0</v>
      </c>
      <c r="L929" t="n">
        <v>0</v>
      </c>
      <c r="M929" t="n">
        <v>0</v>
      </c>
      <c r="N929" t="n">
        <v>0</v>
      </c>
      <c r="O929" t="n">
        <v>0</v>
      </c>
      <c r="P929" t="n">
        <v>0</v>
      </c>
      <c r="Q929" t="n">
        <v>0</v>
      </c>
      <c r="R929" t="n">
        <v>0</v>
      </c>
      <c r="S929" t="n">
        <v>0</v>
      </c>
      <c r="T929" t="n">
        <v>0</v>
      </c>
      <c r="U929" s="2" t="inlineStr"/>
    </row>
    <row r="930" ht="15" customHeight="1">
      <c r="A930" t="inlineStr">
        <is>
          <t>A 30683-2026</t>
        </is>
      </c>
      <c r="B930" t="inlineStr">
        <is>
          <t>avverkningsanmälan</t>
        </is>
      </c>
      <c r="C930" t="inlineStr">
        <is>
          <t>Föryngringsavverkning</t>
        </is>
      </c>
      <c r="D930" s="1" t="n">
        <v>46211</v>
      </c>
      <c r="E930" s="1" t="n">
        <v>46218</v>
      </c>
      <c r="F930" t="inlineStr">
        <is>
          <t>DALARNAS LÄN</t>
        </is>
      </c>
      <c r="G930" t="inlineStr">
        <is>
          <t>RÄTTVIK</t>
        </is>
      </c>
      <c r="I930" t="n">
        <v>2.9</v>
      </c>
      <c r="J930" t="n">
        <v>0</v>
      </c>
      <c r="K930" t="n">
        <v>0</v>
      </c>
      <c r="L930" t="n">
        <v>0</v>
      </c>
      <c r="M930" t="n">
        <v>0</v>
      </c>
      <c r="N930" t="n">
        <v>0</v>
      </c>
      <c r="O930" t="n">
        <v>0</v>
      </c>
      <c r="P930" t="n">
        <v>0</v>
      </c>
      <c r="Q930" t="n">
        <v>0</v>
      </c>
      <c r="R930" t="n">
        <v>0</v>
      </c>
      <c r="S930" t="n">
        <v>0</v>
      </c>
      <c r="T930" t="n">
        <v>0</v>
      </c>
      <c r="U930" s="2" t="inlineStr"/>
    </row>
    <row r="931" ht="15" customHeight="1">
      <c r="A931" t="inlineStr">
        <is>
          <t>A 11032-2026</t>
        </is>
      </c>
      <c r="B931" t="inlineStr">
        <is>
          <t>avverkningsanmälan</t>
        </is>
      </c>
      <c r="C931" t="inlineStr">
        <is>
          <t>Föryngringsavverkning</t>
        </is>
      </c>
      <c r="D931" s="1" t="n">
        <v>46079</v>
      </c>
      <c r="E931" s="1" t="n">
        <v>46218</v>
      </c>
      <c r="F931" t="inlineStr">
        <is>
          <t>DALARNAS LÄN</t>
        </is>
      </c>
      <c r="G931" t="inlineStr">
        <is>
          <t>RÄTTVIK</t>
        </is>
      </c>
      <c r="H931" t="inlineStr">
        <is>
          <t>Bergvik skog väst AB</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15089-2026</t>
        </is>
      </c>
      <c r="B932" t="inlineStr">
        <is>
          <t>avverkningsanmälan</t>
        </is>
      </c>
      <c r="C932" t="inlineStr">
        <is>
          <t>Föryngringsavverkning</t>
        </is>
      </c>
      <c r="D932" s="1" t="n">
        <v>46105</v>
      </c>
      <c r="E932" s="1" t="n">
        <v>46218</v>
      </c>
      <c r="F932" t="inlineStr">
        <is>
          <t>DALARNAS LÄN</t>
        </is>
      </c>
      <c r="G932" t="inlineStr">
        <is>
          <t>RÄTTVIK</t>
        </is>
      </c>
      <c r="H932" t="inlineStr">
        <is>
          <t>Allmännings- och besparingsskogar</t>
        </is>
      </c>
      <c r="I932" t="n">
        <v>7</v>
      </c>
      <c r="J932" t="n">
        <v>0</v>
      </c>
      <c r="K932" t="n">
        <v>0</v>
      </c>
      <c r="L932" t="n">
        <v>0</v>
      </c>
      <c r="M932" t="n">
        <v>0</v>
      </c>
      <c r="N932" t="n">
        <v>0</v>
      </c>
      <c r="O932" t="n">
        <v>0</v>
      </c>
      <c r="P932" t="n">
        <v>0</v>
      </c>
      <c r="Q932" t="n">
        <v>0</v>
      </c>
      <c r="R932" t="n">
        <v>0</v>
      </c>
      <c r="S932" t="n">
        <v>0</v>
      </c>
      <c r="T932" t="n">
        <v>0</v>
      </c>
      <c r="U932" s="2" t="inlineStr"/>
    </row>
    <row r="933" ht="15" customHeight="1">
      <c r="A933" t="inlineStr">
        <is>
          <t>A 5975-2026</t>
        </is>
      </c>
      <c r="B933" t="inlineStr">
        <is>
          <t>avverkningsanmälan</t>
        </is>
      </c>
      <c r="C933" t="inlineStr">
        <is>
          <t>Föryngringsavverkning</t>
        </is>
      </c>
      <c r="D933" s="1" t="n">
        <v>46052</v>
      </c>
      <c r="E933" s="1" t="n">
        <v>46218</v>
      </c>
      <c r="F933" t="inlineStr">
        <is>
          <t>DALARNAS LÄN</t>
        </is>
      </c>
      <c r="G933" t="inlineStr">
        <is>
          <t>RÄTTVIK</t>
        </is>
      </c>
      <c r="I933" t="n">
        <v>16.1</v>
      </c>
      <c r="J933" t="n">
        <v>0</v>
      </c>
      <c r="K933" t="n">
        <v>0</v>
      </c>
      <c r="L933" t="n">
        <v>0</v>
      </c>
      <c r="M933" t="n">
        <v>0</v>
      </c>
      <c r="N933" t="n">
        <v>0</v>
      </c>
      <c r="O933" t="n">
        <v>0</v>
      </c>
      <c r="P933" t="n">
        <v>0</v>
      </c>
      <c r="Q933" t="n">
        <v>0</v>
      </c>
      <c r="R933" t="n">
        <v>0</v>
      </c>
      <c r="S933" t="n">
        <v>0</v>
      </c>
      <c r="T933" t="n">
        <v>0</v>
      </c>
      <c r="U933" s="2" t="inlineStr"/>
    </row>
    <row r="934" ht="15" customHeight="1">
      <c r="A934" t="inlineStr">
        <is>
          <t>A 29938-2026</t>
        </is>
      </c>
      <c r="B934" t="inlineStr">
        <is>
          <t>avverkningsanmälan</t>
        </is>
      </c>
      <c r="C934" t="inlineStr">
        <is>
          <t>Föryngringsavverkning</t>
        </is>
      </c>
      <c r="D934" s="1" t="n">
        <v>46205</v>
      </c>
      <c r="E934" s="1" t="n">
        <v>46218</v>
      </c>
      <c r="F934" t="inlineStr">
        <is>
          <t>DALARNAS LÄN</t>
        </is>
      </c>
      <c r="G934" t="inlineStr">
        <is>
          <t>RÄTTVIK</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6489-2026</t>
        </is>
      </c>
      <c r="B935" t="inlineStr">
        <is>
          <t>avverkningsanmälan</t>
        </is>
      </c>
      <c r="C935" t="inlineStr">
        <is>
          <t>Föryngringsavverkning</t>
        </is>
      </c>
      <c r="D935" s="1" t="n">
        <v>46056</v>
      </c>
      <c r="E935" s="1" t="n">
        <v>46218</v>
      </c>
      <c r="F935" t="inlineStr">
        <is>
          <t>DALARNAS LÄN</t>
        </is>
      </c>
      <c r="G935" t="inlineStr">
        <is>
          <t>RÄTTVIK</t>
        </is>
      </c>
      <c r="I935" t="n">
        <v>9.6</v>
      </c>
      <c r="J935" t="n">
        <v>0</v>
      </c>
      <c r="K935" t="n">
        <v>0</v>
      </c>
      <c r="L935" t="n">
        <v>0</v>
      </c>
      <c r="M935" t="n">
        <v>0</v>
      </c>
      <c r="N935" t="n">
        <v>0</v>
      </c>
      <c r="O935" t="n">
        <v>0</v>
      </c>
      <c r="P935" t="n">
        <v>0</v>
      </c>
      <c r="Q935" t="n">
        <v>0</v>
      </c>
      <c r="R935" t="n">
        <v>0</v>
      </c>
      <c r="S935" t="n">
        <v>0</v>
      </c>
      <c r="T935" t="n">
        <v>0</v>
      </c>
      <c r="U935" s="2" t="inlineStr"/>
    </row>
    <row r="936" ht="15" customHeight="1">
      <c r="A936" t="inlineStr">
        <is>
          <t>A 20167-2026</t>
        </is>
      </c>
      <c r="B936" t="inlineStr">
        <is>
          <t>avverkningsanmälan</t>
        </is>
      </c>
      <c r="C936" t="inlineStr">
        <is>
          <t>Föryngringsavverkning</t>
        </is>
      </c>
      <c r="D936" s="1" t="n">
        <v>46139</v>
      </c>
      <c r="E936" s="1" t="n">
        <v>46218</v>
      </c>
      <c r="F936" t="inlineStr">
        <is>
          <t>DALARNAS LÄN</t>
        </is>
      </c>
      <c r="G936" t="inlineStr">
        <is>
          <t>RÄTTVIK</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15188-2026</t>
        </is>
      </c>
      <c r="B937" t="inlineStr">
        <is>
          <t>avverkningsanmälan</t>
        </is>
      </c>
      <c r="C937" t="inlineStr">
        <is>
          <t>Föryngringsavverkning</t>
        </is>
      </c>
      <c r="D937" s="1" t="n">
        <v>46105</v>
      </c>
      <c r="E937" s="1" t="n">
        <v>46218</v>
      </c>
      <c r="F937" t="inlineStr">
        <is>
          <t>DALARNAS LÄN</t>
        </is>
      </c>
      <c r="G937" t="inlineStr">
        <is>
          <t>RÄTTVIK</t>
        </is>
      </c>
      <c r="H937" t="inlineStr">
        <is>
          <t>Bergvik skog väst AB</t>
        </is>
      </c>
      <c r="I937" t="n">
        <v>9.300000000000001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30769-2026</t>
        </is>
      </c>
      <c r="B938" t="inlineStr">
        <is>
          <t>avverkningsanmälan</t>
        </is>
      </c>
      <c r="C938" t="inlineStr">
        <is>
          <t>Föryngringsavverkning</t>
        </is>
      </c>
      <c r="D938" s="1" t="n">
        <v>46212</v>
      </c>
      <c r="E938" s="1" t="n">
        <v>46218</v>
      </c>
      <c r="F938" t="inlineStr">
        <is>
          <t>DALARNAS LÄN</t>
        </is>
      </c>
      <c r="G938" t="inlineStr">
        <is>
          <t>RÄTTVIK</t>
        </is>
      </c>
      <c r="H938" t="inlineStr">
        <is>
          <t>Sveaskog</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30770-2026</t>
        </is>
      </c>
      <c r="B939" t="inlineStr">
        <is>
          <t>avverkningsanmälan</t>
        </is>
      </c>
      <c r="C939" t="inlineStr">
        <is>
          <t>Föryngringsavverkning</t>
        </is>
      </c>
      <c r="D939" s="1" t="n">
        <v>46212</v>
      </c>
      <c r="E939" s="1" t="n">
        <v>46218</v>
      </c>
      <c r="F939" t="inlineStr">
        <is>
          <t>DALARNAS LÄN</t>
        </is>
      </c>
      <c r="G939" t="inlineStr">
        <is>
          <t>RÄTTVIK</t>
        </is>
      </c>
      <c r="H939" t="inlineStr">
        <is>
          <t>Sveaskog</t>
        </is>
      </c>
      <c r="I939" t="n">
        <v>2.6</v>
      </c>
      <c r="J939" t="n">
        <v>0</v>
      </c>
      <c r="K939" t="n">
        <v>0</v>
      </c>
      <c r="L939" t="n">
        <v>0</v>
      </c>
      <c r="M939" t="n">
        <v>0</v>
      </c>
      <c r="N939" t="n">
        <v>0</v>
      </c>
      <c r="O939" t="n">
        <v>0</v>
      </c>
      <c r="P939" t="n">
        <v>0</v>
      </c>
      <c r="Q939" t="n">
        <v>0</v>
      </c>
      <c r="R939" t="n">
        <v>0</v>
      </c>
      <c r="S939" t="n">
        <v>0</v>
      </c>
      <c r="T939" t="n">
        <v>0</v>
      </c>
      <c r="U939" s="2" t="inlineStr"/>
    </row>
    <row r="940" ht="15" customHeight="1">
      <c r="A940" t="inlineStr">
        <is>
          <t>A 11787-2026</t>
        </is>
      </c>
      <c r="B940" t="inlineStr">
        <is>
          <t>avverkningsanmälan</t>
        </is>
      </c>
      <c r="C940" t="inlineStr">
        <is>
          <t>Föryngringsavverkning</t>
        </is>
      </c>
      <c r="D940" s="1" t="n">
        <v>46085</v>
      </c>
      <c r="E940" s="1" t="n">
        <v>46218</v>
      </c>
      <c r="F940" t="inlineStr">
        <is>
          <t>DALARNAS LÄN</t>
        </is>
      </c>
      <c r="G940" t="inlineStr">
        <is>
          <t>RÄTTVIK</t>
        </is>
      </c>
      <c r="I940" t="n">
        <v>2.7</v>
      </c>
      <c r="J940" t="n">
        <v>0</v>
      </c>
      <c r="K940" t="n">
        <v>0</v>
      </c>
      <c r="L940" t="n">
        <v>0</v>
      </c>
      <c r="M940" t="n">
        <v>0</v>
      </c>
      <c r="N940" t="n">
        <v>0</v>
      </c>
      <c r="O940" t="n">
        <v>0</v>
      </c>
      <c r="P940" t="n">
        <v>0</v>
      </c>
      <c r="Q940" t="n">
        <v>0</v>
      </c>
      <c r="R940" t="n">
        <v>0</v>
      </c>
      <c r="S940" t="n">
        <v>0</v>
      </c>
      <c r="T940" t="n">
        <v>0</v>
      </c>
      <c r="U940" s="2" t="inlineStr"/>
    </row>
    <row r="941" ht="15" customHeight="1">
      <c r="A941" t="inlineStr">
        <is>
          <t>A 11790-2026</t>
        </is>
      </c>
      <c r="B941" t="inlineStr">
        <is>
          <t>avverkningsanmälan</t>
        </is>
      </c>
      <c r="C941" t="inlineStr">
        <is>
          <t>Föryngringsavverkning</t>
        </is>
      </c>
      <c r="D941" s="1" t="n">
        <v>46085</v>
      </c>
      <c r="E941" s="1" t="n">
        <v>46218</v>
      </c>
      <c r="F941" t="inlineStr">
        <is>
          <t>DALARNAS LÄN</t>
        </is>
      </c>
      <c r="G941" t="inlineStr">
        <is>
          <t>RÄTTVIK</t>
        </is>
      </c>
      <c r="I941" t="n">
        <v>2.4</v>
      </c>
      <c r="J941" t="n">
        <v>0</v>
      </c>
      <c r="K941" t="n">
        <v>0</v>
      </c>
      <c r="L941" t="n">
        <v>0</v>
      </c>
      <c r="M941" t="n">
        <v>0</v>
      </c>
      <c r="N941" t="n">
        <v>0</v>
      </c>
      <c r="O941" t="n">
        <v>0</v>
      </c>
      <c r="P941" t="n">
        <v>0</v>
      </c>
      <c r="Q941" t="n">
        <v>0</v>
      </c>
      <c r="R941" t="n">
        <v>0</v>
      </c>
      <c r="S941" t="n">
        <v>0</v>
      </c>
      <c r="T941" t="n">
        <v>0</v>
      </c>
      <c r="U941" s="2" t="inlineStr"/>
    </row>
    <row r="942" ht="15" customHeight="1">
      <c r="A942" t="inlineStr">
        <is>
          <t>A 8899-2026</t>
        </is>
      </c>
      <c r="B942" t="inlineStr">
        <is>
          <t>avverkningsanmälan</t>
        </is>
      </c>
      <c r="C942" t="inlineStr">
        <is>
          <t>Föryngringsavverkning</t>
        </is>
      </c>
      <c r="D942" s="1" t="n">
        <v>46068</v>
      </c>
      <c r="E942" s="1" t="n">
        <v>46218</v>
      </c>
      <c r="F942" t="inlineStr">
        <is>
          <t>DALARNAS LÄN</t>
        </is>
      </c>
      <c r="G942" t="inlineStr">
        <is>
          <t>RÄTTVIK</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12049-2026</t>
        </is>
      </c>
      <c r="B943" t="inlineStr">
        <is>
          <t>avverkningsanmälan</t>
        </is>
      </c>
      <c r="C943" t="inlineStr">
        <is>
          <t>Föryngringsavverkning</t>
        </is>
      </c>
      <c r="D943" s="1" t="n">
        <v>46086</v>
      </c>
      <c r="E943" s="1" t="n">
        <v>46218</v>
      </c>
      <c r="F943" t="inlineStr">
        <is>
          <t>DALARNAS LÄN</t>
        </is>
      </c>
      <c r="G943" t="inlineStr">
        <is>
          <t>RÄTTVIK</t>
        </is>
      </c>
      <c r="I943" t="n">
        <v>3.7</v>
      </c>
      <c r="J943" t="n">
        <v>0</v>
      </c>
      <c r="K943" t="n">
        <v>0</v>
      </c>
      <c r="L943" t="n">
        <v>0</v>
      </c>
      <c r="M943" t="n">
        <v>0</v>
      </c>
      <c r="N943" t="n">
        <v>0</v>
      </c>
      <c r="O943" t="n">
        <v>0</v>
      </c>
      <c r="P943" t="n">
        <v>0</v>
      </c>
      <c r="Q943" t="n">
        <v>0</v>
      </c>
      <c r="R943" t="n">
        <v>0</v>
      </c>
      <c r="S943" t="n">
        <v>0</v>
      </c>
      <c r="T943" t="n">
        <v>0</v>
      </c>
      <c r="U943" s="2" t="inlineStr"/>
    </row>
    <row r="944" ht="15" customHeight="1">
      <c r="A944" t="inlineStr">
        <is>
          <t>A 12592-2026</t>
        </is>
      </c>
      <c r="B944" t="inlineStr">
        <is>
          <t>avverkningsanmälan</t>
        </is>
      </c>
      <c r="C944" t="inlineStr">
        <is>
          <t>Föryngringsavverkning</t>
        </is>
      </c>
      <c r="D944" s="1" t="n">
        <v>46090</v>
      </c>
      <c r="E944" s="1" t="n">
        <v>46218</v>
      </c>
      <c r="F944" t="inlineStr">
        <is>
          <t>DALARNAS LÄN</t>
        </is>
      </c>
      <c r="G944" t="inlineStr">
        <is>
          <t>RÄTTVIK</t>
        </is>
      </c>
      <c r="I944" t="n">
        <v>1.3</v>
      </c>
      <c r="J944" t="n">
        <v>0</v>
      </c>
      <c r="K944" t="n">
        <v>0</v>
      </c>
      <c r="L944" t="n">
        <v>0</v>
      </c>
      <c r="M944" t="n">
        <v>0</v>
      </c>
      <c r="N944" t="n">
        <v>0</v>
      </c>
      <c r="O944" t="n">
        <v>0</v>
      </c>
      <c r="P944" t="n">
        <v>0</v>
      </c>
      <c r="Q944" t="n">
        <v>0</v>
      </c>
      <c r="R944" t="n">
        <v>0</v>
      </c>
      <c r="S944" t="n">
        <v>0</v>
      </c>
      <c r="T944" t="n">
        <v>0</v>
      </c>
      <c r="U944" s="2" t="inlineStr"/>
    </row>
    <row r="945" ht="15" customHeight="1">
      <c r="A945" t="inlineStr">
        <is>
          <t>A 12591-2026</t>
        </is>
      </c>
      <c r="B945" t="inlineStr">
        <is>
          <t>avverkningsanmälan</t>
        </is>
      </c>
      <c r="C945" t="inlineStr">
        <is>
          <t>Föryngringsavverkning</t>
        </is>
      </c>
      <c r="D945" s="1" t="n">
        <v>46090</v>
      </c>
      <c r="E945" s="1" t="n">
        <v>46218</v>
      </c>
      <c r="F945" t="inlineStr">
        <is>
          <t>DALARNAS LÄN</t>
        </is>
      </c>
      <c r="G945" t="inlineStr">
        <is>
          <t>RÄTTVIK</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30771-2026</t>
        </is>
      </c>
      <c r="B946" t="inlineStr">
        <is>
          <t>avverkningsanmälan</t>
        </is>
      </c>
      <c r="C946" t="inlineStr">
        <is>
          <t>Föryngringsavverkning</t>
        </is>
      </c>
      <c r="D946" s="1" t="n">
        <v>46212</v>
      </c>
      <c r="E946" s="1" t="n">
        <v>46218</v>
      </c>
      <c r="F946" t="inlineStr">
        <is>
          <t>DALARNAS LÄN</t>
        </is>
      </c>
      <c r="G946" t="inlineStr">
        <is>
          <t>RÄTTVIK</t>
        </is>
      </c>
      <c r="H946" t="inlineStr">
        <is>
          <t>Sveaskog</t>
        </is>
      </c>
      <c r="I946" t="n">
        <v>5.1</v>
      </c>
      <c r="J946" t="n">
        <v>0</v>
      </c>
      <c r="K946" t="n">
        <v>0</v>
      </c>
      <c r="L946" t="n">
        <v>0</v>
      </c>
      <c r="M946" t="n">
        <v>0</v>
      </c>
      <c r="N946" t="n">
        <v>0</v>
      </c>
      <c r="O946" t="n">
        <v>0</v>
      </c>
      <c r="P946" t="n">
        <v>0</v>
      </c>
      <c r="Q946" t="n">
        <v>0</v>
      </c>
      <c r="R946" t="n">
        <v>0</v>
      </c>
      <c r="S946" t="n">
        <v>0</v>
      </c>
      <c r="T946" t="n">
        <v>0</v>
      </c>
      <c r="U946" s="2" t="inlineStr"/>
    </row>
    <row r="947" ht="15" customHeight="1">
      <c r="A947" t="inlineStr">
        <is>
          <t>A 9322-2026</t>
        </is>
      </c>
      <c r="B947" t="inlineStr">
        <is>
          <t>avverkningsanmälan</t>
        </is>
      </c>
      <c r="C947" t="inlineStr">
        <is>
          <t>Föryngringsavverkning</t>
        </is>
      </c>
      <c r="D947" s="1" t="n">
        <v>46070</v>
      </c>
      <c r="E947" s="1" t="n">
        <v>46218</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31072-2026</t>
        </is>
      </c>
      <c r="B948" t="inlineStr">
        <is>
          <t>avverkningsanmälan</t>
        </is>
      </c>
      <c r="C948" t="inlineStr">
        <is>
          <t>Föryngringsavverkning</t>
        </is>
      </c>
      <c r="D948" s="1" t="n">
        <v>46216</v>
      </c>
      <c r="E948" s="1" t="n">
        <v>46218</v>
      </c>
      <c r="F948" t="inlineStr">
        <is>
          <t>DALARNAS LÄN</t>
        </is>
      </c>
      <c r="G948" t="inlineStr">
        <is>
          <t>RÄTTVIK</t>
        </is>
      </c>
      <c r="I948" t="n">
        <v>1.3</v>
      </c>
      <c r="J948" t="n">
        <v>0</v>
      </c>
      <c r="K948" t="n">
        <v>0</v>
      </c>
      <c r="L948" t="n">
        <v>0</v>
      </c>
      <c r="M948" t="n">
        <v>0</v>
      </c>
      <c r="N948" t="n">
        <v>0</v>
      </c>
      <c r="O948" t="n">
        <v>0</v>
      </c>
      <c r="P948" t="n">
        <v>0</v>
      </c>
      <c r="Q948" t="n">
        <v>0</v>
      </c>
      <c r="R948" t="n">
        <v>0</v>
      </c>
      <c r="S948" t="n">
        <v>0</v>
      </c>
      <c r="T948" t="n">
        <v>0</v>
      </c>
      <c r="U948" s="2" t="inlineStr"/>
    </row>
    <row r="949" ht="15" customHeight="1">
      <c r="A949" t="inlineStr">
        <is>
          <t>A 25087-2026</t>
        </is>
      </c>
      <c r="B949" t="inlineStr">
        <is>
          <t>avverkningsanmälan</t>
        </is>
      </c>
      <c r="C949" t="inlineStr">
        <is>
          <t>Föryngringsavverkning</t>
        </is>
      </c>
      <c r="D949" s="1" t="n">
        <v>46175</v>
      </c>
      <c r="E949" s="1" t="n">
        <v>46218</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25088-2026</t>
        </is>
      </c>
      <c r="B950" t="inlineStr">
        <is>
          <t>avverkningsanmälan</t>
        </is>
      </c>
      <c r="C950" t="inlineStr">
        <is>
          <t>Föryngringsavverkning</t>
        </is>
      </c>
      <c r="D950" s="1" t="n">
        <v>46175</v>
      </c>
      <c r="E950" s="1" t="n">
        <v>46218</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24764-2026</t>
        </is>
      </c>
      <c r="B951" t="inlineStr">
        <is>
          <t>avverkningsanmälan</t>
        </is>
      </c>
      <c r="C951" t="inlineStr">
        <is>
          <t>Föryngringsavverkning</t>
        </is>
      </c>
      <c r="D951" s="1" t="n">
        <v>46171</v>
      </c>
      <c r="E951" s="1" t="n">
        <v>46218</v>
      </c>
      <c r="F951" t="inlineStr">
        <is>
          <t>DALARNAS LÄN</t>
        </is>
      </c>
      <c r="G951" t="inlineStr">
        <is>
          <t>RÄTTVIK</t>
        </is>
      </c>
      <c r="H951" t="inlineStr">
        <is>
          <t>Sveaskog</t>
        </is>
      </c>
      <c r="I951" t="n">
        <v>18.7</v>
      </c>
      <c r="J951" t="n">
        <v>0</v>
      </c>
      <c r="K951" t="n">
        <v>0</v>
      </c>
      <c r="L951" t="n">
        <v>0</v>
      </c>
      <c r="M951" t="n">
        <v>0</v>
      </c>
      <c r="N951" t="n">
        <v>0</v>
      </c>
      <c r="O951" t="n">
        <v>0</v>
      </c>
      <c r="P951" t="n">
        <v>0</v>
      </c>
      <c r="Q951" t="n">
        <v>0</v>
      </c>
      <c r="R951" t="n">
        <v>0</v>
      </c>
      <c r="S951" t="n">
        <v>0</v>
      </c>
      <c r="T951" t="n">
        <v>0</v>
      </c>
      <c r="U951" s="2" t="inlineStr"/>
    </row>
    <row r="952" ht="15" customHeight="1">
      <c r="A952" t="inlineStr">
        <is>
          <t>A 31075-2026</t>
        </is>
      </c>
      <c r="B952" t="inlineStr">
        <is>
          <t>avverkningsanmälan</t>
        </is>
      </c>
      <c r="C952" t="inlineStr">
        <is>
          <t>Föryngringsavverkning</t>
        </is>
      </c>
      <c r="D952" s="1" t="n">
        <v>46216</v>
      </c>
      <c r="E952" s="1" t="n">
        <v>46218</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s="2" t="inlineStr"/>
    </row>
    <row r="953" ht="15" customHeight="1">
      <c r="A953" t="inlineStr">
        <is>
          <t>A 13844-2026</t>
        </is>
      </c>
      <c r="B953" t="inlineStr">
        <is>
          <t>avverkningsanmälan</t>
        </is>
      </c>
      <c r="C953" t="inlineStr">
        <is>
          <t>Föryngringsavverkning</t>
        </is>
      </c>
      <c r="D953" s="1" t="n">
        <v>46098</v>
      </c>
      <c r="E953" s="1" t="n">
        <v>46218</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13692-2026</t>
        </is>
      </c>
      <c r="B954" t="inlineStr">
        <is>
          <t>avverkningsanmälan</t>
        </is>
      </c>
      <c r="C954" t="inlineStr">
        <is>
          <t>Föryngringsavverkning</t>
        </is>
      </c>
      <c r="D954" s="1" t="n">
        <v>46094</v>
      </c>
      <c r="E954" s="1" t="n">
        <v>46218</v>
      </c>
      <c r="F954" t="inlineStr">
        <is>
          <t>DALARNAS LÄN</t>
        </is>
      </c>
      <c r="G954" t="inlineStr">
        <is>
          <t>RÄTTVIK</t>
        </is>
      </c>
      <c r="I954" t="n">
        <v>10.1</v>
      </c>
      <c r="J954" t="n">
        <v>0</v>
      </c>
      <c r="K954" t="n">
        <v>0</v>
      </c>
      <c r="L954" t="n">
        <v>0</v>
      </c>
      <c r="M954" t="n">
        <v>0</v>
      </c>
      <c r="N954" t="n">
        <v>0</v>
      </c>
      <c r="O954" t="n">
        <v>0</v>
      </c>
      <c r="P954" t="n">
        <v>0</v>
      </c>
      <c r="Q954" t="n">
        <v>0</v>
      </c>
      <c r="R954" t="n">
        <v>0</v>
      </c>
      <c r="S954" t="n">
        <v>0</v>
      </c>
      <c r="T954" t="n">
        <v>0</v>
      </c>
      <c r="U954" s="2" t="inlineStr"/>
    </row>
    <row r="955" ht="15" customHeight="1">
      <c r="A955" t="inlineStr">
        <is>
          <t>A 14496-2026</t>
        </is>
      </c>
      <c r="B955" t="inlineStr">
        <is>
          <t>avverkningsanmälan</t>
        </is>
      </c>
      <c r="C955" t="inlineStr">
        <is>
          <t>Föryngringsavverkning</t>
        </is>
      </c>
      <c r="D955" s="1" t="n">
        <v>46100</v>
      </c>
      <c r="E955" s="1" t="n">
        <v>46218</v>
      </c>
      <c r="F955" t="inlineStr">
        <is>
          <t>DALARNAS LÄN</t>
        </is>
      </c>
      <c r="G955" t="inlineStr">
        <is>
          <t>RÄTTVIK</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14317-2026</t>
        </is>
      </c>
      <c r="B956" t="inlineStr">
        <is>
          <t>avverkningsanmälan</t>
        </is>
      </c>
      <c r="C956" t="inlineStr">
        <is>
          <t>Föryngringsavverkning</t>
        </is>
      </c>
      <c r="D956" s="1" t="n">
        <v>46099</v>
      </c>
      <c r="E956" s="1" t="n">
        <v>46218</v>
      </c>
      <c r="F956" t="inlineStr">
        <is>
          <t>DALARNAS LÄN</t>
        </is>
      </c>
      <c r="G956" t="inlineStr">
        <is>
          <t>RÄTTVIK</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14029-2026</t>
        </is>
      </c>
      <c r="B957" t="inlineStr">
        <is>
          <t>avverkningsanmälan</t>
        </is>
      </c>
      <c r="C957" t="inlineStr">
        <is>
          <t>Föryngringsavverkning</t>
        </is>
      </c>
      <c r="D957" s="1" t="n">
        <v>46098</v>
      </c>
      <c r="E957" s="1" t="n">
        <v>46218</v>
      </c>
      <c r="F957" t="inlineStr">
        <is>
          <t>DALARNAS LÄN</t>
        </is>
      </c>
      <c r="G957" t="inlineStr">
        <is>
          <t>RÄTTVIK</t>
        </is>
      </c>
      <c r="I957" t="n">
        <v>2</v>
      </c>
      <c r="J957" t="n">
        <v>0</v>
      </c>
      <c r="K957" t="n">
        <v>0</v>
      </c>
      <c r="L957" t="n">
        <v>0</v>
      </c>
      <c r="M957" t="n">
        <v>0</v>
      </c>
      <c r="N957" t="n">
        <v>0</v>
      </c>
      <c r="O957" t="n">
        <v>0</v>
      </c>
      <c r="P957" t="n">
        <v>0</v>
      </c>
      <c r="Q957" t="n">
        <v>0</v>
      </c>
      <c r="R957" t="n">
        <v>0</v>
      </c>
      <c r="S957" t="n">
        <v>0</v>
      </c>
      <c r="T957" t="n">
        <v>0</v>
      </c>
      <c r="U957" s="2" t="inlineStr"/>
    </row>
    <row r="958" ht="15" customHeight="1">
      <c r="A958" t="inlineStr">
        <is>
          <t>A 14060-2026</t>
        </is>
      </c>
      <c r="B958" t="inlineStr">
        <is>
          <t>avverkningsanmälan</t>
        </is>
      </c>
      <c r="C958" t="inlineStr">
        <is>
          <t>Föryngringsavverkning</t>
        </is>
      </c>
      <c r="D958" s="1" t="n">
        <v>46099</v>
      </c>
      <c r="E958" s="1" t="n">
        <v>46218</v>
      </c>
      <c r="F958" t="inlineStr">
        <is>
          <t>DALARNAS LÄN</t>
        </is>
      </c>
      <c r="G958" t="inlineStr">
        <is>
          <t>RÄTTVIK</t>
        </is>
      </c>
      <c r="H958" t="inlineStr">
        <is>
          <t>Sveaskog</t>
        </is>
      </c>
      <c r="I958" t="n">
        <v>4.5</v>
      </c>
      <c r="J958" t="n">
        <v>0</v>
      </c>
      <c r="K958" t="n">
        <v>0</v>
      </c>
      <c r="L958" t="n">
        <v>0</v>
      </c>
      <c r="M958" t="n">
        <v>0</v>
      </c>
      <c r="N958" t="n">
        <v>0</v>
      </c>
      <c r="O958" t="n">
        <v>0</v>
      </c>
      <c r="P958" t="n">
        <v>0</v>
      </c>
      <c r="Q958" t="n">
        <v>0</v>
      </c>
      <c r="R958" t="n">
        <v>0</v>
      </c>
      <c r="S958" t="n">
        <v>0</v>
      </c>
      <c r="T958" t="n">
        <v>0</v>
      </c>
      <c r="U958" s="2" t="inlineStr"/>
    </row>
    <row r="959" ht="15" customHeight="1">
      <c r="A959" t="inlineStr">
        <is>
          <t>A 14940-2026</t>
        </is>
      </c>
      <c r="B959" t="inlineStr">
        <is>
          <t>avverkningsanmälan</t>
        </is>
      </c>
      <c r="C959" t="inlineStr">
        <is>
          <t>Föryngringsavverkning</t>
        </is>
      </c>
      <c r="D959" s="1" t="n">
        <v>46104</v>
      </c>
      <c r="E959" s="1" t="n">
        <v>46218</v>
      </c>
      <c r="F959" t="inlineStr">
        <is>
          <t>DALARNAS LÄN</t>
        </is>
      </c>
      <c r="G959" t="inlineStr">
        <is>
          <t>RÄTTVIK</t>
        </is>
      </c>
      <c r="H959" t="inlineStr">
        <is>
          <t>Bergvik skog väst AB</t>
        </is>
      </c>
      <c r="I959" t="n">
        <v>32.8</v>
      </c>
      <c r="J959" t="n">
        <v>0</v>
      </c>
      <c r="K959" t="n">
        <v>0</v>
      </c>
      <c r="L959" t="n">
        <v>0</v>
      </c>
      <c r="M959" t="n">
        <v>0</v>
      </c>
      <c r="N959" t="n">
        <v>0</v>
      </c>
      <c r="O959" t="n">
        <v>0</v>
      </c>
      <c r="P959" t="n">
        <v>0</v>
      </c>
      <c r="Q959" t="n">
        <v>0</v>
      </c>
      <c r="R959" t="n">
        <v>0</v>
      </c>
      <c r="S959" t="n">
        <v>0</v>
      </c>
      <c r="T959" t="n">
        <v>0</v>
      </c>
      <c r="U959" s="2" t="inlineStr"/>
    </row>
    <row r="960" ht="15" customHeight="1">
      <c r="A960" t="inlineStr">
        <is>
          <t>A 15088-2026</t>
        </is>
      </c>
      <c r="B960" t="inlineStr">
        <is>
          <t>avverkningsanmälan</t>
        </is>
      </c>
      <c r="C960" t="inlineStr">
        <is>
          <t>Föryngringsavverkning</t>
        </is>
      </c>
      <c r="D960" s="1" t="n">
        <v>46105</v>
      </c>
      <c r="E960" s="1" t="n">
        <v>46218</v>
      </c>
      <c r="F960" t="inlineStr">
        <is>
          <t>DALARNAS LÄN</t>
        </is>
      </c>
      <c r="G960" t="inlineStr">
        <is>
          <t>RÄTTVIK</t>
        </is>
      </c>
      <c r="H960" t="inlineStr">
        <is>
          <t>Allmännings- och besparingsskogar</t>
        </is>
      </c>
      <c r="I960" t="n">
        <v>19.4</v>
      </c>
      <c r="J960" t="n">
        <v>0</v>
      </c>
      <c r="K960" t="n">
        <v>0</v>
      </c>
      <c r="L960" t="n">
        <v>0</v>
      </c>
      <c r="M960" t="n">
        <v>0</v>
      </c>
      <c r="N960" t="n">
        <v>0</v>
      </c>
      <c r="O960" t="n">
        <v>0</v>
      </c>
      <c r="P960" t="n">
        <v>0</v>
      </c>
      <c r="Q960" t="n">
        <v>0</v>
      </c>
      <c r="R960" t="n">
        <v>0</v>
      </c>
      <c r="S960" t="n">
        <v>0</v>
      </c>
      <c r="T960" t="n">
        <v>0</v>
      </c>
      <c r="U960" s="2" t="inlineStr"/>
    </row>
    <row r="961" ht="15" customHeight="1">
      <c r="A961" t="inlineStr">
        <is>
          <t>A 15090-2026</t>
        </is>
      </c>
      <c r="B961" t="inlineStr">
        <is>
          <t>avverkningsanmälan</t>
        </is>
      </c>
      <c r="C961" t="inlineStr">
        <is>
          <t>Föryngringsavverkning</t>
        </is>
      </c>
      <c r="D961" s="1" t="n">
        <v>46105</v>
      </c>
      <c r="E961" s="1" t="n">
        <v>46218</v>
      </c>
      <c r="F961" t="inlineStr">
        <is>
          <t>DALARNAS LÄN</t>
        </is>
      </c>
      <c r="G961" t="inlineStr">
        <is>
          <t>RÄTTVIK</t>
        </is>
      </c>
      <c r="H961" t="inlineStr">
        <is>
          <t>Allmännings- och besparingsskogar</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15650-2026</t>
        </is>
      </c>
      <c r="B962" t="inlineStr">
        <is>
          <t>avverkningsanmälan</t>
        </is>
      </c>
      <c r="C962" t="inlineStr">
        <is>
          <t>Föryngringsavverkning</t>
        </is>
      </c>
      <c r="D962" s="1" t="n">
        <v>46106</v>
      </c>
      <c r="E962" s="1" t="n">
        <v>46218</v>
      </c>
      <c r="F962" t="inlineStr">
        <is>
          <t>DALARNAS LÄN</t>
        </is>
      </c>
      <c r="G962" t="inlineStr">
        <is>
          <t>RÄTTVIK</t>
        </is>
      </c>
      <c r="H962" t="inlineStr">
        <is>
          <t>Sveaskog</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15500-2026</t>
        </is>
      </c>
      <c r="B963" t="inlineStr">
        <is>
          <t>avverkningsanmälan</t>
        </is>
      </c>
      <c r="C963" t="inlineStr">
        <is>
          <t>Föryngringsavverkning</t>
        </is>
      </c>
      <c r="D963" s="1" t="n">
        <v>46106</v>
      </c>
      <c r="E963" s="1" t="n">
        <v>46218</v>
      </c>
      <c r="F963" t="inlineStr">
        <is>
          <t>DALARNAS LÄN</t>
        </is>
      </c>
      <c r="G963" t="inlineStr">
        <is>
          <t>RÄTTVIK</t>
        </is>
      </c>
      <c r="H963" t="inlineStr">
        <is>
          <t>Bergvik skog väst AB</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15589-2026</t>
        </is>
      </c>
      <c r="B964" t="inlineStr">
        <is>
          <t>avverkningsanmälan</t>
        </is>
      </c>
      <c r="C964" t="inlineStr">
        <is>
          <t>Föryngringsavverkning</t>
        </is>
      </c>
      <c r="D964" s="1" t="n">
        <v>46106</v>
      </c>
      <c r="E964" s="1" t="n">
        <v>46218</v>
      </c>
      <c r="F964" t="inlineStr">
        <is>
          <t>DALARNAS LÄN</t>
        </is>
      </c>
      <c r="G964" t="inlineStr">
        <is>
          <t>RÄTTVIK</t>
        </is>
      </c>
      <c r="H964" t="inlineStr">
        <is>
          <t>Bergvik skog väst AB</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15318-2026</t>
        </is>
      </c>
      <c r="B965" t="inlineStr">
        <is>
          <t>avverkningsanmälan</t>
        </is>
      </c>
      <c r="C965" t="inlineStr">
        <is>
          <t>Föryngringsavverkning</t>
        </is>
      </c>
      <c r="D965" s="1" t="n">
        <v>46105</v>
      </c>
      <c r="E965" s="1" t="n">
        <v>46218</v>
      </c>
      <c r="F965" t="inlineStr">
        <is>
          <t>DALARNAS LÄN</t>
        </is>
      </c>
      <c r="G965" t="inlineStr">
        <is>
          <t>RÄTTVIK</t>
        </is>
      </c>
      <c r="H965" t="inlineStr">
        <is>
          <t>Allmännings- och besparingsskogar</t>
        </is>
      </c>
      <c r="I965" t="n">
        <v>2.1</v>
      </c>
      <c r="J965" t="n">
        <v>0</v>
      </c>
      <c r="K965" t="n">
        <v>0</v>
      </c>
      <c r="L965" t="n">
        <v>0</v>
      </c>
      <c r="M965" t="n">
        <v>0</v>
      </c>
      <c r="N965" t="n">
        <v>0</v>
      </c>
      <c r="O965" t="n">
        <v>0</v>
      </c>
      <c r="P965" t="n">
        <v>0</v>
      </c>
      <c r="Q965" t="n">
        <v>0</v>
      </c>
      <c r="R965" t="n">
        <v>0</v>
      </c>
      <c r="S965" t="n">
        <v>0</v>
      </c>
      <c r="T965" t="n">
        <v>0</v>
      </c>
      <c r="U965" s="2" t="inlineStr"/>
    </row>
    <row r="966" ht="15" customHeight="1">
      <c r="A966" t="inlineStr">
        <is>
          <t>A 16115-2026</t>
        </is>
      </c>
      <c r="B966" t="inlineStr">
        <is>
          <t>avverkningsanmälan</t>
        </is>
      </c>
      <c r="C966" t="inlineStr">
        <is>
          <t>Föryngringsavverkning</t>
        </is>
      </c>
      <c r="D966" s="1" t="n">
        <v>46108</v>
      </c>
      <c r="E966" s="1" t="n">
        <v>46218</v>
      </c>
      <c r="F966" t="inlineStr">
        <is>
          <t>DALARNAS LÄN</t>
        </is>
      </c>
      <c r="G966" t="inlineStr">
        <is>
          <t>RÄTTVIK</t>
        </is>
      </c>
      <c r="H966" t="inlineStr">
        <is>
          <t>Bergvik skog väst AB</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15752-2026</t>
        </is>
      </c>
      <c r="B967" t="inlineStr">
        <is>
          <t>avverkningsanmälan</t>
        </is>
      </c>
      <c r="C967" t="inlineStr">
        <is>
          <t>Föryngringsavverkning</t>
        </is>
      </c>
      <c r="D967" s="1" t="n">
        <v>46107</v>
      </c>
      <c r="E967" s="1" t="n">
        <v>46218</v>
      </c>
      <c r="F967" t="inlineStr">
        <is>
          <t>DALARNAS LÄN</t>
        </is>
      </c>
      <c r="G967" t="inlineStr">
        <is>
          <t>RÄTTVIK</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15849-2026</t>
        </is>
      </c>
      <c r="B968" t="inlineStr">
        <is>
          <t>avverkningsanmälan</t>
        </is>
      </c>
      <c r="C968" t="inlineStr">
        <is>
          <t>Föryngringsavverkning</t>
        </is>
      </c>
      <c r="D968" s="1" t="n">
        <v>46107</v>
      </c>
      <c r="E968" s="1" t="n">
        <v>46218</v>
      </c>
      <c r="F968" t="inlineStr">
        <is>
          <t>DALARNAS LÄN</t>
        </is>
      </c>
      <c r="G968" t="inlineStr">
        <is>
          <t>RÄTTVIK</t>
        </is>
      </c>
      <c r="H968" t="inlineStr">
        <is>
          <t>Bergvik skog väst AB</t>
        </is>
      </c>
      <c r="I968" t="n">
        <v>9.9</v>
      </c>
      <c r="J968" t="n">
        <v>0</v>
      </c>
      <c r="K968" t="n">
        <v>0</v>
      </c>
      <c r="L968" t="n">
        <v>0</v>
      </c>
      <c r="M968" t="n">
        <v>0</v>
      </c>
      <c r="N968" t="n">
        <v>0</v>
      </c>
      <c r="O968" t="n">
        <v>0</v>
      </c>
      <c r="P968" t="n">
        <v>0</v>
      </c>
      <c r="Q968" t="n">
        <v>0</v>
      </c>
      <c r="R968" t="n">
        <v>0</v>
      </c>
      <c r="S968" t="n">
        <v>0</v>
      </c>
      <c r="T968" t="n">
        <v>0</v>
      </c>
      <c r="U968" s="2" t="inlineStr"/>
    </row>
    <row r="969" ht="15" customHeight="1">
      <c r="A969" t="inlineStr">
        <is>
          <t>A 5568-2026</t>
        </is>
      </c>
      <c r="B969" t="inlineStr">
        <is>
          <t>avverkningsanmälan</t>
        </is>
      </c>
      <c r="C969" t="inlineStr">
        <is>
          <t>Föryngringsavverkning</t>
        </is>
      </c>
      <c r="D969" s="1" t="n">
        <v>46050</v>
      </c>
      <c r="E969" s="1" t="n">
        <v>46218</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s="2" t="inlineStr"/>
    </row>
    <row r="970" ht="15" customHeight="1">
      <c r="A970" t="inlineStr">
        <is>
          <t>A 16339-2026</t>
        </is>
      </c>
      <c r="B970" t="inlineStr">
        <is>
          <t>avverkningsanmälan</t>
        </is>
      </c>
      <c r="C970" t="inlineStr">
        <is>
          <t>Föryngringsavverkning</t>
        </is>
      </c>
      <c r="D970" s="1" t="n">
        <v>46111</v>
      </c>
      <c r="E970" s="1" t="n">
        <v>46218</v>
      </c>
      <c r="F970" t="inlineStr">
        <is>
          <t>DALARNAS LÄN</t>
        </is>
      </c>
      <c r="G970" t="inlineStr">
        <is>
          <t>RÄTTVIK</t>
        </is>
      </c>
      <c r="H970" t="inlineStr">
        <is>
          <t>Bergvik skog väst AB</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16649-2026</t>
        </is>
      </c>
      <c r="B971" t="inlineStr">
        <is>
          <t>avverkningsanmälan</t>
        </is>
      </c>
      <c r="C971" t="inlineStr">
        <is>
          <t>Föryngringsavverkning</t>
        </is>
      </c>
      <c r="D971" s="1" t="n">
        <v>46112</v>
      </c>
      <c r="E971" s="1" t="n">
        <v>46218</v>
      </c>
      <c r="F971" t="inlineStr">
        <is>
          <t>DALARNAS LÄN</t>
        </is>
      </c>
      <c r="G971" t="inlineStr">
        <is>
          <t>RÄTTVIK</t>
        </is>
      </c>
      <c r="I971" t="n">
        <v>1.6</v>
      </c>
      <c r="J971" t="n">
        <v>0</v>
      </c>
      <c r="K971" t="n">
        <v>0</v>
      </c>
      <c r="L971" t="n">
        <v>0</v>
      </c>
      <c r="M971" t="n">
        <v>0</v>
      </c>
      <c r="N971" t="n">
        <v>0</v>
      </c>
      <c r="O971" t="n">
        <v>0</v>
      </c>
      <c r="P971" t="n">
        <v>0</v>
      </c>
      <c r="Q971" t="n">
        <v>0</v>
      </c>
      <c r="R971" t="n">
        <v>0</v>
      </c>
      <c r="S971" t="n">
        <v>0</v>
      </c>
      <c r="T971" t="n">
        <v>0</v>
      </c>
      <c r="U971" s="2" t="inlineStr"/>
    </row>
    <row r="972" ht="15" customHeight="1">
      <c r="A972" t="inlineStr">
        <is>
          <t>A 17095-2026</t>
        </is>
      </c>
      <c r="B972" t="inlineStr">
        <is>
          <t>avverkningsanmälan</t>
        </is>
      </c>
      <c r="C972" t="inlineStr">
        <is>
          <t>Föryngringsavverkning</t>
        </is>
      </c>
      <c r="D972" s="1" t="n">
        <v>46114</v>
      </c>
      <c r="E972" s="1" t="n">
        <v>46218</v>
      </c>
      <c r="F972" t="inlineStr">
        <is>
          <t>DALARNAS LÄN</t>
        </is>
      </c>
      <c r="G972" t="inlineStr">
        <is>
          <t>RÄTTVIK</t>
        </is>
      </c>
      <c r="H972" t="inlineStr">
        <is>
          <t>Sveaskog</t>
        </is>
      </c>
      <c r="I972" t="n">
        <v>2</v>
      </c>
      <c r="J972" t="n">
        <v>0</v>
      </c>
      <c r="K972" t="n">
        <v>0</v>
      </c>
      <c r="L972" t="n">
        <v>0</v>
      </c>
      <c r="M972" t="n">
        <v>0</v>
      </c>
      <c r="N972" t="n">
        <v>0</v>
      </c>
      <c r="O972" t="n">
        <v>0</v>
      </c>
      <c r="P972" t="n">
        <v>0</v>
      </c>
      <c r="Q972" t="n">
        <v>0</v>
      </c>
      <c r="R972" t="n">
        <v>0</v>
      </c>
      <c r="S972" t="n">
        <v>0</v>
      </c>
      <c r="T972" t="n">
        <v>0</v>
      </c>
      <c r="U972" s="2" t="inlineStr"/>
    </row>
    <row r="973" ht="15" customHeight="1">
      <c r="A973" t="inlineStr">
        <is>
          <t>A 17096-2026</t>
        </is>
      </c>
      <c r="B973" t="inlineStr">
        <is>
          <t>avverkningsanmälan</t>
        </is>
      </c>
      <c r="C973" t="inlineStr">
        <is>
          <t>Föryngringsavverkning</t>
        </is>
      </c>
      <c r="D973" s="1" t="n">
        <v>46114</v>
      </c>
      <c r="E973" s="1" t="n">
        <v>46218</v>
      </c>
      <c r="F973" t="inlineStr">
        <is>
          <t>DALARNAS LÄN</t>
        </is>
      </c>
      <c r="G973" t="inlineStr">
        <is>
          <t>RÄTTVIK</t>
        </is>
      </c>
      <c r="H973" t="inlineStr">
        <is>
          <t>Sveaskog</t>
        </is>
      </c>
      <c r="I973" t="n">
        <v>3.6</v>
      </c>
      <c r="J973" t="n">
        <v>0</v>
      </c>
      <c r="K973" t="n">
        <v>0</v>
      </c>
      <c r="L973" t="n">
        <v>0</v>
      </c>
      <c r="M973" t="n">
        <v>0</v>
      </c>
      <c r="N973" t="n">
        <v>0</v>
      </c>
      <c r="O973" t="n">
        <v>0</v>
      </c>
      <c r="P973" t="n">
        <v>0</v>
      </c>
      <c r="Q973" t="n">
        <v>0</v>
      </c>
      <c r="R973" t="n">
        <v>0</v>
      </c>
      <c r="S973" t="n">
        <v>0</v>
      </c>
      <c r="T973" t="n">
        <v>0</v>
      </c>
      <c r="U973" s="2" t="inlineStr"/>
    </row>
    <row r="974" ht="15" customHeight="1">
      <c r="A974" t="inlineStr">
        <is>
          <t>A 17776-2026</t>
        </is>
      </c>
      <c r="B974" t="inlineStr">
        <is>
          <t>avverkningsanmälan</t>
        </is>
      </c>
      <c r="C974" t="inlineStr">
        <is>
          <t>Föryngringsavverkning</t>
        </is>
      </c>
      <c r="D974" s="1" t="n">
        <v>46122</v>
      </c>
      <c r="E974" s="1" t="n">
        <v>46218</v>
      </c>
      <c r="F974" t="inlineStr">
        <is>
          <t>DALARNAS LÄN</t>
        </is>
      </c>
      <c r="G974" t="inlineStr">
        <is>
          <t>RÄTTVIK</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17865-2026</t>
        </is>
      </c>
      <c r="B975" t="inlineStr">
        <is>
          <t>avverkningsanmälan</t>
        </is>
      </c>
      <c r="C975" t="inlineStr">
        <is>
          <t>Föryngringsavverkning</t>
        </is>
      </c>
      <c r="D975" s="1" t="n">
        <v>46122</v>
      </c>
      <c r="E975" s="1" t="n">
        <v>46218</v>
      </c>
      <c r="F975" t="inlineStr">
        <is>
          <t>DALARNAS LÄN</t>
        </is>
      </c>
      <c r="G975" t="inlineStr">
        <is>
          <t>RÄTTVIK</t>
        </is>
      </c>
      <c r="H975" t="inlineStr">
        <is>
          <t>Bergvik skog väst AB</t>
        </is>
      </c>
      <c r="I975" t="n">
        <v>6.5</v>
      </c>
      <c r="J975" t="n">
        <v>0</v>
      </c>
      <c r="K975" t="n">
        <v>0</v>
      </c>
      <c r="L975" t="n">
        <v>0</v>
      </c>
      <c r="M975" t="n">
        <v>0</v>
      </c>
      <c r="N975" t="n">
        <v>0</v>
      </c>
      <c r="O975" t="n">
        <v>0</v>
      </c>
      <c r="P975" t="n">
        <v>0</v>
      </c>
      <c r="Q975" t="n">
        <v>0</v>
      </c>
      <c r="R975" t="n">
        <v>0</v>
      </c>
      <c r="S975" t="n">
        <v>0</v>
      </c>
      <c r="T975" t="n">
        <v>0</v>
      </c>
      <c r="U975" s="2" t="inlineStr"/>
    </row>
    <row r="976" ht="15" customHeight="1">
      <c r="A976" t="inlineStr">
        <is>
          <t>A 17735-2026</t>
        </is>
      </c>
      <c r="B976" t="inlineStr">
        <is>
          <t>avverkningsanmälan</t>
        </is>
      </c>
      <c r="C976" t="inlineStr">
        <is>
          <t>Föryngringsavverkning</t>
        </is>
      </c>
      <c r="D976" s="1" t="n">
        <v>46122</v>
      </c>
      <c r="E976" s="1" t="n">
        <v>46218</v>
      </c>
      <c r="F976" t="inlineStr">
        <is>
          <t>DALARNAS LÄN</t>
        </is>
      </c>
      <c r="G976" t="inlineStr">
        <is>
          <t>RÄTTVIK</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17870-2026</t>
        </is>
      </c>
      <c r="B977" t="inlineStr">
        <is>
          <t>avverkningsanmälan</t>
        </is>
      </c>
      <c r="C977" t="inlineStr">
        <is>
          <t>Föryngringsavverkning</t>
        </is>
      </c>
      <c r="D977" s="1" t="n">
        <v>46122</v>
      </c>
      <c r="E977" s="1" t="n">
        <v>46218</v>
      </c>
      <c r="F977" t="inlineStr">
        <is>
          <t>DALARNAS LÄN</t>
        </is>
      </c>
      <c r="G977" t="inlineStr">
        <is>
          <t>RÄTTVIK</t>
        </is>
      </c>
      <c r="H977" t="inlineStr">
        <is>
          <t>Bergvik skog väst AB</t>
        </is>
      </c>
      <c r="I977" t="n">
        <v>5.2</v>
      </c>
      <c r="J977" t="n">
        <v>0</v>
      </c>
      <c r="K977" t="n">
        <v>0</v>
      </c>
      <c r="L977" t="n">
        <v>0</v>
      </c>
      <c r="M977" t="n">
        <v>0</v>
      </c>
      <c r="N977" t="n">
        <v>0</v>
      </c>
      <c r="O977" t="n">
        <v>0</v>
      </c>
      <c r="P977" t="n">
        <v>0</v>
      </c>
      <c r="Q977" t="n">
        <v>0</v>
      </c>
      <c r="R977" t="n">
        <v>0</v>
      </c>
      <c r="S977" t="n">
        <v>0</v>
      </c>
      <c r="T977" t="n">
        <v>0</v>
      </c>
      <c r="U977" s="2" t="inlineStr"/>
    </row>
    <row r="978" ht="15" customHeight="1">
      <c r="A978" t="inlineStr">
        <is>
          <t>A 18245-2026</t>
        </is>
      </c>
      <c r="B978" t="inlineStr">
        <is>
          <t>avverkningsanmälan</t>
        </is>
      </c>
      <c r="C978" t="inlineStr">
        <is>
          <t>Föryngringsavverkning</t>
        </is>
      </c>
      <c r="D978" s="1" t="n">
        <v>46126</v>
      </c>
      <c r="E978" s="1" t="n">
        <v>46218</v>
      </c>
      <c r="F978" t="inlineStr">
        <is>
          <t>DALARNAS LÄN</t>
        </is>
      </c>
      <c r="G978" t="inlineStr">
        <is>
          <t>RÄTTVIK</t>
        </is>
      </c>
      <c r="H978" t="inlineStr">
        <is>
          <t>Bergvik skog öst AB</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18389-2026</t>
        </is>
      </c>
      <c r="B979" t="inlineStr">
        <is>
          <t>avverkningsanmälan</t>
        </is>
      </c>
      <c r="C979" t="inlineStr">
        <is>
          <t>Föryngringsavverkning</t>
        </is>
      </c>
      <c r="D979" s="1" t="n">
        <v>46126</v>
      </c>
      <c r="E979" s="1" t="n">
        <v>46218</v>
      </c>
      <c r="F979" t="inlineStr">
        <is>
          <t>DALARNAS LÄN</t>
        </is>
      </c>
      <c r="G979" t="inlineStr">
        <is>
          <t>RÄTTVIK</t>
        </is>
      </c>
      <c r="H979" t="inlineStr">
        <is>
          <t>Bergvik skog öst AB</t>
        </is>
      </c>
      <c r="I979" t="n">
        <v>4.5</v>
      </c>
      <c r="J979" t="n">
        <v>0</v>
      </c>
      <c r="K979" t="n">
        <v>0</v>
      </c>
      <c r="L979" t="n">
        <v>0</v>
      </c>
      <c r="M979" t="n">
        <v>0</v>
      </c>
      <c r="N979" t="n">
        <v>0</v>
      </c>
      <c r="O979" t="n">
        <v>0</v>
      </c>
      <c r="P979" t="n">
        <v>0</v>
      </c>
      <c r="Q979" t="n">
        <v>0</v>
      </c>
      <c r="R979" t="n">
        <v>0</v>
      </c>
      <c r="S979" t="n">
        <v>0</v>
      </c>
      <c r="T979" t="n">
        <v>0</v>
      </c>
      <c r="U979" s="2" t="inlineStr"/>
    </row>
    <row r="980" ht="15" customHeight="1">
      <c r="A980" t="inlineStr">
        <is>
          <t>A 18001-2026</t>
        </is>
      </c>
      <c r="B980" t="inlineStr">
        <is>
          <t>avverkningsanmälan</t>
        </is>
      </c>
      <c r="C980" t="inlineStr">
        <is>
          <t>Föryngringsavverkning</t>
        </is>
      </c>
      <c r="D980" s="1" t="n">
        <v>46125</v>
      </c>
      <c r="E980" s="1" t="n">
        <v>46218</v>
      </c>
      <c r="F980" t="inlineStr">
        <is>
          <t>DALARNAS LÄN</t>
        </is>
      </c>
      <c r="G980" t="inlineStr">
        <is>
          <t>RÄTTVIK</t>
        </is>
      </c>
      <c r="I980" t="n">
        <v>3.3</v>
      </c>
      <c r="J980" t="n">
        <v>0</v>
      </c>
      <c r="K980" t="n">
        <v>0</v>
      </c>
      <c r="L980" t="n">
        <v>0</v>
      </c>
      <c r="M980" t="n">
        <v>0</v>
      </c>
      <c r="N980" t="n">
        <v>0</v>
      </c>
      <c r="O980" t="n">
        <v>0</v>
      </c>
      <c r="P980" t="n">
        <v>0</v>
      </c>
      <c r="Q980" t="n">
        <v>0</v>
      </c>
      <c r="R980" t="n">
        <v>0</v>
      </c>
      <c r="S980" t="n">
        <v>0</v>
      </c>
      <c r="T980" t="n">
        <v>0</v>
      </c>
      <c r="U980" s="2" t="inlineStr"/>
    </row>
    <row r="981" ht="15" customHeight="1">
      <c r="A981" t="inlineStr">
        <is>
          <t>A 18751-2026</t>
        </is>
      </c>
      <c r="B981" t="inlineStr">
        <is>
          <t>avverkningsanmälan</t>
        </is>
      </c>
      <c r="C981" t="inlineStr">
        <is>
          <t>Föryngringsavverkning</t>
        </is>
      </c>
      <c r="D981" s="1" t="n">
        <v>46128</v>
      </c>
      <c r="E981" s="1" t="n">
        <v>46218</v>
      </c>
      <c r="F981" t="inlineStr">
        <is>
          <t>DALARNAS LÄN</t>
        </is>
      </c>
      <c r="G981" t="inlineStr">
        <is>
          <t>RÄTTVIK</t>
        </is>
      </c>
      <c r="H981" t="inlineStr">
        <is>
          <t>Bergvik skog väst AB</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18578-2026</t>
        </is>
      </c>
      <c r="B982" t="inlineStr">
        <is>
          <t>avverkningsanmälan</t>
        </is>
      </c>
      <c r="C982" t="inlineStr">
        <is>
          <t>Föryngringsavverkning</t>
        </is>
      </c>
      <c r="D982" s="1" t="n">
        <v>46127</v>
      </c>
      <c r="E982" s="1" t="n">
        <v>46218</v>
      </c>
      <c r="F982" t="inlineStr">
        <is>
          <t>DALARNAS LÄN</t>
        </is>
      </c>
      <c r="G982" t="inlineStr">
        <is>
          <t>RÄTTVIK</t>
        </is>
      </c>
      <c r="H982" t="inlineStr">
        <is>
          <t>Bergvik skog väst AB</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18955-2026</t>
        </is>
      </c>
      <c r="B983" t="inlineStr">
        <is>
          <t>avverkningsanmälan</t>
        </is>
      </c>
      <c r="C983" t="inlineStr">
        <is>
          <t>Föryngringsavverkning</t>
        </is>
      </c>
      <c r="D983" s="1" t="n">
        <v>46129</v>
      </c>
      <c r="E983" s="1" t="n">
        <v>46218</v>
      </c>
      <c r="F983" t="inlineStr">
        <is>
          <t>DALARNAS LÄN</t>
        </is>
      </c>
      <c r="G983" t="inlineStr">
        <is>
          <t>RÄTTVIK</t>
        </is>
      </c>
      <c r="H983" t="inlineStr">
        <is>
          <t>Bergvik skog väst AB</t>
        </is>
      </c>
      <c r="I983" t="n">
        <v>11.5</v>
      </c>
      <c r="J983" t="n">
        <v>0</v>
      </c>
      <c r="K983" t="n">
        <v>0</v>
      </c>
      <c r="L983" t="n">
        <v>0</v>
      </c>
      <c r="M983" t="n">
        <v>0</v>
      </c>
      <c r="N983" t="n">
        <v>0</v>
      </c>
      <c r="O983" t="n">
        <v>0</v>
      </c>
      <c r="P983" t="n">
        <v>0</v>
      </c>
      <c r="Q983" t="n">
        <v>0</v>
      </c>
      <c r="R983" t="n">
        <v>0</v>
      </c>
      <c r="S983" t="n">
        <v>0</v>
      </c>
      <c r="T983" t="n">
        <v>0</v>
      </c>
      <c r="U983" s="2" t="inlineStr"/>
    </row>
    <row r="984" ht="15" customHeight="1">
      <c r="A984" t="inlineStr">
        <is>
          <t>A 18558-2026</t>
        </is>
      </c>
      <c r="B984" t="inlineStr">
        <is>
          <t>avverkningsanmälan</t>
        </is>
      </c>
      <c r="C984" t="inlineStr">
        <is>
          <t>Föryngringsavverkning</t>
        </is>
      </c>
      <c r="D984" s="1" t="n">
        <v>46127</v>
      </c>
      <c r="E984" s="1" t="n">
        <v>46218</v>
      </c>
      <c r="F984" t="inlineStr">
        <is>
          <t>DALARNAS LÄN</t>
        </is>
      </c>
      <c r="G984" t="inlineStr">
        <is>
          <t>RÄTTVIK</t>
        </is>
      </c>
      <c r="H984" t="inlineStr">
        <is>
          <t>Bergvik skog väst AB</t>
        </is>
      </c>
      <c r="I984" t="n">
        <v>8.199999999999999</v>
      </c>
      <c r="J984" t="n">
        <v>0</v>
      </c>
      <c r="K984" t="n">
        <v>0</v>
      </c>
      <c r="L984" t="n">
        <v>0</v>
      </c>
      <c r="M984" t="n">
        <v>0</v>
      </c>
      <c r="N984" t="n">
        <v>0</v>
      </c>
      <c r="O984" t="n">
        <v>0</v>
      </c>
      <c r="P984" t="n">
        <v>0</v>
      </c>
      <c r="Q984" t="n">
        <v>0</v>
      </c>
      <c r="R984" t="n">
        <v>0</v>
      </c>
      <c r="S984" t="n">
        <v>0</v>
      </c>
      <c r="T984" t="n">
        <v>0</v>
      </c>
      <c r="U984" s="2" t="inlineStr"/>
    </row>
    <row r="985" ht="15" customHeight="1">
      <c r="A985" t="inlineStr">
        <is>
          <t>A 19378-2026</t>
        </is>
      </c>
      <c r="B985" t="inlineStr">
        <is>
          <t>avverkningsanmälan</t>
        </is>
      </c>
      <c r="C985" t="inlineStr">
        <is>
          <t>Föryngringsavverkning</t>
        </is>
      </c>
      <c r="D985" s="1" t="n">
        <v>46133</v>
      </c>
      <c r="E985" s="1" t="n">
        <v>46218</v>
      </c>
      <c r="F985" t="inlineStr">
        <is>
          <t>DALARNAS LÄN</t>
        </is>
      </c>
      <c r="G985" t="inlineStr">
        <is>
          <t>RÄTTVIK</t>
        </is>
      </c>
      <c r="H985" t="inlineStr">
        <is>
          <t>Bergvik skog väst AB</t>
        </is>
      </c>
      <c r="I985" t="n">
        <v>3.5</v>
      </c>
      <c r="J985" t="n">
        <v>0</v>
      </c>
      <c r="K985" t="n">
        <v>0</v>
      </c>
      <c r="L985" t="n">
        <v>0</v>
      </c>
      <c r="M985" t="n">
        <v>0</v>
      </c>
      <c r="N985" t="n">
        <v>0</v>
      </c>
      <c r="O985" t="n">
        <v>0</v>
      </c>
      <c r="P985" t="n">
        <v>0</v>
      </c>
      <c r="Q985" t="n">
        <v>0</v>
      </c>
      <c r="R985" t="n">
        <v>0</v>
      </c>
      <c r="S985" t="n">
        <v>0</v>
      </c>
      <c r="T985" t="n">
        <v>0</v>
      </c>
      <c r="U985" s="2" t="inlineStr"/>
    </row>
    <row r="986" ht="15" customHeight="1">
      <c r="A986" t="inlineStr">
        <is>
          <t>A 19244-2026</t>
        </is>
      </c>
      <c r="B986" t="inlineStr">
        <is>
          <t>avverkningsanmälan</t>
        </is>
      </c>
      <c r="C986" t="inlineStr">
        <is>
          <t>Föryngringsavverkning</t>
        </is>
      </c>
      <c r="D986" s="1" t="n">
        <v>46132</v>
      </c>
      <c r="E986" s="1" t="n">
        <v>46218</v>
      </c>
      <c r="F986" t="inlineStr">
        <is>
          <t>DALARNAS LÄN</t>
        </is>
      </c>
      <c r="G986" t="inlineStr">
        <is>
          <t>RÄTTVIK</t>
        </is>
      </c>
      <c r="H986" t="inlineStr">
        <is>
          <t>Sveaskog</t>
        </is>
      </c>
      <c r="I986" t="n">
        <v>1.5</v>
      </c>
      <c r="J986" t="n">
        <v>0</v>
      </c>
      <c r="K986" t="n">
        <v>0</v>
      </c>
      <c r="L986" t="n">
        <v>0</v>
      </c>
      <c r="M986" t="n">
        <v>0</v>
      </c>
      <c r="N986" t="n">
        <v>0</v>
      </c>
      <c r="O986" t="n">
        <v>0</v>
      </c>
      <c r="P986" t="n">
        <v>0</v>
      </c>
      <c r="Q986" t="n">
        <v>0</v>
      </c>
      <c r="R986" t="n">
        <v>0</v>
      </c>
      <c r="S986" t="n">
        <v>0</v>
      </c>
      <c r="T986" t="n">
        <v>0</v>
      </c>
      <c r="U986" s="2" t="inlineStr"/>
    </row>
    <row r="987" ht="15" customHeight="1">
      <c r="A987" t="inlineStr">
        <is>
          <t>A 19249-2026</t>
        </is>
      </c>
      <c r="B987" t="inlineStr">
        <is>
          <t>avverkningsanmälan</t>
        </is>
      </c>
      <c r="C987" t="inlineStr">
        <is>
          <t>Föryngringsavverkning</t>
        </is>
      </c>
      <c r="D987" s="1" t="n">
        <v>46132</v>
      </c>
      <c r="E987" s="1" t="n">
        <v>46218</v>
      </c>
      <c r="F987" t="inlineStr">
        <is>
          <t>DALARNAS LÄN</t>
        </is>
      </c>
      <c r="G987" t="inlineStr">
        <is>
          <t>RÄTTVIK</t>
        </is>
      </c>
      <c r="H987" t="inlineStr">
        <is>
          <t>Sveaskog</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19247-2026</t>
        </is>
      </c>
      <c r="B988" t="inlineStr">
        <is>
          <t>avverkningsanmälan</t>
        </is>
      </c>
      <c r="C988" t="inlineStr">
        <is>
          <t>Föryngringsavverkning</t>
        </is>
      </c>
      <c r="D988" s="1" t="n">
        <v>46132</v>
      </c>
      <c r="E988" s="1" t="n">
        <v>46218</v>
      </c>
      <c r="F988" t="inlineStr">
        <is>
          <t>DALARNAS LÄN</t>
        </is>
      </c>
      <c r="G988" t="inlineStr">
        <is>
          <t>RÄTTVIK</t>
        </is>
      </c>
      <c r="H988" t="inlineStr">
        <is>
          <t>Sveaskog</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19354-2026</t>
        </is>
      </c>
      <c r="B989" t="inlineStr">
        <is>
          <t>avverkningsanmälan</t>
        </is>
      </c>
      <c r="C989" t="inlineStr">
        <is>
          <t>Föryngringsavverkning</t>
        </is>
      </c>
      <c r="D989" s="1" t="n">
        <v>46133</v>
      </c>
      <c r="E989" s="1" t="n">
        <v>46218</v>
      </c>
      <c r="F989" t="inlineStr">
        <is>
          <t>DALARNAS LÄN</t>
        </is>
      </c>
      <c r="G989" t="inlineStr">
        <is>
          <t>RÄTTVIK</t>
        </is>
      </c>
      <c r="H989" t="inlineStr">
        <is>
          <t>Bergvik skog väst AB</t>
        </is>
      </c>
      <c r="I989" t="n">
        <v>4.7</v>
      </c>
      <c r="J989" t="n">
        <v>0</v>
      </c>
      <c r="K989" t="n">
        <v>0</v>
      </c>
      <c r="L989" t="n">
        <v>0</v>
      </c>
      <c r="M989" t="n">
        <v>0</v>
      </c>
      <c r="N989" t="n">
        <v>0</v>
      </c>
      <c r="O989" t="n">
        <v>0</v>
      </c>
      <c r="P989" t="n">
        <v>0</v>
      </c>
      <c r="Q989" t="n">
        <v>0</v>
      </c>
      <c r="R989" t="n">
        <v>0</v>
      </c>
      <c r="S989" t="n">
        <v>0</v>
      </c>
      <c r="T989" t="n">
        <v>0</v>
      </c>
      <c r="U989" s="2" t="inlineStr"/>
    </row>
    <row r="990" ht="15" customHeight="1">
      <c r="A990" t="inlineStr">
        <is>
          <t>A 25479-2026</t>
        </is>
      </c>
      <c r="B990" t="inlineStr">
        <is>
          <t>avverkningsanmälan</t>
        </is>
      </c>
      <c r="C990" t="inlineStr">
        <is>
          <t>Föryngringsavverkning</t>
        </is>
      </c>
      <c r="D990" s="1" t="n">
        <v>46177</v>
      </c>
      <c r="E990" s="1" t="n">
        <v>46218</v>
      </c>
      <c r="F990" t="inlineStr">
        <is>
          <t>DALARNAS LÄN</t>
        </is>
      </c>
      <c r="G990" t="inlineStr">
        <is>
          <t>RÄTTVIK</t>
        </is>
      </c>
      <c r="I990" t="n">
        <v>3</v>
      </c>
      <c r="J990" t="n">
        <v>0</v>
      </c>
      <c r="K990" t="n">
        <v>0</v>
      </c>
      <c r="L990" t="n">
        <v>0</v>
      </c>
      <c r="M990" t="n">
        <v>0</v>
      </c>
      <c r="N990" t="n">
        <v>0</v>
      </c>
      <c r="O990" t="n">
        <v>0</v>
      </c>
      <c r="P990" t="n">
        <v>0</v>
      </c>
      <c r="Q990" t="n">
        <v>0</v>
      </c>
      <c r="R990" t="n">
        <v>0</v>
      </c>
      <c r="S990" t="n">
        <v>0</v>
      </c>
      <c r="T990" t="n">
        <v>0</v>
      </c>
      <c r="U990" s="2" t="inlineStr"/>
    </row>
    <row r="991" ht="15" customHeight="1">
      <c r="A991" t="inlineStr">
        <is>
          <t>A 19514-2026</t>
        </is>
      </c>
      <c r="B991" t="inlineStr">
        <is>
          <t>avverkningsanmälan</t>
        </is>
      </c>
      <c r="C991" t="inlineStr">
        <is>
          <t>Föryngringsavverkning</t>
        </is>
      </c>
      <c r="D991" s="1" t="n">
        <v>46134</v>
      </c>
      <c r="E991" s="1" t="n">
        <v>46218</v>
      </c>
      <c r="F991" t="inlineStr">
        <is>
          <t>DALARNAS LÄN</t>
        </is>
      </c>
      <c r="G991" t="inlineStr">
        <is>
          <t>RÄTTVIK</t>
        </is>
      </c>
      <c r="H991" t="inlineStr">
        <is>
          <t>Bergvik skog väst AB</t>
        </is>
      </c>
      <c r="I991" t="n">
        <v>3.1</v>
      </c>
      <c r="J991" t="n">
        <v>0</v>
      </c>
      <c r="K991" t="n">
        <v>0</v>
      </c>
      <c r="L991" t="n">
        <v>0</v>
      </c>
      <c r="M991" t="n">
        <v>0</v>
      </c>
      <c r="N991" t="n">
        <v>0</v>
      </c>
      <c r="O991" t="n">
        <v>0</v>
      </c>
      <c r="P991" t="n">
        <v>0</v>
      </c>
      <c r="Q991" t="n">
        <v>0</v>
      </c>
      <c r="R991" t="n">
        <v>0</v>
      </c>
      <c r="S991" t="n">
        <v>0</v>
      </c>
      <c r="T991" t="n">
        <v>0</v>
      </c>
      <c r="U991" s="2" t="inlineStr"/>
    </row>
    <row r="992" ht="15" customHeight="1">
      <c r="A992" t="inlineStr">
        <is>
          <t>A 17702-2026</t>
        </is>
      </c>
      <c r="B992" t="inlineStr">
        <is>
          <t>avverkningsanmälan</t>
        </is>
      </c>
      <c r="C992" t="inlineStr">
        <is>
          <t>Föryngringsavverkning</t>
        </is>
      </c>
      <c r="D992" s="1" t="n">
        <v>46121</v>
      </c>
      <c r="E992" s="1" t="n">
        <v>46218</v>
      </c>
      <c r="F992" t="inlineStr">
        <is>
          <t>DALARNAS LÄN</t>
        </is>
      </c>
      <c r="G992" t="inlineStr">
        <is>
          <t>RÄTTVIK</t>
        </is>
      </c>
      <c r="I992" t="n">
        <v>2.2</v>
      </c>
      <c r="J992" t="n">
        <v>0</v>
      </c>
      <c r="K992" t="n">
        <v>0</v>
      </c>
      <c r="L992" t="n">
        <v>0</v>
      </c>
      <c r="M992" t="n">
        <v>0</v>
      </c>
      <c r="N992" t="n">
        <v>0</v>
      </c>
      <c r="O992" t="n">
        <v>0</v>
      </c>
      <c r="P992" t="n">
        <v>0</v>
      </c>
      <c r="Q992" t="n">
        <v>0</v>
      </c>
      <c r="R992" t="n">
        <v>0</v>
      </c>
      <c r="S992" t="n">
        <v>0</v>
      </c>
      <c r="T992" t="n">
        <v>0</v>
      </c>
      <c r="U992" s="2" t="inlineStr"/>
    </row>
    <row r="993" ht="15" customHeight="1">
      <c r="A993" t="inlineStr">
        <is>
          <t>A 25484-2026</t>
        </is>
      </c>
      <c r="B993" t="inlineStr">
        <is>
          <t>avverkningsanmälan</t>
        </is>
      </c>
      <c r="C993" t="inlineStr">
        <is>
          <t>Föryngringsavverkning</t>
        </is>
      </c>
      <c r="D993" s="1" t="n">
        <v>46177</v>
      </c>
      <c r="E993" s="1" t="n">
        <v>46218</v>
      </c>
      <c r="F993" t="inlineStr">
        <is>
          <t>DALARNAS LÄN</t>
        </is>
      </c>
      <c r="G993" t="inlineStr">
        <is>
          <t>RÄTTVIK</t>
        </is>
      </c>
      <c r="I993" t="n">
        <v>2.9</v>
      </c>
      <c r="J993" t="n">
        <v>0</v>
      </c>
      <c r="K993" t="n">
        <v>0</v>
      </c>
      <c r="L993" t="n">
        <v>0</v>
      </c>
      <c r="M993" t="n">
        <v>0</v>
      </c>
      <c r="N993" t="n">
        <v>0</v>
      </c>
      <c r="O993" t="n">
        <v>0</v>
      </c>
      <c r="P993" t="n">
        <v>0</v>
      </c>
      <c r="Q993" t="n">
        <v>0</v>
      </c>
      <c r="R993" t="n">
        <v>0</v>
      </c>
      <c r="S993" t="n">
        <v>0</v>
      </c>
      <c r="T993" t="n">
        <v>0</v>
      </c>
      <c r="U993" s="2" t="inlineStr"/>
    </row>
    <row r="994" ht="15" customHeight="1">
      <c r="A994" t="inlineStr">
        <is>
          <t>A 25527-2026</t>
        </is>
      </c>
      <c r="B994" t="inlineStr">
        <is>
          <t>avverkningsanmälan</t>
        </is>
      </c>
      <c r="C994" t="inlineStr">
        <is>
          <t>Föryngringsavverkning</t>
        </is>
      </c>
      <c r="D994" s="1" t="n">
        <v>46177</v>
      </c>
      <c r="E994" s="1" t="n">
        <v>46218</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s="2" t="inlineStr"/>
    </row>
    <row r="995" ht="15" customHeight="1">
      <c r="A995" t="inlineStr">
        <is>
          <t>A 20114-2026</t>
        </is>
      </c>
      <c r="B995" t="inlineStr">
        <is>
          <t>avverkningsanmälan</t>
        </is>
      </c>
      <c r="C995" t="inlineStr">
        <is>
          <t>Föryngringsavverkning</t>
        </is>
      </c>
      <c r="D995" s="1" t="n">
        <v>46136</v>
      </c>
      <c r="E995" s="1" t="n">
        <v>46218</v>
      </c>
      <c r="F995" t="inlineStr">
        <is>
          <t>DALARNAS LÄN</t>
        </is>
      </c>
      <c r="G995" t="inlineStr">
        <is>
          <t>RÄTTVIK</t>
        </is>
      </c>
      <c r="H995" t="inlineStr">
        <is>
          <t>Bergvik skog väst AB</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49176-2024</t>
        </is>
      </c>
      <c r="B996" t="inlineStr">
        <is>
          <t>avverkningsanmälan</t>
        </is>
      </c>
      <c r="C996" t="inlineStr">
        <is>
          <t>Avverkning för annat ändamål</t>
        </is>
      </c>
      <c r="D996" s="1" t="n">
        <v>45595</v>
      </c>
      <c r="E996" s="1" t="n">
        <v>46218</v>
      </c>
      <c r="F996" t="inlineStr">
        <is>
          <t>DALARNAS LÄN</t>
        </is>
      </c>
      <c r="G996" t="inlineStr">
        <is>
          <t>RÄTTVIK</t>
        </is>
      </c>
      <c r="I996" t="n">
        <v>2.1</v>
      </c>
      <c r="J996" t="n">
        <v>0</v>
      </c>
      <c r="K996" t="n">
        <v>0</v>
      </c>
      <c r="L996" t="n">
        <v>0</v>
      </c>
      <c r="M996" t="n">
        <v>0</v>
      </c>
      <c r="N996" t="n">
        <v>0</v>
      </c>
      <c r="O996" t="n">
        <v>0</v>
      </c>
      <c r="P996" t="n">
        <v>0</v>
      </c>
      <c r="Q996" t="n">
        <v>0</v>
      </c>
      <c r="R996" t="n">
        <v>0</v>
      </c>
      <c r="S996" t="n">
        <v>0</v>
      </c>
      <c r="T996" t="n">
        <v>0</v>
      </c>
      <c r="U996" s="2" t="inlineStr"/>
    </row>
    <row r="997" ht="15" customHeight="1">
      <c r="A997" t="inlineStr">
        <is>
          <t>A 509-2026</t>
        </is>
      </c>
      <c r="B997" t="inlineStr">
        <is>
          <t>avverkningsanmälan</t>
        </is>
      </c>
      <c r="C997" t="inlineStr">
        <is>
          <t>Föryngringsavverkning</t>
        </is>
      </c>
      <c r="D997" s="1" t="n">
        <v>46029</v>
      </c>
      <c r="E997" s="1" t="n">
        <v>46218</v>
      </c>
      <c r="F997" t="inlineStr">
        <is>
          <t>DALARNAS LÄN</t>
        </is>
      </c>
      <c r="G997" t="inlineStr">
        <is>
          <t>RÄTTVIK</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20113-2026</t>
        </is>
      </c>
      <c r="B998" t="inlineStr">
        <is>
          <t>avverkningsanmälan</t>
        </is>
      </c>
      <c r="C998" t="inlineStr">
        <is>
          <t>Föryngringsavverkning</t>
        </is>
      </c>
      <c r="D998" s="1" t="n">
        <v>46136</v>
      </c>
      <c r="E998" s="1" t="n">
        <v>46218</v>
      </c>
      <c r="F998" t="inlineStr">
        <is>
          <t>DALARNAS LÄN</t>
        </is>
      </c>
      <c r="G998" t="inlineStr">
        <is>
          <t>RÄTTVIK</t>
        </is>
      </c>
      <c r="H998" t="inlineStr">
        <is>
          <t>Bergvik skog väst AB</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60298-2023</t>
        </is>
      </c>
      <c r="B999" t="inlineStr">
        <is>
          <t>avverkningsanmälan</t>
        </is>
      </c>
      <c r="C999" t="inlineStr">
        <is>
          <t>Föryngringsavverkning</t>
        </is>
      </c>
      <c r="D999" s="1" t="n">
        <v>45257</v>
      </c>
      <c r="E999" s="1" t="n">
        <v>46218</v>
      </c>
      <c r="F999" t="inlineStr">
        <is>
          <t>DALARNAS LÄN</t>
        </is>
      </c>
      <c r="G999" t="inlineStr">
        <is>
          <t>RÄTTVIK</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39027-2025</t>
        </is>
      </c>
      <c r="B1000" t="inlineStr">
        <is>
          <t>avverkningsanmälan</t>
        </is>
      </c>
      <c r="C1000" t="inlineStr">
        <is>
          <t>Avverkning för annat ändamål</t>
        </is>
      </c>
      <c r="D1000" s="1" t="n">
        <v>45888</v>
      </c>
      <c r="E1000" s="1" t="n">
        <v>46218</v>
      </c>
      <c r="F1000" t="inlineStr">
        <is>
          <t>DALARNAS LÄN</t>
        </is>
      </c>
      <c r="G1000" t="inlineStr">
        <is>
          <t>RÄTTVIK</t>
        </is>
      </c>
      <c r="H1000" t="inlineStr">
        <is>
          <t>Bergvik skog väst AB</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170-2026</t>
        </is>
      </c>
      <c r="B1001" t="inlineStr">
        <is>
          <t>avverkningsanmälan</t>
        </is>
      </c>
      <c r="C1001" t="inlineStr">
        <is>
          <t>Föryngringsavverkning</t>
        </is>
      </c>
      <c r="D1001" s="1" t="n">
        <v>46025</v>
      </c>
      <c r="E1001" s="1" t="n">
        <v>46218</v>
      </c>
      <c r="F1001" t="inlineStr">
        <is>
          <t>DALARNAS LÄN</t>
        </is>
      </c>
      <c r="G1001" t="inlineStr">
        <is>
          <t>RÄTTVIK</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20276-2026</t>
        </is>
      </c>
      <c r="B1002" t="inlineStr">
        <is>
          <t>avverkningsanmälan</t>
        </is>
      </c>
      <c r="C1002" t="inlineStr">
        <is>
          <t>Föryngringsavverkning</t>
        </is>
      </c>
      <c r="D1002" s="1" t="n">
        <v>46139</v>
      </c>
      <c r="E1002" s="1" t="n">
        <v>46218</v>
      </c>
      <c r="F1002" t="inlineStr">
        <is>
          <t>DALARNAS LÄN</t>
        </is>
      </c>
      <c r="G1002" t="inlineStr">
        <is>
          <t>RÄTTVIK</t>
        </is>
      </c>
      <c r="I1002" t="n">
        <v>9.699999999999999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26814-2025</t>
        </is>
      </c>
      <c r="B1003" t="inlineStr">
        <is>
          <t>avverkningsanmälan</t>
        </is>
      </c>
      <c r="C1003" t="inlineStr">
        <is>
          <t>Föryngringsavverkning</t>
        </is>
      </c>
      <c r="D1003" s="1" t="n">
        <v>45810</v>
      </c>
      <c r="E1003" s="1" t="n">
        <v>46218</v>
      </c>
      <c r="F1003" t="inlineStr">
        <is>
          <t>DALARNAS LÄN</t>
        </is>
      </c>
      <c r="G1003" t="inlineStr">
        <is>
          <t>RÄTTVIK</t>
        </is>
      </c>
      <c r="I1003" t="n">
        <v>1.7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600-2026</t>
        </is>
      </c>
      <c r="B1004" t="inlineStr">
        <is>
          <t>avverkningsanmälan</t>
        </is>
      </c>
      <c r="C1004" t="inlineStr">
        <is>
          <t>Föryngringsavverkning</t>
        </is>
      </c>
      <c r="D1004" s="1" t="n">
        <v>46029</v>
      </c>
      <c r="E1004" s="1" t="n">
        <v>46218</v>
      </c>
      <c r="F1004" t="inlineStr">
        <is>
          <t>DALARNAS LÄN</t>
        </is>
      </c>
      <c r="G1004" t="inlineStr">
        <is>
          <t>RÄTTVIK</t>
        </is>
      </c>
      <c r="I1004" t="n">
        <v>2.2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13770-2025</t>
        </is>
      </c>
      <c r="B1005" t="inlineStr">
        <is>
          <t>avverkningsanmälan</t>
        </is>
      </c>
      <c r="C1005" t="inlineStr">
        <is>
          <t>Föryngringsavverkning</t>
        </is>
      </c>
      <c r="D1005" s="1" t="n">
        <v>45737</v>
      </c>
      <c r="E1005" s="1" t="n">
        <v>46218</v>
      </c>
      <c r="F1005" t="inlineStr">
        <is>
          <t>DALARNAS LÄN</t>
        </is>
      </c>
      <c r="G1005" t="inlineStr">
        <is>
          <t>RÄTTVIK</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1466-2026</t>
        </is>
      </c>
      <c r="B1006" t="inlineStr">
        <is>
          <t>avverkningsanmälan</t>
        </is>
      </c>
      <c r="C1006" t="inlineStr">
        <is>
          <t>Föryngringsavverkning</t>
        </is>
      </c>
      <c r="D1006" s="1" t="n">
        <v>46033</v>
      </c>
      <c r="E1006" s="1" t="n">
        <v>46218</v>
      </c>
      <c r="F1006" t="inlineStr">
        <is>
          <t>DALARNAS LÄN</t>
        </is>
      </c>
      <c r="G1006" t="inlineStr">
        <is>
          <t>RÄTTVIK</t>
        </is>
      </c>
      <c r="I1006" t="n">
        <v>2.1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14028-2026</t>
        </is>
      </c>
      <c r="B1007" t="inlineStr">
        <is>
          <t>avverkningsanmälan</t>
        </is>
      </c>
      <c r="C1007" t="inlineStr">
        <is>
          <t>Föryngringsavverkning</t>
        </is>
      </c>
      <c r="D1007" s="1" t="n">
        <v>46098</v>
      </c>
      <c r="E1007" s="1" t="n">
        <v>46218</v>
      </c>
      <c r="F1007" t="inlineStr">
        <is>
          <t>DALARNAS LÄN</t>
        </is>
      </c>
      <c r="G1007" t="inlineStr">
        <is>
          <t>RÄTTVIK</t>
        </is>
      </c>
      <c r="I1007" t="n">
        <v>1.7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2659-2020</t>
        </is>
      </c>
      <c r="B1008" t="inlineStr">
        <is>
          <t>samrådsanmälan</t>
        </is>
      </c>
      <c r="C1008" t="inlineStr">
        <is>
          <t>Åtgärd i nyckelbiotop</t>
        </is>
      </c>
      <c r="D1008" s="1" t="n">
        <v>44160</v>
      </c>
      <c r="E1008" s="1" t="n">
        <v>46218</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2660-2020</t>
        </is>
      </c>
      <c r="B1009" t="inlineStr">
        <is>
          <t>samrådsanmälan</t>
        </is>
      </c>
      <c r="C1009" t="inlineStr">
        <is>
          <t>Åtgärd i nyckelbiotop</t>
        </is>
      </c>
      <c r="D1009" s="1" t="n">
        <v>44174</v>
      </c>
      <c r="E1009" s="1" t="n">
        <v>46218</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818-2025</t>
        </is>
      </c>
      <c r="B1010" t="inlineStr">
        <is>
          <t>samrådsanmälan</t>
        </is>
      </c>
      <c r="C1010" t="inlineStr">
        <is>
          <t>Annan skogsbruksåtgärd</t>
        </is>
      </c>
      <c r="D1010" s="1" t="n">
        <v>45730</v>
      </c>
      <c r="E1010" s="1" t="n">
        <v>46218</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1312-2024</t>
        </is>
      </c>
      <c r="B1011" t="inlineStr">
        <is>
          <t>samrådsanmälan</t>
        </is>
      </c>
      <c r="C1011" t="inlineStr">
        <is>
          <t>Skogsgödsling</t>
        </is>
      </c>
      <c r="D1011" s="1" t="n">
        <v>45405</v>
      </c>
      <c r="E1011" s="1" t="n">
        <v>46218</v>
      </c>
      <c r="F1011" t="inlineStr">
        <is>
          <t>DALARNAS LÄN</t>
        </is>
      </c>
      <c r="G1011" t="inlineStr">
        <is>
          <t>RÄTTVIK</t>
        </is>
      </c>
      <c r="H1011" t="inlineStr">
        <is>
          <t>Bergvik skog väst AB</t>
        </is>
      </c>
      <c r="I1011" t="n">
        <v>63.6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584-2024</t>
        </is>
      </c>
      <c r="B1012" t="inlineStr">
        <is>
          <t>samrådsanmälan</t>
        </is>
      </c>
      <c r="C1012" t="inlineStr">
        <is>
          <t>Skogsgödsling</t>
        </is>
      </c>
      <c r="D1012" s="1" t="n">
        <v>45351</v>
      </c>
      <c r="E1012" s="1" t="n">
        <v>46218</v>
      </c>
      <c r="F1012" t="inlineStr">
        <is>
          <t>DALARNAS LÄN</t>
        </is>
      </c>
      <c r="G1012" t="inlineStr">
        <is>
          <t>RÄTTVIK</t>
        </is>
      </c>
      <c r="H1012" t="inlineStr">
        <is>
          <t>Bergvik skog väst AB</t>
        </is>
      </c>
      <c r="I1012" t="n">
        <v>312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2318-2023</t>
        </is>
      </c>
      <c r="B1013" t="inlineStr">
        <is>
          <t>samrådsanmälan</t>
        </is>
      </c>
      <c r="C1013" t="inlineStr">
        <is>
          <t>Annan skogsbruksåtgärd</t>
        </is>
      </c>
      <c r="D1013" s="1" t="n">
        <v>45105</v>
      </c>
      <c r="E1013" s="1" t="n">
        <v>46218</v>
      </c>
      <c r="F1013" t="inlineStr">
        <is>
          <t>DALARNAS LÄN</t>
        </is>
      </c>
      <c r="G1013" t="inlineStr">
        <is>
          <t>RÄTTVIK</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406-2025</t>
        </is>
      </c>
      <c r="B1014" t="inlineStr">
        <is>
          <t>samrådsanmälan</t>
        </is>
      </c>
      <c r="C1014" t="inlineStr">
        <is>
          <t>Skogsgödsling</t>
        </is>
      </c>
      <c r="D1014" s="1" t="n">
        <v>45699</v>
      </c>
      <c r="E1014" s="1" t="n">
        <v>46218</v>
      </c>
      <c r="F1014" t="inlineStr">
        <is>
          <t>DALARNAS LÄN</t>
        </is>
      </c>
      <c r="G1014" t="inlineStr">
        <is>
          <t>RÄTTVIK</t>
        </is>
      </c>
      <c r="H1014" t="inlineStr">
        <is>
          <t>Bergvik skog öst AB</t>
        </is>
      </c>
      <c r="I1014" t="n">
        <v>36.6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2437-2023</t>
        </is>
      </c>
      <c r="B1015" t="inlineStr">
        <is>
          <t>samrådsanmälan</t>
        </is>
      </c>
      <c r="C1015" t="inlineStr">
        <is>
          <t>Annan skogsbruksåtgärd</t>
        </is>
      </c>
      <c r="D1015" s="1" t="n">
        <v>45125</v>
      </c>
      <c r="E1015" s="1" t="n">
        <v>46218</v>
      </c>
      <c r="F1015" t="inlineStr">
        <is>
          <t>DALARNAS LÄN</t>
        </is>
      </c>
      <c r="G1015" t="inlineStr">
        <is>
          <t>RÄTTVIK</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2519-2023</t>
        </is>
      </c>
      <c r="B1016" t="inlineStr">
        <is>
          <t>samrådsanmälan</t>
        </is>
      </c>
      <c r="C1016" t="inlineStr">
        <is>
          <t>Annan skogsbruksåtgärd</t>
        </is>
      </c>
      <c r="D1016" s="1" t="n">
        <v>45135</v>
      </c>
      <c r="E1016" s="1" t="n">
        <v>46218</v>
      </c>
      <c r="F1016" t="inlineStr">
        <is>
          <t>DALARNAS LÄN</t>
        </is>
      </c>
      <c r="G1016" t="inlineStr">
        <is>
          <t>RÄTTVIK</t>
        </is>
      </c>
      <c r="I1016" t="n">
        <v>0.1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4173-2022</t>
        </is>
      </c>
      <c r="B1017" t="inlineStr">
        <is>
          <t>samrådsanmälan</t>
        </is>
      </c>
      <c r="C1017" t="inlineStr">
        <is>
          <t>Annan skogsbruksåtgärd</t>
        </is>
      </c>
      <c r="D1017" s="1" t="n">
        <v>44769</v>
      </c>
      <c r="E1017" s="1" t="n">
        <v>46218</v>
      </c>
      <c r="F1017" t="inlineStr">
        <is>
          <t>DALARNAS LÄN</t>
        </is>
      </c>
      <c r="G1017" t="inlineStr">
        <is>
          <t>RÄTTVIK</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7003-2022</t>
        </is>
      </c>
      <c r="B1018" t="inlineStr">
        <is>
          <t>samrådsanmälan</t>
        </is>
      </c>
      <c r="C1018" t="inlineStr">
        <is>
          <t>Annan skogsbruksåtgärd</t>
        </is>
      </c>
      <c r="D1018" s="1" t="n">
        <v>44909</v>
      </c>
      <c r="E1018" s="1" t="n">
        <v>46218</v>
      </c>
      <c r="F1018" t="inlineStr">
        <is>
          <t>DALARNAS LÄN</t>
        </is>
      </c>
      <c r="G1018" t="inlineStr">
        <is>
          <t>RÄTTVIK</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545-2025</t>
        </is>
      </c>
      <c r="B1019" t="inlineStr">
        <is>
          <t>samrådsanmälan</t>
        </is>
      </c>
      <c r="C1019" t="inlineStr">
        <is>
          <t>Skogsgödsling</t>
        </is>
      </c>
      <c r="D1019" s="1" t="n">
        <v>45708</v>
      </c>
      <c r="E1019" s="1" t="n">
        <v>46218</v>
      </c>
      <c r="F1019" t="inlineStr">
        <is>
          <t>DALARNAS LÄN</t>
        </is>
      </c>
      <c r="G1019" t="inlineStr">
        <is>
          <t>RÄTTVIK</t>
        </is>
      </c>
      <c r="H1019" t="inlineStr">
        <is>
          <t>Bergvik skog väst AB</t>
        </is>
      </c>
      <c r="I1019" t="n">
        <v>256.9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1224-2025</t>
        </is>
      </c>
      <c r="B1020" t="inlineStr">
        <is>
          <t>samrådsanmälan</t>
        </is>
      </c>
      <c r="C1020" t="inlineStr">
        <is>
          <t>Annan skogsbruksåtgärd</t>
        </is>
      </c>
      <c r="D1020" s="1" t="n">
        <v>45761</v>
      </c>
      <c r="E1020" s="1" t="n">
        <v>46218</v>
      </c>
      <c r="F1020" t="inlineStr">
        <is>
          <t>DALARNAS LÄN</t>
        </is>
      </c>
      <c r="G1020" t="inlineStr">
        <is>
          <t>RÄTTVIK</t>
        </is>
      </c>
      <c r="H1020" t="inlineStr">
        <is>
          <t>Sveaskog</t>
        </is>
      </c>
      <c r="I1020" t="n">
        <v>29.8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1226-2025</t>
        </is>
      </c>
      <c r="B1021" t="inlineStr">
        <is>
          <t>samrådsanmälan</t>
        </is>
      </c>
      <c r="C1021" t="inlineStr">
        <is>
          <t>Annan skogsbruksåtgärd</t>
        </is>
      </c>
      <c r="D1021" s="1" t="n">
        <v>45761</v>
      </c>
      <c r="E1021" s="1" t="n">
        <v>46218</v>
      </c>
      <c r="F1021" t="inlineStr">
        <is>
          <t>DALARNAS LÄN</t>
        </is>
      </c>
      <c r="G1021" t="inlineStr">
        <is>
          <t>RÄTTVIK</t>
        </is>
      </c>
      <c r="H1021" t="inlineStr">
        <is>
          <t>Sveaskog</t>
        </is>
      </c>
      <c r="I1021" t="n">
        <v>15.4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1343-2025</t>
        </is>
      </c>
      <c r="B1022" t="inlineStr">
        <is>
          <t>samrådsanmälan</t>
        </is>
      </c>
      <c r="C1022" t="inlineStr">
        <is>
          <t>Annan skogsbruksåtgärd</t>
        </is>
      </c>
      <c r="D1022" s="1" t="n">
        <v>45771</v>
      </c>
      <c r="E1022" s="1" t="n">
        <v>46218</v>
      </c>
      <c r="F1022" t="inlineStr">
        <is>
          <t>DALARNAS LÄN</t>
        </is>
      </c>
      <c r="G1022" t="inlineStr">
        <is>
          <t>RÄTTVIK</t>
        </is>
      </c>
      <c r="H1022" t="inlineStr">
        <is>
          <t>Sveaskog</t>
        </is>
      </c>
      <c r="I1022" t="n">
        <v>20.8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1790-2025</t>
        </is>
      </c>
      <c r="B1023" t="inlineStr">
        <is>
          <t>samrådsanmälan</t>
        </is>
      </c>
      <c r="C1023" t="inlineStr">
        <is>
          <t>Annan skogsbruksåtgärd</t>
        </is>
      </c>
      <c r="D1023" s="1" t="n">
        <v>45814</v>
      </c>
      <c r="E1023" s="1" t="n">
        <v>46218</v>
      </c>
      <c r="F1023" t="inlineStr">
        <is>
          <t>DALARNAS LÄN</t>
        </is>
      </c>
      <c r="G1023" t="inlineStr">
        <is>
          <t>RÄTTVIK</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3127-2023</t>
        </is>
      </c>
      <c r="B1024" t="inlineStr">
        <is>
          <t>samrådsanmälan</t>
        </is>
      </c>
      <c r="C1024" t="inlineStr">
        <is>
          <t>Annan skogsbruksåtgärd</t>
        </is>
      </c>
      <c r="D1024" s="1" t="n">
        <v>45183</v>
      </c>
      <c r="E1024" s="1" t="n">
        <v>46218</v>
      </c>
      <c r="F1024" t="inlineStr">
        <is>
          <t>DALARNAS LÄN</t>
        </is>
      </c>
      <c r="G1024" t="inlineStr">
        <is>
          <t>RÄTTVIK</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263-2026</t>
        </is>
      </c>
      <c r="B1025" t="inlineStr">
        <is>
          <t>samrådsanmälan</t>
        </is>
      </c>
      <c r="C1025" t="inlineStr">
        <is>
          <t>Annan skogsbruksåtgärd</t>
        </is>
      </c>
      <c r="D1025" s="1" t="n">
        <v>46056</v>
      </c>
      <c r="E1025" s="1" t="n">
        <v>46218</v>
      </c>
      <c r="F1025" t="inlineStr">
        <is>
          <t>DALARNAS LÄN</t>
        </is>
      </c>
      <c r="G1025" t="inlineStr">
        <is>
          <t>RÄTTVIK</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478-2026</t>
        </is>
      </c>
      <c r="B1026" t="inlineStr">
        <is>
          <t>samrådsanmälan</t>
        </is>
      </c>
      <c r="C1026" t="inlineStr">
        <is>
          <t>Annan skogsbruksåtgärd</t>
        </is>
      </c>
      <c r="D1026" s="1" t="n">
        <v>46072</v>
      </c>
      <c r="E1026" s="1" t="n">
        <v>46218</v>
      </c>
      <c r="F1026" t="inlineStr">
        <is>
          <t>DALARNAS LÄN</t>
        </is>
      </c>
      <c r="G1026" t="inlineStr">
        <is>
          <t>RÄTTVIK</t>
        </is>
      </c>
      <c r="H1026" t="inlineStr">
        <is>
          <t>Sveaskog</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662-2026</t>
        </is>
      </c>
      <c r="B1027" t="inlineStr">
        <is>
          <t>samrådsanmälan</t>
        </is>
      </c>
      <c r="C1027" t="inlineStr">
        <is>
          <t>Skogsgödsling</t>
        </is>
      </c>
      <c r="D1027" s="1" t="n">
        <v>46089</v>
      </c>
      <c r="E1027" s="1" t="n">
        <v>46218</v>
      </c>
      <c r="F1027" t="inlineStr">
        <is>
          <t>DALARNAS LÄN</t>
        </is>
      </c>
      <c r="G1027" t="inlineStr">
        <is>
          <t>RÄTTVIK</t>
        </is>
      </c>
      <c r="H1027" t="inlineStr">
        <is>
          <t>Bergvik skog öst AB</t>
        </is>
      </c>
      <c r="I1027" t="n">
        <v>10.8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1218-2026</t>
        </is>
      </c>
      <c r="B1028" t="inlineStr">
        <is>
          <t>samrådsanmälan</t>
        </is>
      </c>
      <c r="C1028" t="inlineStr">
        <is>
          <t>Annan skogsbruksåtgärd</t>
        </is>
      </c>
      <c r="D1028" s="1" t="n">
        <v>46141</v>
      </c>
      <c r="E1028" s="1" t="n">
        <v>46218</v>
      </c>
      <c r="F1028" t="inlineStr">
        <is>
          <t>DALARNAS LÄN</t>
        </is>
      </c>
      <c r="G1028" t="inlineStr">
        <is>
          <t>RÄTTVIK</t>
        </is>
      </c>
      <c r="H1028" t="inlineStr">
        <is>
          <t>Sveaskog</t>
        </is>
      </c>
      <c r="I1028" t="n">
        <v>2.5</v>
      </c>
      <c r="J1028" t="n">
        <v>0</v>
      </c>
      <c r="K1028" t="n">
        <v>0</v>
      </c>
      <c r="L1028" t="n">
        <v>0</v>
      </c>
      <c r="M1028" t="n">
        <v>0</v>
      </c>
      <c r="N1028" t="n">
        <v>0</v>
      </c>
      <c r="O1028" t="n">
        <v>0</v>
      </c>
      <c r="P1028" t="n">
        <v>0</v>
      </c>
      <c r="Q1028" t="n">
        <v>0</v>
      </c>
      <c r="R1028" t="n">
        <v>0</v>
      </c>
      <c r="S1028" t="n">
        <v>0</v>
      </c>
      <c r="T1028" t="n">
        <v>0</v>
      </c>
      <c r="U1028" s="2" t="inlineStr"/>
    </row>
    <row r="1029">
      <c r="A1029" t="inlineStr">
        <is>
          <t>S 1840-2026</t>
        </is>
      </c>
      <c r="B1029" t="inlineStr">
        <is>
          <t>samrådsanmälan</t>
        </is>
      </c>
      <c r="C1029" t="inlineStr">
        <is>
          <t>Annan skogsbruksåtgärd</t>
        </is>
      </c>
      <c r="D1029" s="1" t="n">
        <v>46198</v>
      </c>
      <c r="E1029" s="1" t="n">
        <v>46218</v>
      </c>
      <c r="F1029" t="inlineStr">
        <is>
          <t>DALARNAS LÄN</t>
        </is>
      </c>
      <c r="G1029" t="inlineStr">
        <is>
          <t>RÄTTVIK</t>
        </is>
      </c>
      <c r="H1029" t="inlineStr">
        <is>
          <t>Sveaskog</t>
        </is>
      </c>
      <c r="I1029" t="n">
        <v>7.5</v>
      </c>
      <c r="J1029" t="n">
        <v>0</v>
      </c>
      <c r="K1029" t="n">
        <v>0</v>
      </c>
      <c r="L1029" t="n">
        <v>0</v>
      </c>
      <c r="M1029" t="n">
        <v>0</v>
      </c>
      <c r="N1029" t="n">
        <v>0</v>
      </c>
      <c r="O1029" t="n">
        <v>0</v>
      </c>
      <c r="P1029" t="n">
        <v>0</v>
      </c>
      <c r="Q1029" t="n">
        <v>0</v>
      </c>
      <c r="R1029" t="n">
        <v>0</v>
      </c>
      <c r="S1029" t="n">
        <v>0</v>
      </c>
      <c r="T1029" t="n">
        <v>0</v>
      </c>
      <c r="U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2026-07-15T01:26:40Z</dcterms:created>
  <dcterms:modified xmlns:dcterms="http://purl.org/dc/terms/" xmlns:xsi="http://www.w3.org/2001/XMLSchema-instance" xsi:type="dcterms:W3CDTF">2026-07-15T01:26:41Z</dcterms:modified>
</cp:coreProperties>
</file>